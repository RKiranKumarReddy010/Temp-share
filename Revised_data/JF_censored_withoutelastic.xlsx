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iran Kumar\Documents\Projects\QNArag_IntellimarkAI\Revised_data\"/>
    </mc:Choice>
  </mc:AlternateContent>
  <xr:revisionPtr revIDLastSave="0" documentId="13_ncr:1_{8004EBC5-B62C-4B06-AF64-CF7539E23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  <sheet name="RCA" sheetId="2" r:id="rId2"/>
  </sheets>
  <definedNames>
    <definedName name="_xlnm._FilterDatabase" localSheetId="0" hidden="1">base!$A$1:$AG$1130</definedName>
    <definedName name="_xlnm._FilterDatabase" localSheetId="1" hidden="1">RCA!$A$1:$J$51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2" i="1"/>
  <c r="O1130" i="1" l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<sst xmlns="http://schemas.openxmlformats.org/spreadsheetml/2006/main" count="9575" uniqueCount="288">
  <si>
    <t>Date</t>
  </si>
  <si>
    <t>Key_old</t>
  </si>
  <si>
    <t>Channel</t>
  </si>
  <si>
    <t>Chain</t>
  </si>
  <si>
    <t>Depot</t>
  </si>
  <si>
    <t>SubCat</t>
  </si>
  <si>
    <t>SKU</t>
  </si>
  <si>
    <t>Period</t>
  </si>
  <si>
    <t>Lower_CL</t>
  </si>
  <si>
    <t>Upper_CL</t>
  </si>
  <si>
    <t>ConsensusForecast</t>
  </si>
  <si>
    <t>Price</t>
  </si>
  <si>
    <t>Owner</t>
  </si>
  <si>
    <t>ChangedOn</t>
  </si>
  <si>
    <t>Comment</t>
  </si>
  <si>
    <t>Lower_Bound</t>
  </si>
  <si>
    <t>Upper_Bound</t>
  </si>
  <si>
    <t>Error</t>
  </si>
  <si>
    <t>TrendAnalysis</t>
  </si>
  <si>
    <t>ErrorAnalysis</t>
  </si>
  <si>
    <t>SeasonalBreak</t>
  </si>
  <si>
    <t>RecommenedQuestion</t>
  </si>
  <si>
    <t>DataDrift</t>
  </si>
  <si>
    <t>ModelDrift</t>
  </si>
  <si>
    <t>Jharkhand_JH-Aggregated_Product_1</t>
  </si>
  <si>
    <t>Chain 1_Depot 1_SKU 1</t>
  </si>
  <si>
    <t>Channel 1</t>
  </si>
  <si>
    <t>Chain 1</t>
  </si>
  <si>
    <t>Depot 1</t>
  </si>
  <si>
    <t>SubCat 1</t>
  </si>
  <si>
    <t>SKU 1</t>
  </si>
  <si>
    <t>History</t>
  </si>
  <si>
    <t>Swiggy_Mundka_Product_2</t>
  </si>
  <si>
    <t>Chain 2_Depot 2_SKU 2</t>
  </si>
  <si>
    <t>Channel 2</t>
  </si>
  <si>
    <t>Chain 2</t>
  </si>
  <si>
    <t>Depot 2</t>
  </si>
  <si>
    <t>SubCat 2</t>
  </si>
  <si>
    <t>SKU 2</t>
  </si>
  <si>
    <t>Maharashtra_MH-Aggregated_Product_3</t>
  </si>
  <si>
    <t>Chain 3_Depot 3_SKU 3</t>
  </si>
  <si>
    <t>Chain 3</t>
  </si>
  <si>
    <t>Depot 3</t>
  </si>
  <si>
    <t>SKU 3</t>
  </si>
  <si>
    <t>Zepto_Mundka_Product_4</t>
  </si>
  <si>
    <t>Chain 4_Depot 2_SKU 4</t>
  </si>
  <si>
    <t>Chain 4</t>
  </si>
  <si>
    <t>SubCat 3</t>
  </si>
  <si>
    <t>SKU 4</t>
  </si>
  <si>
    <t>Reliance_Ahmedabad_Product_5</t>
  </si>
  <si>
    <t>Chain 5_Depot 4_SKU 5</t>
  </si>
  <si>
    <t>Chain 5</t>
  </si>
  <si>
    <t>Depot 4</t>
  </si>
  <si>
    <t>SubCat 4</t>
  </si>
  <si>
    <t>SKU 5</t>
  </si>
  <si>
    <t>Reliance_Mundka_Product_6</t>
  </si>
  <si>
    <t>Chain 5_Depot 2_SKU 6</t>
  </si>
  <si>
    <t>SKU 6</t>
  </si>
  <si>
    <t>Reliance_Mundka_Product_7</t>
  </si>
  <si>
    <t>Chain 5_Depot 2_SKU 7</t>
  </si>
  <si>
    <t>SKU 7</t>
  </si>
  <si>
    <t>Swiggy_Kolkata CFA_Product_3</t>
  </si>
  <si>
    <t>Chain 2_Depot 5_SKU 3</t>
  </si>
  <si>
    <t>Depot 5</t>
  </si>
  <si>
    <t>Reliance_Bhiwandi_Product_8</t>
  </si>
  <si>
    <t>Chain 5_Depot 6_SKU 8</t>
  </si>
  <si>
    <t>Depot 6</t>
  </si>
  <si>
    <t>SubCat 5</t>
  </si>
  <si>
    <t>SKU 8</t>
  </si>
  <si>
    <t>Maharashtra_MH-Aggregated_Product_9</t>
  </si>
  <si>
    <t>Chain 3_Depot 3_SKU 9</t>
  </si>
  <si>
    <t>SKU 9</t>
  </si>
  <si>
    <t>Zepto_Mundka_Product_3</t>
  </si>
  <si>
    <t>Chain 4_Depot 2_SKU 3</t>
  </si>
  <si>
    <t>Zepto_Bhiwandi_Product_10</t>
  </si>
  <si>
    <t>Chain 4_Depot 6_SKU 10</t>
  </si>
  <si>
    <t>SKU 10</t>
  </si>
  <si>
    <t>Reliance_Bangalore_Product_8</t>
  </si>
  <si>
    <t>Chain 5_Depot 7_SKU 8</t>
  </si>
  <si>
    <t>Depot 7</t>
  </si>
  <si>
    <t>Reliance_Bangalore_Product_3</t>
  </si>
  <si>
    <t>Chain 5_Depot 7_SKU 3</t>
  </si>
  <si>
    <t>Swiggy_Chennai_Product_3</t>
  </si>
  <si>
    <t>Chain 2_Depot 8_SKU 3</t>
  </si>
  <si>
    <t>Depot 8</t>
  </si>
  <si>
    <t>Reliance_Bhiwandi_Product_10</t>
  </si>
  <si>
    <t>Chain 5_Depot 6_SKU 10</t>
  </si>
  <si>
    <t>Reliance_Bhiwandi_Product_11</t>
  </si>
  <si>
    <t>Chain 5_Depot 6_SKU 11</t>
  </si>
  <si>
    <t>SKU 11</t>
  </si>
  <si>
    <t>Zepto_Bangalore_Product_12</t>
  </si>
  <si>
    <t>Chain 4_Depot 7_SKU 12</t>
  </si>
  <si>
    <t>SKU 12</t>
  </si>
  <si>
    <t>Reliance_Bangalore_Product_13</t>
  </si>
  <si>
    <t>Chain 5_Depot 7_SKU 13</t>
  </si>
  <si>
    <t>SKU 13</t>
  </si>
  <si>
    <t>Swiggy_Mundka_Product_14</t>
  </si>
  <si>
    <t>Chain 2_Depot 2_SKU 14</t>
  </si>
  <si>
    <t>SKU 14</t>
  </si>
  <si>
    <t>Reliance_Ahmedabad_Product_7</t>
  </si>
  <si>
    <t>Chain 5_Depot 4_SKU 7</t>
  </si>
  <si>
    <t>Reliance_Kolkata CFA_Product_12</t>
  </si>
  <si>
    <t>Chain 5_Depot 5_SKU 12</t>
  </si>
  <si>
    <t>Jharkhand_JH-Aggregated_Product_15</t>
  </si>
  <si>
    <t>Chain 1_Depot 1_SKU 15</t>
  </si>
  <si>
    <t>SubCat 6</t>
  </si>
  <si>
    <t>SKU 15</t>
  </si>
  <si>
    <t>Swiggy_Bangalore_Product_16</t>
  </si>
  <si>
    <t>Chain 2_Depot 7_SKU 16</t>
  </si>
  <si>
    <t>SKU 16</t>
  </si>
  <si>
    <t>Reliance_Chennai_Product_11</t>
  </si>
  <si>
    <t>Chain 5_Depot 8_SKU 11</t>
  </si>
  <si>
    <t>Grofers_Ahmedabad_Product_9</t>
  </si>
  <si>
    <t>Chain 6_Depot 4_SKU 9</t>
  </si>
  <si>
    <t>Chain 6</t>
  </si>
  <si>
    <t>Swiggy_Mundka_Product_17</t>
  </si>
  <si>
    <t>Chain 2_Depot 2_SKU 17</t>
  </si>
  <si>
    <t>SubCat 7</t>
  </si>
  <si>
    <t>SKU 17</t>
  </si>
  <si>
    <t>Swiggy_Kolkata CFA_Product_11</t>
  </si>
  <si>
    <t>Chain 2_Depot 5_SKU 11</t>
  </si>
  <si>
    <t>Reliance_Ahmedabad_Product_18</t>
  </si>
  <si>
    <t>Chain 5_Depot 4_SKU 18</t>
  </si>
  <si>
    <t>SKU 18</t>
  </si>
  <si>
    <t>Jharkhand_JH-Aggregated_Product_19</t>
  </si>
  <si>
    <t>Chain 1_Depot 1_SKU 19</t>
  </si>
  <si>
    <t>SubCat 8</t>
  </si>
  <si>
    <t>SKU 19</t>
  </si>
  <si>
    <t>Swiggy_Kolkata CFA_Product_20</t>
  </si>
  <si>
    <t>Chain 2_Depot 5_SKU 20</t>
  </si>
  <si>
    <t>SKU 20</t>
  </si>
  <si>
    <t>Grofers_Mundka_Product_21</t>
  </si>
  <si>
    <t>Chain 6_Depot 2_SKU 21</t>
  </si>
  <si>
    <t>SubCat 9</t>
  </si>
  <si>
    <t>SKU 21</t>
  </si>
  <si>
    <t>Grofers_Hyderabad_Product_21</t>
  </si>
  <si>
    <t>Chain 6_Depot 9_SKU 21</t>
  </si>
  <si>
    <t>Depot 9</t>
  </si>
  <si>
    <t>Maharashtra_MH-Aggregated_Product_22</t>
  </si>
  <si>
    <t>Chain 3_Depot 3_SKU 22</t>
  </si>
  <si>
    <t>SubCat 10</t>
  </si>
  <si>
    <t>SKU 22</t>
  </si>
  <si>
    <t>Maharashtra_MH-Aggregated_Product_23</t>
  </si>
  <si>
    <t>Chain 3_Depot 3_SKU 23</t>
  </si>
  <si>
    <t>SKU 23</t>
  </si>
  <si>
    <t>Reliance_Mundka_Product_9</t>
  </si>
  <si>
    <t>Chain 5_Depot 2_SKU 9</t>
  </si>
  <si>
    <t>Reliance_Chennai_Product_9</t>
  </si>
  <si>
    <t>Chain 5_Depot 8_SKU 9</t>
  </si>
  <si>
    <t>Reliance_Hyderabad_Product_2</t>
  </si>
  <si>
    <t>Chain 5_Depot 9_SKU 2</t>
  </si>
  <si>
    <t>Reliance_Ahmedabad_Product_9</t>
  </si>
  <si>
    <t>Chain 5_Depot 4_SKU 9</t>
  </si>
  <si>
    <t>Grofers_Kolkata CFA_Product_20</t>
  </si>
  <si>
    <t>Chain 6_Depot 5_SKU 20</t>
  </si>
  <si>
    <t>Reliance_Bangalore_Product_14</t>
  </si>
  <si>
    <t>Chain 5_Depot 7_SKU 14</t>
  </si>
  <si>
    <t>Grofers_Ahmedabad_Product_8</t>
  </si>
  <si>
    <t>Chain 6_Depot 4_SKU 8</t>
  </si>
  <si>
    <t>Grofers_Ahmedabad_Product_14</t>
  </si>
  <si>
    <t>Chain 6_Depot 4_SKU 14</t>
  </si>
  <si>
    <t>Grofers_Kolkata CFA_Product_14</t>
  </si>
  <si>
    <t>Chain 6_Depot 5_SKU 14</t>
  </si>
  <si>
    <t>Zepto_Bhiwandi_Product_24</t>
  </si>
  <si>
    <t>Chain 4_Depot 6_SKU 24</t>
  </si>
  <si>
    <t>SKU 24</t>
  </si>
  <si>
    <t>Forecast</t>
  </si>
  <si>
    <t>Zepto_Bhiwandi_Product_25</t>
  </si>
  <si>
    <t>Chain 4_Depot 6_SKU 25</t>
  </si>
  <si>
    <t>SKU 25</t>
  </si>
  <si>
    <t>Swiggy_Mundka_Product_26</t>
  </si>
  <si>
    <t>Chain 2_Depot 2_SKU 26</t>
  </si>
  <si>
    <t>SKU 26</t>
  </si>
  <si>
    <t>Swiggy_Hyderabad_Product_25</t>
  </si>
  <si>
    <t>Chain 2_Depot 9_SKU 25</t>
  </si>
  <si>
    <t>Grofers_Kolkata CFA_Product_26</t>
  </si>
  <si>
    <t>Chain 6_Depot 5_SKU 26</t>
  </si>
  <si>
    <t>Grofers_Ahmedabad_Product_25</t>
  </si>
  <si>
    <t>Chain 6_Depot 4_SKU 25</t>
  </si>
  <si>
    <t>key_old_date</t>
  </si>
  <si>
    <t>Openin_Inventory</t>
  </si>
  <si>
    <t>OOS Days</t>
  </si>
  <si>
    <t>Safety stock</t>
  </si>
  <si>
    <t>Key_new</t>
  </si>
  <si>
    <t>Recent Trend Category</t>
  </si>
  <si>
    <t>Long-term Trend Category</t>
  </si>
  <si>
    <t>Alert</t>
  </si>
  <si>
    <t>Forecast Summary</t>
  </si>
  <si>
    <t>Grofers</t>
  </si>
  <si>
    <t>Ahmedabad</t>
  </si>
  <si>
    <t>Product_9</t>
  </si>
  <si>
    <t>Growing</t>
  </si>
  <si>
    <t>Stable</t>
  </si>
  <si>
    <t>No Alert</t>
  </si>
  <si>
    <t>No alert: Recent actual (2.9K) normal for recent patterns. Forecasts align with recent growth and stable long-term trend.</t>
  </si>
  <si>
    <t>Mundka</t>
  </si>
  <si>
    <t>Product_21</t>
  </si>
  <si>
    <t>Alert: November actual (97K) and December (256K) unusually high. Forecasts show decline vs last year's strong performance.</t>
  </si>
  <si>
    <t>Hyderabad</t>
  </si>
  <si>
    <t>Alert: Recent actual (32.5K) unusually high vs recent months. Forecasts show decline but long-term trend remains stable.</t>
  </si>
  <si>
    <t>Kolkata CFA</t>
  </si>
  <si>
    <t>Product_20</t>
  </si>
  <si>
    <t>Decline</t>
  </si>
  <si>
    <t>No alert: Recent actual (7K) aligns with recent patterns. Forecasts show decline but long-term trend remains stable.</t>
  </si>
  <si>
    <t>Product_8</t>
  </si>
  <si>
    <t>Alert: Recent actual (52) unusually low vs recent months. Forecasts show decline but long-term trend remains stable.</t>
  </si>
  <si>
    <t>Product_14</t>
  </si>
  <si>
    <t>Alert: Recent actual (949) unusually high vs recent months. Forecasts show modest growth, but last year had 0 demand.</t>
  </si>
  <si>
    <t>Alert: Recent actual (1.99K) unusually high vs last year. Forecasts show decline but recent growth trend remains.</t>
  </si>
  <si>
    <t>Product_26</t>
  </si>
  <si>
    <t>Alert: Recent actual (0) unusually low vs last year. Forecasts show slight increase but remain below historical averages.</t>
  </si>
  <si>
    <t>Product_25</t>
  </si>
  <si>
    <t>Alert: December actual (114) unusually high vs last year. Forecasts show modest growth but remain below recent spikes.</t>
  </si>
  <si>
    <t>Jharkhand</t>
  </si>
  <si>
    <t>JH-Aggregated</t>
  </si>
  <si>
    <t>Product_1</t>
  </si>
  <si>
    <t>No alert: Recent actual (0) aligns with stable trend. Forecasts show recovery with January (1K) up from last year (1.5K).</t>
  </si>
  <si>
    <t>Product_15</t>
  </si>
  <si>
    <t>No alert: Recent actual (222K) low compared to recent averages. Forecasts show decline but remain higher than last year's performance.</t>
  </si>
  <si>
    <t>Product_19</t>
  </si>
  <si>
    <t>No alert: Recent actual (566) normal for recent patterns. Forecasts show recovery with January at 7.2K, stable long-term trend.</t>
  </si>
  <si>
    <t>Maharashtra</t>
  </si>
  <si>
    <t>MH-Aggregated</t>
  </si>
  <si>
    <t>Product_3</t>
  </si>
  <si>
    <t>No alert: Recent actual (7.2K) normal vs recent months. Forecasts show slight recovery but overall decline trend persists.</t>
  </si>
  <si>
    <t>No alert: Recent actual (18K) normal for recent patterns. Forecasts show recovery but long-term decline remains.</t>
  </si>
  <si>
    <t>Product_22</t>
  </si>
  <si>
    <t>Alert: Recent actual (11.6K) unusually low vs recent months. Forecasts show significant decline compared to last year's zero demand.</t>
  </si>
  <si>
    <t>Product_23</t>
  </si>
  <si>
    <t>Alert: Recent actual (12K) unusually high vs recent months. Forecasts show decline but long-term trend remains stable.</t>
  </si>
  <si>
    <t>Reliance</t>
  </si>
  <si>
    <t>Product_5</t>
  </si>
  <si>
    <t>No alert: Recent actual (1.4K) low compared to last year (3.3K). Forecasts show slight recovery but overall decline trend persists.</t>
  </si>
  <si>
    <t>Product_6</t>
  </si>
  <si>
    <t>No alert: Recent actual (557) low compared to last year's (2.0K). Forecasts show continued decline, aligning with long-term trends.</t>
  </si>
  <si>
    <t>Product_7</t>
  </si>
  <si>
    <t>No alert: Recent actual (113) low vs L3M (848) average. Forecasts show recovery but still below last year's (1.9K) levels.</t>
  </si>
  <si>
    <t>Bhiwandi</t>
  </si>
  <si>
    <t>Alert: Recent actual (369) unusually low vs recent months. Forecasts show recovery but still below last year's levels.</t>
  </si>
  <si>
    <t>Bangalore</t>
  </si>
  <si>
    <t>No alert: Recent actual (2.7K) normal for recent patterns. Forecasts show recovery with long-term growth despite recent decline.</t>
  </si>
  <si>
    <t>No alert: Recent actual (44) significantly low vs recent averages. Forecasts show decline, but long-term trend remains stable.</t>
  </si>
  <si>
    <t>Product_10</t>
  </si>
  <si>
    <t>No alert: Recent actual (2.4K) aligns with last year's performance. Forecasts show recovery with long-term growth expected.</t>
  </si>
  <si>
    <t>Product_11</t>
  </si>
  <si>
    <t>No alert: Recent actual (3.9K) aligns with recent growth. Forecasts show variability but reflect long-term decline compared to last year.</t>
  </si>
  <si>
    <t>Product_13</t>
  </si>
  <si>
    <t>No alert: Recent actual (4.2K) normal for recent patterns. Forecasts show decline vs last year's (12.1K) performance.</t>
  </si>
  <si>
    <t>No alert: Recent actual (268) normal for recent patterns. Forecasts show decline vs last year's (403) performance.</t>
  </si>
  <si>
    <t>Product_12</t>
  </si>
  <si>
    <t>No alert: Recent actual (2.4K) normal for recent patterns. Forecasts show slight recovery but overall decline compared to last year.</t>
  </si>
  <si>
    <t>Chennai</t>
  </si>
  <si>
    <t>No alert: Recent actual (271) low vs last year's (1.8K). Forecasts show recovery potential, but recent decline persists.</t>
  </si>
  <si>
    <t>Product_18</t>
  </si>
  <si>
    <t>No alert: Recent actual (2.2K) normal for recent patterns. Forecasts show a decline but align with stable long-term trend.</t>
  </si>
  <si>
    <t>No alert: Recent actual (2.4K) normal for recent patterns. Forecasts show decline but long-term trend remains stable.</t>
  </si>
  <si>
    <t>No alert: Recent actual (806) normal vs last year's (726). Forecasts show decline but long-term trend remains stable.</t>
  </si>
  <si>
    <t>Product_2</t>
  </si>
  <si>
    <t>No alert: Recent actual (0) consistent with zero demand. Forecasts remain stable, reflecting last year's performance.</t>
  </si>
  <si>
    <t>No alert: Recent actual (852) aligns with recent decline. Forecasts show lower demand vs last year but stable long-term trend.</t>
  </si>
  <si>
    <t>Alert: Recent actual (71) unusually low vs recent months. Forecasts show recovery but still below last year's levels.</t>
  </si>
  <si>
    <t>Swiggy</t>
  </si>
  <si>
    <t>No alert: Recent actual (847) low but consistent with recent decline. Forecasts show slight recovery but remain below last year's levels.</t>
  </si>
  <si>
    <t>No alert: Recent actual (0) aligns with recent patterns. Forecasts show recovery with January at (170) vs last year's (198).</t>
  </si>
  <si>
    <t>No alert: Recent actual (479) aligns with declining trend. Forecasts show gradual recovery but remain below last year's levels.</t>
  </si>
  <si>
    <t>No alert: Recent actual (2.3K) normal for recent patterns. Forecasts show decline vs last year's 0.</t>
  </si>
  <si>
    <t>Product_16</t>
  </si>
  <si>
    <t>No alert: Recent actual (3.2K) normal for recent patterns. Forecasts show growth aligning with stable long-term trend.</t>
  </si>
  <si>
    <t>Product_17</t>
  </si>
  <si>
    <t>No alert: Recent actual (0) consistent with historical data. Forecasts remain stable with no demand changes expected.</t>
  </si>
  <si>
    <t>No alert: Recent actual (270) normal compared to last year's (153). Forecasts show decline but long-term trend remains stable.</t>
  </si>
  <si>
    <t>Alert: October actual (9K) unusually high vs recent months. Forecasts show growth but remain below last year's levels.</t>
  </si>
  <si>
    <t>Alert: Recent actual (384) unusually high vs last year. Forecasts show modest growth but remain below last year's levels.</t>
  </si>
  <si>
    <t>Alert: Recent actual (467) unusually high vs last year. Forecasts show modest growth but remain below historical averages.</t>
  </si>
  <si>
    <t>Zepto</t>
  </si>
  <si>
    <t>Product_4</t>
  </si>
  <si>
    <t>Alert: Recent actual (3.7K) unusually low vs recent months. Forecasts show growth vs last year's 0.</t>
  </si>
  <si>
    <t>Alert: Recent actual (5.3K) unusually low vs recent months. Forecasts show decline despite recent growth, last year was 0.</t>
  </si>
  <si>
    <t>Alert: Recent actual (1.3K) unusually high vs last year. Forecasts show growth, but values are significantly above previous year's zero.</t>
  </si>
  <si>
    <t>No alert: Recent actual (1K) aligns with recent growth. Forecasts show decline vs last year's (495) seasonal performance.</t>
  </si>
  <si>
    <t>Product_24</t>
  </si>
  <si>
    <t>Alert: Recent actual (1.8K) unusually low vs recent months. Forecasts show slight growth but remain below last year's levels.</t>
  </si>
  <si>
    <t>Alert: Recent actual (1.6K) unusually high vs recent months. Forecasts show modest growth but last year was 0.</t>
  </si>
  <si>
    <t>key</t>
  </si>
  <si>
    <t>ChangeInPrice</t>
  </si>
  <si>
    <t>PredictedForecast</t>
  </si>
  <si>
    <t>ActualForecast</t>
  </si>
  <si>
    <t>Elasticity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</si>
</sst>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CDD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/>
    <xf numFmtId="165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0" fontId="0" fillId="0" borderId="3" xfId="0" applyBorder="1"/>
    <xf numFmtId="0" fontId="4" fillId="0" borderId="1" xfId="0" applyFont="1" applyBorder="1"/>
    <xf numFmtId="0" fontId="4" fillId="0" borderId="2" xfId="0" applyFont="1" applyBorder="1"/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4" fontId="5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35"/>
  <sheetViews>
    <sheetView tabSelected="1" topLeftCell="C1" workbookViewId="0">
      <selection activeCell="U2" sqref="U2"/>
    </sheetView>
  </sheetViews>
  <sheetFormatPr defaultRowHeight="14.4" x14ac:dyDescent="0.3"/>
  <cols>
    <col min="1" max="1" width="10.109375" bestFit="1" customWidth="1"/>
    <col min="2" max="2" width="38.44140625" bestFit="1" customWidth="1"/>
    <col min="4" max="4" width="19.33203125" customWidth="1"/>
    <col min="11" max="11" width="10.21875" bestFit="1" customWidth="1"/>
    <col min="20" max="20" width="11.88671875" customWidth="1"/>
    <col min="21" max="21" width="17.88671875" customWidth="1"/>
  </cols>
  <sheetData>
    <row r="1" spans="1:33" x14ac:dyDescent="0.3">
      <c r="A1" s="14" t="s">
        <v>0</v>
      </c>
      <c r="B1" s="14" t="s">
        <v>179</v>
      </c>
      <c r="C1" s="14" t="s">
        <v>1</v>
      </c>
      <c r="D1" s="14" t="s">
        <v>283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286</v>
      </c>
      <c r="L1" s="15" t="s">
        <v>285</v>
      </c>
      <c r="M1" s="16" t="s">
        <v>8</v>
      </c>
      <c r="N1" s="16" t="s">
        <v>9</v>
      </c>
      <c r="O1" s="15" t="s">
        <v>10</v>
      </c>
      <c r="P1" s="15" t="s">
        <v>11</v>
      </c>
      <c r="Q1" s="15" t="s">
        <v>180</v>
      </c>
      <c r="R1" s="15" t="s">
        <v>181</v>
      </c>
      <c r="S1" s="15" t="s">
        <v>182</v>
      </c>
      <c r="T1" s="16" t="s">
        <v>284</v>
      </c>
      <c r="U1" s="16" t="s">
        <v>287</v>
      </c>
      <c r="V1" s="15" t="s">
        <v>12</v>
      </c>
      <c r="W1" s="15" t="s">
        <v>13</v>
      </c>
      <c r="X1" s="15" t="s">
        <v>14</v>
      </c>
      <c r="Y1" s="15" t="s">
        <v>15</v>
      </c>
      <c r="Z1" s="15" t="s">
        <v>16</v>
      </c>
      <c r="AA1" s="15" t="s">
        <v>17</v>
      </c>
      <c r="AB1" s="15" t="s">
        <v>18</v>
      </c>
      <c r="AC1" s="15" t="s">
        <v>19</v>
      </c>
      <c r="AD1" s="15" t="s">
        <v>20</v>
      </c>
      <c r="AE1" s="15" t="s">
        <v>21</v>
      </c>
      <c r="AF1" s="15" t="s">
        <v>22</v>
      </c>
      <c r="AG1" s="15" t="s">
        <v>23</v>
      </c>
    </row>
    <row r="2" spans="1:33" x14ac:dyDescent="0.3">
      <c r="A2" s="1">
        <v>44562</v>
      </c>
      <c r="B2" s="1" t="str">
        <f>C2&amp;"_"&amp;A2</f>
        <v>Jharkhand_JH-Aggregated_Product_1_44562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t="s">
        <v>31</v>
      </c>
      <c r="K2">
        <v>4</v>
      </c>
      <c r="L2" s="3"/>
      <c r="M2" s="3"/>
      <c r="N2" s="3"/>
      <c r="O2" s="3">
        <f>L2</f>
        <v>0</v>
      </c>
      <c r="P2">
        <v>383.52</v>
      </c>
      <c r="Q2">
        <v>409</v>
      </c>
      <c r="R2">
        <v>0</v>
      </c>
      <c r="S2">
        <v>111</v>
      </c>
      <c r="T2">
        <v>0</v>
      </c>
    </row>
    <row r="3" spans="1:33" x14ac:dyDescent="0.3">
      <c r="A3" s="1">
        <v>44562</v>
      </c>
      <c r="B3" s="1" t="str">
        <f t="shared" ref="B3:B66" si="0">C3&amp;"_"&amp;A3</f>
        <v>Swiggy_Mundka_Product_2_44562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t="s">
        <v>31</v>
      </c>
      <c r="K3">
        <v>2</v>
      </c>
      <c r="L3" s="3"/>
      <c r="M3" s="3"/>
      <c r="N3" s="3"/>
      <c r="O3" s="3">
        <f t="shared" ref="O3:O66" si="1">L3</f>
        <v>0</v>
      </c>
      <c r="P3">
        <v>383.52</v>
      </c>
      <c r="Q3">
        <v>413</v>
      </c>
      <c r="R3">
        <v>11</v>
      </c>
      <c r="S3">
        <v>134</v>
      </c>
      <c r="T3">
        <f>(P3-P2)/100</f>
        <v>0</v>
      </c>
    </row>
    <row r="4" spans="1:33" x14ac:dyDescent="0.3">
      <c r="A4" s="1">
        <v>44562</v>
      </c>
      <c r="B4" s="1" t="str">
        <f t="shared" si="0"/>
        <v>Maharashtra_MH-Aggregated_Product_3_44562</v>
      </c>
      <c r="C4" s="2" t="s">
        <v>39</v>
      </c>
      <c r="D4" s="2" t="s">
        <v>40</v>
      </c>
      <c r="E4" s="2" t="s">
        <v>26</v>
      </c>
      <c r="F4" s="2" t="s">
        <v>41</v>
      </c>
      <c r="G4" s="2" t="s">
        <v>42</v>
      </c>
      <c r="H4" s="2" t="s">
        <v>37</v>
      </c>
      <c r="I4" s="2" t="s">
        <v>43</v>
      </c>
      <c r="J4" t="s">
        <v>31</v>
      </c>
      <c r="K4">
        <v>3</v>
      </c>
      <c r="L4" s="3"/>
      <c r="M4" s="3"/>
      <c r="N4" s="3"/>
      <c r="O4" s="3">
        <f t="shared" si="1"/>
        <v>0</v>
      </c>
      <c r="P4">
        <v>672</v>
      </c>
      <c r="Q4">
        <v>305</v>
      </c>
      <c r="R4">
        <v>0</v>
      </c>
      <c r="S4">
        <v>127</v>
      </c>
      <c r="T4">
        <f t="shared" ref="T4:T67" si="2">(P4-P3)/100</f>
        <v>2.8848000000000003</v>
      </c>
    </row>
    <row r="5" spans="1:33" x14ac:dyDescent="0.3">
      <c r="A5" s="1">
        <v>44562</v>
      </c>
      <c r="B5" s="1" t="str">
        <f t="shared" si="0"/>
        <v>Zepto_Mundka_Product_4_44562</v>
      </c>
      <c r="C5" s="2" t="s">
        <v>44</v>
      </c>
      <c r="D5" s="2" t="s">
        <v>45</v>
      </c>
      <c r="E5" s="2" t="s">
        <v>34</v>
      </c>
      <c r="F5" s="2" t="s">
        <v>46</v>
      </c>
      <c r="G5" s="2" t="s">
        <v>36</v>
      </c>
      <c r="H5" s="2" t="s">
        <v>47</v>
      </c>
      <c r="I5" s="2" t="s">
        <v>48</v>
      </c>
      <c r="J5" t="s">
        <v>31</v>
      </c>
      <c r="K5">
        <v>1</v>
      </c>
      <c r="L5" s="3"/>
      <c r="M5" s="3"/>
      <c r="N5" s="3"/>
      <c r="O5" s="3">
        <f t="shared" si="1"/>
        <v>0</v>
      </c>
      <c r="P5">
        <v>672</v>
      </c>
      <c r="Q5">
        <v>332</v>
      </c>
      <c r="R5">
        <v>0</v>
      </c>
      <c r="S5">
        <v>142</v>
      </c>
      <c r="T5">
        <f t="shared" si="2"/>
        <v>0</v>
      </c>
    </row>
    <row r="6" spans="1:33" x14ac:dyDescent="0.3">
      <c r="A6" s="1">
        <v>44562</v>
      </c>
      <c r="B6" s="1" t="str">
        <f t="shared" si="0"/>
        <v>Reliance_Ahmedabad_Product_5_44562</v>
      </c>
      <c r="C6" s="2" t="s">
        <v>49</v>
      </c>
      <c r="D6" s="2" t="s">
        <v>50</v>
      </c>
      <c r="E6" s="2" t="s">
        <v>34</v>
      </c>
      <c r="F6" s="2" t="s">
        <v>51</v>
      </c>
      <c r="G6" s="2" t="s">
        <v>52</v>
      </c>
      <c r="H6" s="2" t="s">
        <v>53</v>
      </c>
      <c r="I6" s="2" t="s">
        <v>54</v>
      </c>
      <c r="J6" t="s">
        <v>31</v>
      </c>
      <c r="K6">
        <v>8</v>
      </c>
      <c r="L6" s="3"/>
      <c r="M6" s="3"/>
      <c r="N6" s="3"/>
      <c r="O6" s="3">
        <f t="shared" si="1"/>
        <v>0</v>
      </c>
      <c r="P6">
        <v>421.92</v>
      </c>
      <c r="Q6">
        <v>153</v>
      </c>
      <c r="R6">
        <v>0</v>
      </c>
      <c r="S6">
        <v>132</v>
      </c>
      <c r="T6">
        <f t="shared" si="2"/>
        <v>-2.5007999999999999</v>
      </c>
    </row>
    <row r="7" spans="1:33" x14ac:dyDescent="0.3">
      <c r="A7" s="1">
        <v>44562</v>
      </c>
      <c r="B7" s="1" t="str">
        <f t="shared" si="0"/>
        <v>Reliance_Mundka_Product_6_44562</v>
      </c>
      <c r="C7" s="2" t="s">
        <v>55</v>
      </c>
      <c r="D7" s="2" t="s">
        <v>56</v>
      </c>
      <c r="E7" s="2" t="s">
        <v>34</v>
      </c>
      <c r="F7" s="2" t="s">
        <v>51</v>
      </c>
      <c r="G7" s="2" t="s">
        <v>36</v>
      </c>
      <c r="H7" s="2" t="s">
        <v>37</v>
      </c>
      <c r="I7" s="2" t="s">
        <v>57</v>
      </c>
      <c r="J7" t="s">
        <v>31</v>
      </c>
      <c r="K7">
        <v>2</v>
      </c>
      <c r="L7" s="3"/>
      <c r="M7" s="3"/>
      <c r="N7" s="3"/>
      <c r="O7" s="3">
        <f t="shared" si="1"/>
        <v>0</v>
      </c>
      <c r="P7">
        <v>421.92</v>
      </c>
      <c r="Q7">
        <v>129</v>
      </c>
      <c r="R7">
        <v>0</v>
      </c>
      <c r="S7">
        <v>135</v>
      </c>
      <c r="T7">
        <f t="shared" si="2"/>
        <v>0</v>
      </c>
    </row>
    <row r="8" spans="1:33" x14ac:dyDescent="0.3">
      <c r="A8" s="1">
        <v>44562</v>
      </c>
      <c r="B8" s="1" t="str">
        <f t="shared" si="0"/>
        <v>Reliance_Mundka_Product_7_44562</v>
      </c>
      <c r="C8" s="2" t="s">
        <v>58</v>
      </c>
      <c r="D8" s="2" t="s">
        <v>59</v>
      </c>
      <c r="E8" s="2" t="s">
        <v>34</v>
      </c>
      <c r="F8" s="2" t="s">
        <v>51</v>
      </c>
      <c r="G8" s="2" t="s">
        <v>36</v>
      </c>
      <c r="H8" s="2" t="s">
        <v>37</v>
      </c>
      <c r="I8" s="2" t="s">
        <v>60</v>
      </c>
      <c r="J8" t="s">
        <v>31</v>
      </c>
      <c r="K8">
        <v>4</v>
      </c>
      <c r="L8" s="3"/>
      <c r="M8" s="3"/>
      <c r="N8" s="3"/>
      <c r="O8" s="3">
        <f t="shared" si="1"/>
        <v>0</v>
      </c>
      <c r="P8">
        <v>748.8</v>
      </c>
      <c r="Q8">
        <v>407</v>
      </c>
      <c r="R8">
        <v>0</v>
      </c>
      <c r="S8">
        <v>117</v>
      </c>
      <c r="T8">
        <f t="shared" si="2"/>
        <v>3.2687999999999993</v>
      </c>
    </row>
    <row r="9" spans="1:33" x14ac:dyDescent="0.3">
      <c r="A9" s="1">
        <v>44562</v>
      </c>
      <c r="B9" s="1" t="str">
        <f t="shared" si="0"/>
        <v>Swiggy_Kolkata CFA_Product_3_44562</v>
      </c>
      <c r="C9" s="2" t="s">
        <v>61</v>
      </c>
      <c r="D9" s="2" t="s">
        <v>62</v>
      </c>
      <c r="E9" s="2" t="s">
        <v>34</v>
      </c>
      <c r="F9" s="2" t="s">
        <v>35</v>
      </c>
      <c r="G9" s="2" t="s">
        <v>63</v>
      </c>
      <c r="H9" s="2" t="s">
        <v>37</v>
      </c>
      <c r="I9" s="2" t="s">
        <v>43</v>
      </c>
      <c r="J9" t="s">
        <v>31</v>
      </c>
      <c r="K9">
        <v>1</v>
      </c>
      <c r="L9" s="4"/>
      <c r="M9" s="3"/>
      <c r="N9" s="3"/>
      <c r="O9" s="3">
        <f t="shared" si="1"/>
        <v>0</v>
      </c>
      <c r="P9">
        <v>748.8</v>
      </c>
      <c r="Q9">
        <v>226</v>
      </c>
      <c r="R9">
        <v>2</v>
      </c>
      <c r="S9">
        <v>127</v>
      </c>
      <c r="T9">
        <f t="shared" si="2"/>
        <v>0</v>
      </c>
    </row>
    <row r="10" spans="1:33" x14ac:dyDescent="0.3">
      <c r="A10" s="1">
        <v>44562</v>
      </c>
      <c r="B10" s="1" t="str">
        <f t="shared" si="0"/>
        <v>Reliance_Bhiwandi_Product_8_44562</v>
      </c>
      <c r="C10" s="2" t="s">
        <v>64</v>
      </c>
      <c r="D10" s="2" t="s">
        <v>65</v>
      </c>
      <c r="E10" s="2" t="s">
        <v>34</v>
      </c>
      <c r="F10" s="2" t="s">
        <v>51</v>
      </c>
      <c r="G10" s="2" t="s">
        <v>66</v>
      </c>
      <c r="H10" s="2" t="s">
        <v>67</v>
      </c>
      <c r="I10" s="2" t="s">
        <v>68</v>
      </c>
      <c r="J10" t="s">
        <v>31</v>
      </c>
      <c r="K10">
        <v>6</v>
      </c>
      <c r="L10" s="3"/>
      <c r="M10" s="3"/>
      <c r="N10" s="3"/>
      <c r="O10" s="3">
        <f t="shared" si="1"/>
        <v>0</v>
      </c>
      <c r="P10">
        <v>84</v>
      </c>
      <c r="Q10">
        <v>287</v>
      </c>
      <c r="R10">
        <v>0</v>
      </c>
      <c r="S10">
        <v>126</v>
      </c>
      <c r="T10">
        <f t="shared" si="2"/>
        <v>-6.6479999999999997</v>
      </c>
    </row>
    <row r="11" spans="1:33" x14ac:dyDescent="0.3">
      <c r="A11" s="1">
        <v>44562</v>
      </c>
      <c r="B11" s="1" t="str">
        <f t="shared" si="0"/>
        <v>Maharashtra_MH-Aggregated_Product_9_44562</v>
      </c>
      <c r="C11" s="2" t="s">
        <v>69</v>
      </c>
      <c r="D11" s="2" t="s">
        <v>70</v>
      </c>
      <c r="E11" s="2" t="s">
        <v>26</v>
      </c>
      <c r="F11" s="2" t="s">
        <v>41</v>
      </c>
      <c r="G11" s="2" t="s">
        <v>42</v>
      </c>
      <c r="H11" s="2" t="s">
        <v>37</v>
      </c>
      <c r="I11" s="2" t="s">
        <v>71</v>
      </c>
      <c r="J11" t="s">
        <v>31</v>
      </c>
      <c r="K11">
        <v>11</v>
      </c>
      <c r="L11" s="3"/>
      <c r="M11" s="3"/>
      <c r="N11" s="3"/>
      <c r="O11" s="3">
        <f t="shared" si="1"/>
        <v>0</v>
      </c>
      <c r="P11">
        <v>48</v>
      </c>
      <c r="Q11">
        <v>148</v>
      </c>
      <c r="R11">
        <v>1</v>
      </c>
      <c r="S11">
        <v>119</v>
      </c>
      <c r="T11">
        <f t="shared" si="2"/>
        <v>-0.36</v>
      </c>
    </row>
    <row r="12" spans="1:33" x14ac:dyDescent="0.3">
      <c r="A12" s="1">
        <v>44562</v>
      </c>
      <c r="B12" s="1" t="str">
        <f t="shared" si="0"/>
        <v>Zepto_Mundka_Product_3_44562</v>
      </c>
      <c r="C12" s="2" t="s">
        <v>72</v>
      </c>
      <c r="D12" s="2" t="s">
        <v>73</v>
      </c>
      <c r="E12" s="2" t="s">
        <v>34</v>
      </c>
      <c r="F12" s="2" t="s">
        <v>46</v>
      </c>
      <c r="G12" s="2" t="s">
        <v>36</v>
      </c>
      <c r="H12" s="2" t="s">
        <v>37</v>
      </c>
      <c r="I12" s="2" t="s">
        <v>43</v>
      </c>
      <c r="J12" t="s">
        <v>31</v>
      </c>
      <c r="K12">
        <v>13</v>
      </c>
      <c r="L12" s="3"/>
      <c r="M12" s="3"/>
      <c r="N12" s="3"/>
      <c r="O12" s="3">
        <f t="shared" si="1"/>
        <v>0</v>
      </c>
      <c r="P12">
        <v>383.52</v>
      </c>
      <c r="Q12">
        <v>290</v>
      </c>
      <c r="R12">
        <v>0</v>
      </c>
      <c r="S12">
        <v>127</v>
      </c>
      <c r="T12">
        <f t="shared" si="2"/>
        <v>3.3552</v>
      </c>
    </row>
    <row r="13" spans="1:33" x14ac:dyDescent="0.3">
      <c r="A13" s="1">
        <v>44562</v>
      </c>
      <c r="B13" s="1" t="str">
        <f t="shared" si="0"/>
        <v>Zepto_Bhiwandi_Product_10_44562</v>
      </c>
      <c r="C13" s="2" t="s">
        <v>74</v>
      </c>
      <c r="D13" s="2" t="s">
        <v>75</v>
      </c>
      <c r="E13" s="2" t="s">
        <v>34</v>
      </c>
      <c r="F13" s="2" t="s">
        <v>46</v>
      </c>
      <c r="G13" s="2" t="s">
        <v>66</v>
      </c>
      <c r="H13" s="2" t="s">
        <v>67</v>
      </c>
      <c r="I13" s="2" t="s">
        <v>76</v>
      </c>
      <c r="J13" t="s">
        <v>31</v>
      </c>
      <c r="K13">
        <v>3</v>
      </c>
      <c r="L13" s="3"/>
      <c r="M13" s="3"/>
      <c r="N13" s="3"/>
      <c r="O13" s="3">
        <f t="shared" si="1"/>
        <v>0</v>
      </c>
      <c r="P13">
        <v>383.52</v>
      </c>
      <c r="Q13">
        <v>205</v>
      </c>
      <c r="R13">
        <v>0</v>
      </c>
      <c r="S13">
        <v>106</v>
      </c>
      <c r="T13">
        <f t="shared" si="2"/>
        <v>0</v>
      </c>
    </row>
    <row r="14" spans="1:33" x14ac:dyDescent="0.3">
      <c r="A14" s="1">
        <v>44562</v>
      </c>
      <c r="B14" s="1" t="str">
        <f t="shared" si="0"/>
        <v>Reliance_Bangalore_Product_8_44562</v>
      </c>
      <c r="C14" s="2" t="s">
        <v>77</v>
      </c>
      <c r="D14" s="2" t="s">
        <v>78</v>
      </c>
      <c r="E14" s="2" t="s">
        <v>34</v>
      </c>
      <c r="F14" s="2" t="s">
        <v>51</v>
      </c>
      <c r="G14" s="2" t="s">
        <v>79</v>
      </c>
      <c r="H14" s="2" t="s">
        <v>67</v>
      </c>
      <c r="I14" s="2" t="s">
        <v>68</v>
      </c>
      <c r="J14" t="s">
        <v>31</v>
      </c>
      <c r="K14">
        <v>5</v>
      </c>
      <c r="L14" s="3"/>
      <c r="M14" s="3"/>
      <c r="N14" s="3"/>
      <c r="O14" s="3">
        <f t="shared" si="1"/>
        <v>0</v>
      </c>
      <c r="P14">
        <v>672</v>
      </c>
      <c r="Q14">
        <v>395</v>
      </c>
      <c r="R14">
        <v>7</v>
      </c>
      <c r="S14">
        <v>126</v>
      </c>
      <c r="T14">
        <f t="shared" si="2"/>
        <v>2.8848000000000003</v>
      </c>
    </row>
    <row r="15" spans="1:33" x14ac:dyDescent="0.3">
      <c r="A15" s="1">
        <v>44562</v>
      </c>
      <c r="B15" s="1" t="str">
        <f t="shared" si="0"/>
        <v>Reliance_Bangalore_Product_3_44562</v>
      </c>
      <c r="C15" s="2" t="s">
        <v>80</v>
      </c>
      <c r="D15" s="2" t="s">
        <v>81</v>
      </c>
      <c r="E15" s="2" t="s">
        <v>34</v>
      </c>
      <c r="F15" s="2" t="s">
        <v>51</v>
      </c>
      <c r="G15" s="2" t="s">
        <v>79</v>
      </c>
      <c r="H15" s="2" t="s">
        <v>37</v>
      </c>
      <c r="I15" s="2" t="s">
        <v>43</v>
      </c>
      <c r="J15" t="s">
        <v>31</v>
      </c>
      <c r="K15">
        <v>2</v>
      </c>
      <c r="L15" s="3"/>
      <c r="M15" s="3"/>
      <c r="N15" s="3"/>
      <c r="O15" s="3">
        <f t="shared" si="1"/>
        <v>0</v>
      </c>
      <c r="P15">
        <v>672</v>
      </c>
      <c r="Q15">
        <v>312</v>
      </c>
      <c r="R15">
        <v>3</v>
      </c>
      <c r="S15">
        <v>127</v>
      </c>
      <c r="T15">
        <f t="shared" si="2"/>
        <v>0</v>
      </c>
    </row>
    <row r="16" spans="1:33" x14ac:dyDescent="0.3">
      <c r="A16" s="1">
        <v>44562</v>
      </c>
      <c r="B16" s="1" t="str">
        <f t="shared" si="0"/>
        <v>Swiggy_Chennai_Product_3_44562</v>
      </c>
      <c r="C16" s="2" t="s">
        <v>82</v>
      </c>
      <c r="D16" s="2" t="s">
        <v>83</v>
      </c>
      <c r="E16" s="2" t="s">
        <v>34</v>
      </c>
      <c r="F16" s="2" t="s">
        <v>35</v>
      </c>
      <c r="G16" s="2" t="s">
        <v>84</v>
      </c>
      <c r="H16" s="2" t="s">
        <v>37</v>
      </c>
      <c r="I16" s="2" t="s">
        <v>43</v>
      </c>
      <c r="J16" t="s">
        <v>31</v>
      </c>
      <c r="K16">
        <v>29</v>
      </c>
      <c r="L16" s="3"/>
      <c r="M16" s="3"/>
      <c r="N16" s="3"/>
      <c r="O16" s="3">
        <f t="shared" si="1"/>
        <v>0</v>
      </c>
      <c r="P16">
        <v>421.92</v>
      </c>
      <c r="Q16">
        <v>485</v>
      </c>
      <c r="R16">
        <v>6</v>
      </c>
      <c r="S16">
        <v>127</v>
      </c>
      <c r="T16">
        <f t="shared" si="2"/>
        <v>-2.5007999999999999</v>
      </c>
    </row>
    <row r="17" spans="1:20" x14ac:dyDescent="0.3">
      <c r="A17" s="1">
        <v>44562</v>
      </c>
      <c r="B17" s="1" t="str">
        <f t="shared" si="0"/>
        <v>Reliance_Bhiwandi_Product_10_44562</v>
      </c>
      <c r="C17" s="2" t="s">
        <v>85</v>
      </c>
      <c r="D17" s="2" t="s">
        <v>86</v>
      </c>
      <c r="E17" s="2" t="s">
        <v>34</v>
      </c>
      <c r="F17" s="2" t="s">
        <v>51</v>
      </c>
      <c r="G17" s="2" t="s">
        <v>66</v>
      </c>
      <c r="H17" s="2" t="s">
        <v>67</v>
      </c>
      <c r="I17" s="2" t="s">
        <v>76</v>
      </c>
      <c r="J17" t="s">
        <v>31</v>
      </c>
      <c r="K17">
        <v>6</v>
      </c>
      <c r="L17" s="3"/>
      <c r="M17" s="3"/>
      <c r="N17" s="3"/>
      <c r="O17" s="3">
        <f t="shared" si="1"/>
        <v>0</v>
      </c>
      <c r="P17">
        <v>421.92</v>
      </c>
      <c r="Q17">
        <v>142</v>
      </c>
      <c r="R17">
        <v>0</v>
      </c>
      <c r="S17">
        <v>106</v>
      </c>
      <c r="T17">
        <f t="shared" si="2"/>
        <v>0</v>
      </c>
    </row>
    <row r="18" spans="1:20" x14ac:dyDescent="0.3">
      <c r="A18" s="1">
        <v>44562</v>
      </c>
      <c r="B18" s="1" t="str">
        <f t="shared" si="0"/>
        <v>Reliance_Bhiwandi_Product_11_44562</v>
      </c>
      <c r="C18" s="2" t="s">
        <v>87</v>
      </c>
      <c r="D18" s="2" t="s">
        <v>88</v>
      </c>
      <c r="E18" s="2" t="s">
        <v>34</v>
      </c>
      <c r="F18" s="2" t="s">
        <v>51</v>
      </c>
      <c r="G18" s="2" t="s">
        <v>66</v>
      </c>
      <c r="H18" s="2" t="s">
        <v>67</v>
      </c>
      <c r="I18" s="2" t="s">
        <v>89</v>
      </c>
      <c r="J18" t="s">
        <v>31</v>
      </c>
      <c r="K18">
        <v>10</v>
      </c>
      <c r="L18" s="3"/>
      <c r="M18" s="3"/>
      <c r="N18" s="3"/>
      <c r="O18" s="3">
        <f t="shared" si="1"/>
        <v>0</v>
      </c>
      <c r="P18">
        <v>748.8</v>
      </c>
      <c r="Q18">
        <v>386</v>
      </c>
      <c r="R18">
        <v>5</v>
      </c>
      <c r="S18">
        <v>131</v>
      </c>
      <c r="T18">
        <f t="shared" si="2"/>
        <v>3.2687999999999993</v>
      </c>
    </row>
    <row r="19" spans="1:20" x14ac:dyDescent="0.3">
      <c r="A19" s="1">
        <v>44562</v>
      </c>
      <c r="B19" s="1" t="str">
        <f t="shared" si="0"/>
        <v>Zepto_Bangalore_Product_12_44562</v>
      </c>
      <c r="C19" s="2" t="s">
        <v>90</v>
      </c>
      <c r="D19" s="2" t="s">
        <v>91</v>
      </c>
      <c r="E19" s="2" t="s">
        <v>34</v>
      </c>
      <c r="F19" s="2" t="s">
        <v>46</v>
      </c>
      <c r="G19" s="2" t="s">
        <v>79</v>
      </c>
      <c r="H19" s="2" t="s">
        <v>67</v>
      </c>
      <c r="I19" s="2" t="s">
        <v>92</v>
      </c>
      <c r="J19" t="s">
        <v>31</v>
      </c>
      <c r="K19">
        <v>3</v>
      </c>
      <c r="L19" s="3"/>
      <c r="M19" s="3"/>
      <c r="N19" s="3"/>
      <c r="O19" s="3">
        <f t="shared" si="1"/>
        <v>0</v>
      </c>
      <c r="P19">
        <v>748.8</v>
      </c>
      <c r="Q19">
        <v>187</v>
      </c>
      <c r="R19">
        <v>14</v>
      </c>
      <c r="S19">
        <v>94</v>
      </c>
      <c r="T19">
        <f t="shared" si="2"/>
        <v>0</v>
      </c>
    </row>
    <row r="20" spans="1:20" x14ac:dyDescent="0.3">
      <c r="A20" s="1">
        <v>44562</v>
      </c>
      <c r="B20" s="1" t="str">
        <f t="shared" si="0"/>
        <v>Reliance_Bangalore_Product_13_44562</v>
      </c>
      <c r="C20" s="2" t="s">
        <v>93</v>
      </c>
      <c r="D20" s="2" t="s">
        <v>94</v>
      </c>
      <c r="E20" s="2" t="s">
        <v>34</v>
      </c>
      <c r="F20" s="2" t="s">
        <v>51</v>
      </c>
      <c r="G20" s="2" t="s">
        <v>79</v>
      </c>
      <c r="H20" s="2" t="s">
        <v>67</v>
      </c>
      <c r="I20" s="2" t="s">
        <v>95</v>
      </c>
      <c r="J20" t="s">
        <v>31</v>
      </c>
      <c r="K20">
        <v>17</v>
      </c>
      <c r="L20" s="3"/>
      <c r="M20" s="3"/>
      <c r="N20" s="3"/>
      <c r="O20" s="3">
        <f t="shared" si="1"/>
        <v>0</v>
      </c>
      <c r="P20">
        <v>84</v>
      </c>
      <c r="Q20">
        <v>164</v>
      </c>
      <c r="R20">
        <v>7</v>
      </c>
      <c r="S20">
        <v>113</v>
      </c>
      <c r="T20">
        <f t="shared" si="2"/>
        <v>-6.6479999999999997</v>
      </c>
    </row>
    <row r="21" spans="1:20" x14ac:dyDescent="0.3">
      <c r="A21" s="1">
        <v>44562</v>
      </c>
      <c r="B21" s="1" t="str">
        <f t="shared" si="0"/>
        <v>Swiggy_Mundka_Product_14_44562</v>
      </c>
      <c r="C21" s="2" t="s">
        <v>96</v>
      </c>
      <c r="D21" s="2" t="s">
        <v>97</v>
      </c>
      <c r="E21" s="2" t="s">
        <v>34</v>
      </c>
      <c r="F21" s="2" t="s">
        <v>35</v>
      </c>
      <c r="G21" s="2" t="s">
        <v>36</v>
      </c>
      <c r="H21" s="2" t="s">
        <v>47</v>
      </c>
      <c r="I21" s="2" t="s">
        <v>98</v>
      </c>
      <c r="J21" t="s">
        <v>31</v>
      </c>
      <c r="K21">
        <v>38</v>
      </c>
      <c r="L21" s="3"/>
      <c r="M21" s="3"/>
      <c r="N21" s="3"/>
      <c r="O21" s="3">
        <f t="shared" si="1"/>
        <v>0</v>
      </c>
      <c r="P21">
        <v>48</v>
      </c>
      <c r="Q21">
        <v>183</v>
      </c>
      <c r="R21">
        <v>3</v>
      </c>
      <c r="S21">
        <v>97</v>
      </c>
      <c r="T21">
        <f t="shared" si="2"/>
        <v>-0.36</v>
      </c>
    </row>
    <row r="22" spans="1:20" x14ac:dyDescent="0.3">
      <c r="A22" s="1">
        <v>44562</v>
      </c>
      <c r="B22" s="1" t="str">
        <f t="shared" si="0"/>
        <v>Reliance_Ahmedabad_Product_7_44562</v>
      </c>
      <c r="C22" s="2" t="s">
        <v>99</v>
      </c>
      <c r="D22" s="2" t="s">
        <v>100</v>
      </c>
      <c r="E22" s="2" t="s">
        <v>34</v>
      </c>
      <c r="F22" s="2" t="s">
        <v>51</v>
      </c>
      <c r="G22" s="2" t="s">
        <v>52</v>
      </c>
      <c r="H22" s="2" t="s">
        <v>37</v>
      </c>
      <c r="I22" s="2" t="s">
        <v>60</v>
      </c>
      <c r="J22" t="s">
        <v>31</v>
      </c>
      <c r="K22">
        <v>3</v>
      </c>
      <c r="L22" s="3"/>
      <c r="M22" s="3"/>
      <c r="N22" s="3"/>
      <c r="O22" s="3">
        <f t="shared" si="1"/>
        <v>0</v>
      </c>
      <c r="P22">
        <v>383.52</v>
      </c>
      <c r="Q22">
        <v>141</v>
      </c>
      <c r="R22">
        <v>4</v>
      </c>
      <c r="S22">
        <v>117</v>
      </c>
      <c r="T22">
        <f t="shared" si="2"/>
        <v>3.3552</v>
      </c>
    </row>
    <row r="23" spans="1:20" x14ac:dyDescent="0.3">
      <c r="A23" s="1">
        <v>44562</v>
      </c>
      <c r="B23" s="1" t="str">
        <f t="shared" si="0"/>
        <v>Reliance_Kolkata CFA_Product_12_44562</v>
      </c>
      <c r="C23" s="2" t="s">
        <v>101</v>
      </c>
      <c r="D23" s="2" t="s">
        <v>102</v>
      </c>
      <c r="E23" s="2" t="s">
        <v>34</v>
      </c>
      <c r="F23" s="2" t="s">
        <v>51</v>
      </c>
      <c r="G23" s="2" t="s">
        <v>63</v>
      </c>
      <c r="H23" s="2" t="s">
        <v>67</v>
      </c>
      <c r="I23" s="2" t="s">
        <v>92</v>
      </c>
      <c r="J23" t="s">
        <v>31</v>
      </c>
      <c r="K23">
        <v>2</v>
      </c>
      <c r="L23" s="3"/>
      <c r="M23" s="3"/>
      <c r="N23" s="3"/>
      <c r="O23" s="3">
        <f t="shared" si="1"/>
        <v>0</v>
      </c>
      <c r="P23">
        <v>383.52</v>
      </c>
      <c r="Q23">
        <v>391</v>
      </c>
      <c r="R23">
        <v>4</v>
      </c>
      <c r="S23">
        <v>94</v>
      </c>
      <c r="T23">
        <f t="shared" si="2"/>
        <v>0</v>
      </c>
    </row>
    <row r="24" spans="1:20" x14ac:dyDescent="0.3">
      <c r="A24" s="1">
        <v>44562</v>
      </c>
      <c r="B24" s="1" t="str">
        <f t="shared" si="0"/>
        <v>Jharkhand_JH-Aggregated_Product_15_44562</v>
      </c>
      <c r="C24" s="2" t="s">
        <v>103</v>
      </c>
      <c r="D24" s="2" t="s">
        <v>104</v>
      </c>
      <c r="E24" s="2" t="s">
        <v>26</v>
      </c>
      <c r="F24" s="2" t="s">
        <v>27</v>
      </c>
      <c r="G24" s="2" t="s">
        <v>28</v>
      </c>
      <c r="H24" s="2" t="s">
        <v>105</v>
      </c>
      <c r="I24" s="2" t="s">
        <v>106</v>
      </c>
      <c r="J24" t="s">
        <v>31</v>
      </c>
      <c r="K24">
        <v>3</v>
      </c>
      <c r="L24" s="3"/>
      <c r="M24" s="3"/>
      <c r="N24" s="3"/>
      <c r="O24" s="3">
        <f t="shared" si="1"/>
        <v>0</v>
      </c>
      <c r="P24">
        <v>672</v>
      </c>
      <c r="Q24">
        <v>476</v>
      </c>
      <c r="R24">
        <v>8</v>
      </c>
      <c r="S24">
        <v>143</v>
      </c>
      <c r="T24">
        <f t="shared" si="2"/>
        <v>2.8848000000000003</v>
      </c>
    </row>
    <row r="25" spans="1:20" x14ac:dyDescent="0.3">
      <c r="A25" s="1">
        <v>44593</v>
      </c>
      <c r="B25" s="1" t="str">
        <f t="shared" si="0"/>
        <v>Jharkhand_JH-Aggregated_Product_15_44593</v>
      </c>
      <c r="C25" s="2" t="s">
        <v>103</v>
      </c>
      <c r="D25" s="2" t="s">
        <v>104</v>
      </c>
      <c r="E25" s="2" t="s">
        <v>26</v>
      </c>
      <c r="F25" s="2" t="s">
        <v>27</v>
      </c>
      <c r="G25" s="2" t="s">
        <v>28</v>
      </c>
      <c r="H25" s="2" t="s">
        <v>105</v>
      </c>
      <c r="I25" s="2" t="s">
        <v>106</v>
      </c>
      <c r="J25" t="s">
        <v>31</v>
      </c>
      <c r="K25">
        <v>1</v>
      </c>
      <c r="L25" s="3"/>
      <c r="M25" s="3"/>
      <c r="N25" s="3"/>
      <c r="O25" s="3">
        <f t="shared" si="1"/>
        <v>0</v>
      </c>
      <c r="P25">
        <v>672</v>
      </c>
      <c r="Q25">
        <v>291</v>
      </c>
      <c r="R25">
        <v>0</v>
      </c>
      <c r="S25">
        <v>143</v>
      </c>
      <c r="T25">
        <f t="shared" si="2"/>
        <v>0</v>
      </c>
    </row>
    <row r="26" spans="1:20" x14ac:dyDescent="0.3">
      <c r="A26" s="1">
        <v>44593</v>
      </c>
      <c r="B26" s="1" t="str">
        <f t="shared" si="0"/>
        <v>Reliance_Bangalore_Product_8_44593</v>
      </c>
      <c r="C26" s="2" t="s">
        <v>77</v>
      </c>
      <c r="D26" s="2" t="s">
        <v>78</v>
      </c>
      <c r="E26" s="2" t="s">
        <v>34</v>
      </c>
      <c r="F26" s="2" t="s">
        <v>51</v>
      </c>
      <c r="G26" s="2" t="s">
        <v>79</v>
      </c>
      <c r="H26" s="2" t="s">
        <v>67</v>
      </c>
      <c r="I26" s="2" t="s">
        <v>68</v>
      </c>
      <c r="J26" t="s">
        <v>31</v>
      </c>
      <c r="K26">
        <v>7</v>
      </c>
      <c r="L26" s="3"/>
      <c r="M26" s="3"/>
      <c r="N26" s="3"/>
      <c r="O26" s="3">
        <f t="shared" si="1"/>
        <v>0</v>
      </c>
      <c r="P26">
        <v>421.92</v>
      </c>
      <c r="Q26">
        <v>124</v>
      </c>
      <c r="R26">
        <v>5</v>
      </c>
      <c r="S26">
        <v>126</v>
      </c>
      <c r="T26">
        <f t="shared" si="2"/>
        <v>-2.5007999999999999</v>
      </c>
    </row>
    <row r="27" spans="1:20" x14ac:dyDescent="0.3">
      <c r="A27" s="1">
        <v>44593</v>
      </c>
      <c r="B27" s="1" t="str">
        <f t="shared" si="0"/>
        <v>Reliance_Bhiwandi_Product_8_44593</v>
      </c>
      <c r="C27" s="2" t="s">
        <v>64</v>
      </c>
      <c r="D27" s="2" t="s">
        <v>65</v>
      </c>
      <c r="E27" s="2" t="s">
        <v>34</v>
      </c>
      <c r="F27" s="2" t="s">
        <v>51</v>
      </c>
      <c r="G27" s="2" t="s">
        <v>66</v>
      </c>
      <c r="H27" s="2" t="s">
        <v>67</v>
      </c>
      <c r="I27" s="2" t="s">
        <v>68</v>
      </c>
      <c r="J27" t="s">
        <v>31</v>
      </c>
      <c r="K27">
        <v>2</v>
      </c>
      <c r="L27" s="3"/>
      <c r="M27" s="3"/>
      <c r="N27" s="3"/>
      <c r="O27" s="3">
        <f t="shared" si="1"/>
        <v>0</v>
      </c>
      <c r="P27">
        <v>421.92</v>
      </c>
      <c r="Q27">
        <v>150</v>
      </c>
      <c r="R27">
        <v>2</v>
      </c>
      <c r="S27">
        <v>126</v>
      </c>
      <c r="T27">
        <f t="shared" si="2"/>
        <v>0</v>
      </c>
    </row>
    <row r="28" spans="1:20" x14ac:dyDescent="0.3">
      <c r="A28" s="1">
        <v>44593</v>
      </c>
      <c r="B28" s="1" t="str">
        <f t="shared" si="0"/>
        <v>Reliance_Mundka_Product_7_44593</v>
      </c>
      <c r="C28" s="2" t="s">
        <v>58</v>
      </c>
      <c r="D28" s="2" t="s">
        <v>59</v>
      </c>
      <c r="E28" s="2" t="s">
        <v>34</v>
      </c>
      <c r="F28" s="2" t="s">
        <v>51</v>
      </c>
      <c r="G28" s="2" t="s">
        <v>36</v>
      </c>
      <c r="H28" s="2" t="s">
        <v>37</v>
      </c>
      <c r="I28" s="2" t="s">
        <v>60</v>
      </c>
      <c r="J28" t="s">
        <v>31</v>
      </c>
      <c r="K28">
        <v>3</v>
      </c>
      <c r="L28" s="3"/>
      <c r="M28" s="3"/>
      <c r="N28" s="3"/>
      <c r="O28" s="3">
        <f t="shared" si="1"/>
        <v>0</v>
      </c>
      <c r="P28">
        <v>748.8</v>
      </c>
      <c r="Q28">
        <v>240</v>
      </c>
      <c r="R28">
        <v>0</v>
      </c>
      <c r="S28">
        <v>117</v>
      </c>
      <c r="T28">
        <f t="shared" si="2"/>
        <v>3.2687999999999993</v>
      </c>
    </row>
    <row r="29" spans="1:20" x14ac:dyDescent="0.3">
      <c r="A29" s="1">
        <v>44593</v>
      </c>
      <c r="B29" s="1" t="str">
        <f t="shared" si="0"/>
        <v>Swiggy_Kolkata CFA_Product_3_44593</v>
      </c>
      <c r="C29" s="2" t="s">
        <v>61</v>
      </c>
      <c r="D29" s="2" t="s">
        <v>62</v>
      </c>
      <c r="E29" s="2" t="s">
        <v>34</v>
      </c>
      <c r="F29" s="2" t="s">
        <v>35</v>
      </c>
      <c r="G29" s="2" t="s">
        <v>63</v>
      </c>
      <c r="H29" s="2" t="s">
        <v>37</v>
      </c>
      <c r="I29" s="2" t="s">
        <v>43</v>
      </c>
      <c r="J29" t="s">
        <v>31</v>
      </c>
      <c r="K29">
        <v>1</v>
      </c>
      <c r="L29" s="3"/>
      <c r="M29" s="3"/>
      <c r="N29" s="3"/>
      <c r="O29" s="3">
        <f t="shared" si="1"/>
        <v>0</v>
      </c>
      <c r="P29">
        <v>748.8</v>
      </c>
      <c r="Q29">
        <v>496</v>
      </c>
      <c r="R29">
        <v>1</v>
      </c>
      <c r="S29">
        <v>127</v>
      </c>
      <c r="T29">
        <f t="shared" si="2"/>
        <v>0</v>
      </c>
    </row>
    <row r="30" spans="1:20" x14ac:dyDescent="0.3">
      <c r="A30" s="1">
        <v>44593</v>
      </c>
      <c r="B30" s="1" t="str">
        <f t="shared" si="0"/>
        <v>Zepto_Bangalore_Product_12_44593</v>
      </c>
      <c r="C30" s="2" t="s">
        <v>90</v>
      </c>
      <c r="D30" s="2" t="s">
        <v>91</v>
      </c>
      <c r="E30" s="2" t="s">
        <v>34</v>
      </c>
      <c r="F30" s="2" t="s">
        <v>46</v>
      </c>
      <c r="G30" s="2" t="s">
        <v>79</v>
      </c>
      <c r="H30" s="2" t="s">
        <v>67</v>
      </c>
      <c r="I30" s="2" t="s">
        <v>92</v>
      </c>
      <c r="J30" t="s">
        <v>31</v>
      </c>
      <c r="K30">
        <v>4</v>
      </c>
      <c r="L30" s="3"/>
      <c r="M30" s="3"/>
      <c r="N30" s="3"/>
      <c r="O30" s="3">
        <f t="shared" si="1"/>
        <v>0</v>
      </c>
      <c r="P30">
        <v>84</v>
      </c>
      <c r="Q30">
        <v>366</v>
      </c>
      <c r="R30">
        <v>0</v>
      </c>
      <c r="S30">
        <v>94</v>
      </c>
      <c r="T30">
        <f t="shared" si="2"/>
        <v>-6.6479999999999997</v>
      </c>
    </row>
    <row r="31" spans="1:20" x14ac:dyDescent="0.3">
      <c r="A31" s="1">
        <v>44593</v>
      </c>
      <c r="B31" s="1" t="str">
        <f t="shared" si="0"/>
        <v>Reliance_Mundka_Product_6_44593</v>
      </c>
      <c r="C31" s="2" t="s">
        <v>55</v>
      </c>
      <c r="D31" s="2" t="s">
        <v>56</v>
      </c>
      <c r="E31" s="2" t="s">
        <v>34</v>
      </c>
      <c r="F31" s="2" t="s">
        <v>51</v>
      </c>
      <c r="G31" s="2" t="s">
        <v>36</v>
      </c>
      <c r="H31" s="2" t="s">
        <v>37</v>
      </c>
      <c r="I31" s="2" t="s">
        <v>57</v>
      </c>
      <c r="J31" t="s">
        <v>31</v>
      </c>
      <c r="K31">
        <v>8</v>
      </c>
      <c r="L31" s="3"/>
      <c r="M31" s="3"/>
      <c r="N31" s="3"/>
      <c r="O31" s="3">
        <f t="shared" si="1"/>
        <v>0</v>
      </c>
      <c r="P31">
        <v>48</v>
      </c>
      <c r="Q31">
        <v>381</v>
      </c>
      <c r="R31">
        <v>0</v>
      </c>
      <c r="S31">
        <v>135</v>
      </c>
      <c r="T31">
        <f t="shared" si="2"/>
        <v>-0.36</v>
      </c>
    </row>
    <row r="32" spans="1:20" x14ac:dyDescent="0.3">
      <c r="A32" s="1">
        <v>44593</v>
      </c>
      <c r="B32" s="1" t="str">
        <f t="shared" si="0"/>
        <v>Reliance_Ahmedabad_Product_7_44593</v>
      </c>
      <c r="C32" s="2" t="s">
        <v>99</v>
      </c>
      <c r="D32" s="2" t="s">
        <v>100</v>
      </c>
      <c r="E32" s="2" t="s">
        <v>34</v>
      </c>
      <c r="F32" s="2" t="s">
        <v>51</v>
      </c>
      <c r="G32" s="2" t="s">
        <v>52</v>
      </c>
      <c r="H32" s="2" t="s">
        <v>37</v>
      </c>
      <c r="I32" s="2" t="s">
        <v>60</v>
      </c>
      <c r="J32" t="s">
        <v>31</v>
      </c>
      <c r="K32">
        <v>13</v>
      </c>
      <c r="L32" s="3"/>
      <c r="M32" s="3"/>
      <c r="N32" s="3"/>
      <c r="O32" s="3">
        <f t="shared" si="1"/>
        <v>0</v>
      </c>
      <c r="P32">
        <v>383.52</v>
      </c>
      <c r="Q32">
        <v>108</v>
      </c>
      <c r="R32">
        <v>0</v>
      </c>
      <c r="S32">
        <v>117</v>
      </c>
      <c r="T32">
        <f t="shared" si="2"/>
        <v>3.3552</v>
      </c>
    </row>
    <row r="33" spans="1:20" x14ac:dyDescent="0.3">
      <c r="A33" s="1">
        <v>44593</v>
      </c>
      <c r="B33" s="1" t="str">
        <f t="shared" si="0"/>
        <v>Swiggy_Bangalore_Product_16_44593</v>
      </c>
      <c r="C33" s="2" t="s">
        <v>107</v>
      </c>
      <c r="D33" s="2" t="s">
        <v>108</v>
      </c>
      <c r="E33" s="2" t="s">
        <v>34</v>
      </c>
      <c r="F33" s="2" t="s">
        <v>35</v>
      </c>
      <c r="G33" s="2" t="s">
        <v>79</v>
      </c>
      <c r="H33" s="2" t="s">
        <v>47</v>
      </c>
      <c r="I33" s="2" t="s">
        <v>109</v>
      </c>
      <c r="J33" t="s">
        <v>31</v>
      </c>
      <c r="K33">
        <v>3</v>
      </c>
      <c r="L33" s="3"/>
      <c r="M33" s="3"/>
      <c r="N33" s="3"/>
      <c r="O33" s="3">
        <f t="shared" si="1"/>
        <v>0</v>
      </c>
      <c r="P33">
        <v>383.52</v>
      </c>
      <c r="Q33">
        <v>130</v>
      </c>
      <c r="R33">
        <v>8</v>
      </c>
      <c r="S33">
        <v>122</v>
      </c>
      <c r="T33">
        <f t="shared" si="2"/>
        <v>0</v>
      </c>
    </row>
    <row r="34" spans="1:20" x14ac:dyDescent="0.3">
      <c r="A34" s="1">
        <v>44593</v>
      </c>
      <c r="B34" s="1" t="str">
        <f t="shared" si="0"/>
        <v>Reliance_Bhiwandi_Product_10_44593</v>
      </c>
      <c r="C34" s="2" t="s">
        <v>85</v>
      </c>
      <c r="D34" s="2" t="s">
        <v>86</v>
      </c>
      <c r="E34" s="2" t="s">
        <v>34</v>
      </c>
      <c r="F34" s="2" t="s">
        <v>51</v>
      </c>
      <c r="G34" s="2" t="s">
        <v>66</v>
      </c>
      <c r="H34" s="2" t="s">
        <v>67</v>
      </c>
      <c r="I34" s="2" t="s">
        <v>76</v>
      </c>
      <c r="J34" t="s">
        <v>31</v>
      </c>
      <c r="K34">
        <v>5</v>
      </c>
      <c r="L34" s="3"/>
      <c r="M34" s="3"/>
      <c r="N34" s="3"/>
      <c r="O34" s="3">
        <f t="shared" si="1"/>
        <v>0</v>
      </c>
      <c r="P34">
        <v>672</v>
      </c>
      <c r="Q34">
        <v>184</v>
      </c>
      <c r="R34">
        <v>7</v>
      </c>
      <c r="S34">
        <v>106</v>
      </c>
      <c r="T34">
        <f t="shared" si="2"/>
        <v>2.8848000000000003</v>
      </c>
    </row>
    <row r="35" spans="1:20" x14ac:dyDescent="0.3">
      <c r="A35" s="1">
        <v>44593</v>
      </c>
      <c r="B35" s="1" t="str">
        <f t="shared" si="0"/>
        <v>Maharashtra_MH-Aggregated_Product_3_44593</v>
      </c>
      <c r="C35" s="2" t="s">
        <v>39</v>
      </c>
      <c r="D35" s="2" t="s">
        <v>40</v>
      </c>
      <c r="E35" s="2" t="s">
        <v>26</v>
      </c>
      <c r="F35" s="2" t="s">
        <v>41</v>
      </c>
      <c r="G35" s="2" t="s">
        <v>42</v>
      </c>
      <c r="H35" s="2" t="s">
        <v>37</v>
      </c>
      <c r="I35" s="2" t="s">
        <v>43</v>
      </c>
      <c r="J35" t="s">
        <v>31</v>
      </c>
      <c r="K35">
        <v>2</v>
      </c>
      <c r="L35" s="3"/>
      <c r="M35" s="3"/>
      <c r="N35" s="3"/>
      <c r="O35" s="3">
        <f t="shared" si="1"/>
        <v>0</v>
      </c>
      <c r="P35">
        <v>672</v>
      </c>
      <c r="Q35">
        <v>202</v>
      </c>
      <c r="R35">
        <v>2</v>
      </c>
      <c r="S35">
        <v>127</v>
      </c>
      <c r="T35">
        <f t="shared" si="2"/>
        <v>0</v>
      </c>
    </row>
    <row r="36" spans="1:20" x14ac:dyDescent="0.3">
      <c r="A36" s="1">
        <v>44593</v>
      </c>
      <c r="B36" s="1" t="str">
        <f t="shared" si="0"/>
        <v>Jharkhand_JH-Aggregated_Product_1_44593</v>
      </c>
      <c r="C36" s="2" t="s">
        <v>24</v>
      </c>
      <c r="D36" s="2" t="s">
        <v>25</v>
      </c>
      <c r="E36" s="2" t="s">
        <v>26</v>
      </c>
      <c r="F36" s="2" t="s">
        <v>27</v>
      </c>
      <c r="G36" s="2" t="s">
        <v>28</v>
      </c>
      <c r="H36" s="2" t="s">
        <v>29</v>
      </c>
      <c r="I36" s="2" t="s">
        <v>30</v>
      </c>
      <c r="J36" t="s">
        <v>31</v>
      </c>
      <c r="K36">
        <v>29</v>
      </c>
      <c r="L36" s="3"/>
      <c r="M36" s="3"/>
      <c r="N36" s="3"/>
      <c r="O36" s="3">
        <f t="shared" si="1"/>
        <v>0</v>
      </c>
      <c r="P36">
        <v>421.92</v>
      </c>
      <c r="Q36">
        <v>429</v>
      </c>
      <c r="R36">
        <v>9</v>
      </c>
      <c r="S36">
        <v>111</v>
      </c>
      <c r="T36">
        <f t="shared" si="2"/>
        <v>-2.5007999999999999</v>
      </c>
    </row>
    <row r="37" spans="1:20" x14ac:dyDescent="0.3">
      <c r="A37" s="1">
        <v>44593</v>
      </c>
      <c r="B37" s="1" t="str">
        <f t="shared" si="0"/>
        <v>Reliance_Bangalore_Product_13_44593</v>
      </c>
      <c r="C37" s="2" t="s">
        <v>93</v>
      </c>
      <c r="D37" s="2" t="s">
        <v>94</v>
      </c>
      <c r="E37" s="2" t="s">
        <v>34</v>
      </c>
      <c r="F37" s="2" t="s">
        <v>51</v>
      </c>
      <c r="G37" s="2" t="s">
        <v>79</v>
      </c>
      <c r="H37" s="2" t="s">
        <v>67</v>
      </c>
      <c r="I37" s="2" t="s">
        <v>95</v>
      </c>
      <c r="J37" t="s">
        <v>31</v>
      </c>
      <c r="K37">
        <v>6</v>
      </c>
      <c r="L37" s="3"/>
      <c r="M37" s="3"/>
      <c r="N37" s="3"/>
      <c r="O37" s="3">
        <f t="shared" si="1"/>
        <v>0</v>
      </c>
      <c r="P37">
        <v>421.92</v>
      </c>
      <c r="Q37">
        <v>246</v>
      </c>
      <c r="R37">
        <v>0</v>
      </c>
      <c r="S37">
        <v>113</v>
      </c>
      <c r="T37">
        <f t="shared" si="2"/>
        <v>0</v>
      </c>
    </row>
    <row r="38" spans="1:20" x14ac:dyDescent="0.3">
      <c r="A38" s="1">
        <v>44593</v>
      </c>
      <c r="B38" s="1" t="str">
        <f t="shared" si="0"/>
        <v>Zepto_Bhiwandi_Product_10_44593</v>
      </c>
      <c r="C38" s="2" t="s">
        <v>74</v>
      </c>
      <c r="D38" s="2" t="s">
        <v>75</v>
      </c>
      <c r="E38" s="2" t="s">
        <v>34</v>
      </c>
      <c r="F38" s="2" t="s">
        <v>46</v>
      </c>
      <c r="G38" s="2" t="s">
        <v>66</v>
      </c>
      <c r="H38" s="2" t="s">
        <v>67</v>
      </c>
      <c r="I38" s="2" t="s">
        <v>76</v>
      </c>
      <c r="J38" t="s">
        <v>31</v>
      </c>
      <c r="K38">
        <v>10</v>
      </c>
      <c r="L38" s="3"/>
      <c r="M38" s="3"/>
      <c r="N38" s="3"/>
      <c r="O38" s="3">
        <f t="shared" si="1"/>
        <v>0</v>
      </c>
      <c r="P38">
        <v>748.8</v>
      </c>
      <c r="Q38">
        <v>374</v>
      </c>
      <c r="R38">
        <v>0</v>
      </c>
      <c r="S38">
        <v>106</v>
      </c>
      <c r="T38">
        <f t="shared" si="2"/>
        <v>3.2687999999999993</v>
      </c>
    </row>
    <row r="39" spans="1:20" x14ac:dyDescent="0.3">
      <c r="A39" s="1">
        <v>44593</v>
      </c>
      <c r="B39" s="1" t="str">
        <f t="shared" si="0"/>
        <v>Maharashtra_MH-Aggregated_Product_9_44593</v>
      </c>
      <c r="C39" s="2" t="s">
        <v>69</v>
      </c>
      <c r="D39" s="2" t="s">
        <v>70</v>
      </c>
      <c r="E39" s="2" t="s">
        <v>26</v>
      </c>
      <c r="F39" s="2" t="s">
        <v>41</v>
      </c>
      <c r="G39" s="2" t="s">
        <v>42</v>
      </c>
      <c r="H39" s="2" t="s">
        <v>37</v>
      </c>
      <c r="I39" s="2" t="s">
        <v>71</v>
      </c>
      <c r="J39" t="s">
        <v>31</v>
      </c>
      <c r="K39">
        <v>3</v>
      </c>
      <c r="L39" s="3"/>
      <c r="M39" s="3"/>
      <c r="N39" s="3"/>
      <c r="O39" s="3">
        <f t="shared" si="1"/>
        <v>0</v>
      </c>
      <c r="P39">
        <v>748.8</v>
      </c>
      <c r="Q39">
        <v>382</v>
      </c>
      <c r="R39">
        <v>0</v>
      </c>
      <c r="S39">
        <v>119</v>
      </c>
      <c r="T39">
        <f t="shared" si="2"/>
        <v>0</v>
      </c>
    </row>
    <row r="40" spans="1:20" x14ac:dyDescent="0.3">
      <c r="A40" s="1">
        <v>44593</v>
      </c>
      <c r="B40" s="1" t="str">
        <f t="shared" si="0"/>
        <v>Reliance_Chennai_Product_11_44593</v>
      </c>
      <c r="C40" s="2" t="s">
        <v>110</v>
      </c>
      <c r="D40" s="2" t="s">
        <v>111</v>
      </c>
      <c r="E40" s="2" t="s">
        <v>34</v>
      </c>
      <c r="F40" s="2" t="s">
        <v>51</v>
      </c>
      <c r="G40" s="2" t="s">
        <v>84</v>
      </c>
      <c r="H40" s="2" t="s">
        <v>67</v>
      </c>
      <c r="I40" s="2" t="s">
        <v>89</v>
      </c>
      <c r="J40" t="s">
        <v>31</v>
      </c>
      <c r="K40">
        <v>17</v>
      </c>
      <c r="L40" s="3"/>
      <c r="M40" s="3"/>
      <c r="N40" s="3"/>
      <c r="O40" s="3">
        <f t="shared" si="1"/>
        <v>0</v>
      </c>
      <c r="P40">
        <v>84</v>
      </c>
      <c r="Q40">
        <v>400</v>
      </c>
      <c r="R40">
        <v>3</v>
      </c>
      <c r="S40">
        <v>131</v>
      </c>
      <c r="T40">
        <f t="shared" si="2"/>
        <v>-6.6479999999999997</v>
      </c>
    </row>
    <row r="41" spans="1:20" x14ac:dyDescent="0.3">
      <c r="A41" s="1">
        <v>44593</v>
      </c>
      <c r="B41" s="1" t="str">
        <f t="shared" si="0"/>
        <v>Reliance_Ahmedabad_Product_5_44593</v>
      </c>
      <c r="C41" s="2" t="s">
        <v>49</v>
      </c>
      <c r="D41" s="2" t="s">
        <v>50</v>
      </c>
      <c r="E41" s="2" t="s">
        <v>34</v>
      </c>
      <c r="F41" s="2" t="s">
        <v>51</v>
      </c>
      <c r="G41" s="2" t="s">
        <v>52</v>
      </c>
      <c r="H41" s="2" t="s">
        <v>53</v>
      </c>
      <c r="I41" s="2" t="s">
        <v>54</v>
      </c>
      <c r="J41" t="s">
        <v>31</v>
      </c>
      <c r="K41">
        <v>38</v>
      </c>
      <c r="L41" s="3"/>
      <c r="M41" s="3"/>
      <c r="N41" s="3"/>
      <c r="O41" s="3">
        <f t="shared" si="1"/>
        <v>0</v>
      </c>
      <c r="P41">
        <v>48</v>
      </c>
      <c r="Q41">
        <v>254</v>
      </c>
      <c r="R41">
        <v>0</v>
      </c>
      <c r="S41">
        <v>132</v>
      </c>
      <c r="T41">
        <f t="shared" si="2"/>
        <v>-0.36</v>
      </c>
    </row>
    <row r="42" spans="1:20" x14ac:dyDescent="0.3">
      <c r="A42" s="1">
        <v>44593</v>
      </c>
      <c r="B42" s="1" t="str">
        <f t="shared" si="0"/>
        <v>Reliance_Bangalore_Product_3_44593</v>
      </c>
      <c r="C42" s="2" t="s">
        <v>80</v>
      </c>
      <c r="D42" s="2" t="s">
        <v>81</v>
      </c>
      <c r="E42" s="2" t="s">
        <v>34</v>
      </c>
      <c r="F42" s="2" t="s">
        <v>51</v>
      </c>
      <c r="G42" s="2" t="s">
        <v>79</v>
      </c>
      <c r="H42" s="2" t="s">
        <v>37</v>
      </c>
      <c r="I42" s="2" t="s">
        <v>43</v>
      </c>
      <c r="J42" t="s">
        <v>31</v>
      </c>
      <c r="K42">
        <v>27</v>
      </c>
      <c r="L42" s="3"/>
      <c r="M42" s="3"/>
      <c r="N42" s="3"/>
      <c r="O42" s="3">
        <f t="shared" si="1"/>
        <v>0</v>
      </c>
      <c r="P42">
        <v>383.52</v>
      </c>
      <c r="Q42">
        <v>391</v>
      </c>
      <c r="R42">
        <v>12</v>
      </c>
      <c r="S42">
        <v>127</v>
      </c>
      <c r="T42">
        <f t="shared" si="2"/>
        <v>3.3552</v>
      </c>
    </row>
    <row r="43" spans="1:20" x14ac:dyDescent="0.3">
      <c r="A43" s="1">
        <v>44593</v>
      </c>
      <c r="B43" s="1" t="str">
        <f t="shared" si="0"/>
        <v>Swiggy_Mundka_Product_2_44593</v>
      </c>
      <c r="C43" s="2" t="s">
        <v>32</v>
      </c>
      <c r="D43" s="2" t="s">
        <v>33</v>
      </c>
      <c r="E43" s="2" t="s">
        <v>34</v>
      </c>
      <c r="F43" s="2" t="s">
        <v>35</v>
      </c>
      <c r="G43" s="2" t="s">
        <v>36</v>
      </c>
      <c r="H43" s="2" t="s">
        <v>37</v>
      </c>
      <c r="I43" s="2" t="s">
        <v>38</v>
      </c>
      <c r="J43" t="s">
        <v>31</v>
      </c>
      <c r="K43">
        <v>4</v>
      </c>
      <c r="L43" s="3"/>
      <c r="M43" s="3"/>
      <c r="N43" s="3"/>
      <c r="O43" s="3">
        <f t="shared" si="1"/>
        <v>0</v>
      </c>
      <c r="P43">
        <v>383.52</v>
      </c>
      <c r="Q43">
        <v>408</v>
      </c>
      <c r="R43">
        <v>1</v>
      </c>
      <c r="S43">
        <v>134</v>
      </c>
      <c r="T43">
        <f t="shared" si="2"/>
        <v>0</v>
      </c>
    </row>
    <row r="44" spans="1:20" x14ac:dyDescent="0.3">
      <c r="A44" s="1">
        <v>44593</v>
      </c>
      <c r="B44" s="1" t="str">
        <f t="shared" si="0"/>
        <v>Swiggy_Chennai_Product_3_44593</v>
      </c>
      <c r="C44" s="2" t="s">
        <v>82</v>
      </c>
      <c r="D44" s="2" t="s">
        <v>83</v>
      </c>
      <c r="E44" s="2" t="s">
        <v>34</v>
      </c>
      <c r="F44" s="2" t="s">
        <v>35</v>
      </c>
      <c r="G44" s="2" t="s">
        <v>84</v>
      </c>
      <c r="H44" s="2" t="s">
        <v>37</v>
      </c>
      <c r="I44" s="2" t="s">
        <v>43</v>
      </c>
      <c r="J44" t="s">
        <v>31</v>
      </c>
      <c r="K44">
        <v>11</v>
      </c>
      <c r="L44" s="3"/>
      <c r="M44" s="3"/>
      <c r="N44" s="3"/>
      <c r="O44" s="3">
        <f t="shared" si="1"/>
        <v>0</v>
      </c>
      <c r="P44">
        <v>672</v>
      </c>
      <c r="Q44">
        <v>351</v>
      </c>
      <c r="R44">
        <v>0</v>
      </c>
      <c r="S44">
        <v>127</v>
      </c>
      <c r="T44">
        <f t="shared" si="2"/>
        <v>2.8848000000000003</v>
      </c>
    </row>
    <row r="45" spans="1:20" x14ac:dyDescent="0.3">
      <c r="A45" s="1">
        <v>44593</v>
      </c>
      <c r="B45" s="1" t="str">
        <f t="shared" si="0"/>
        <v>Reliance_Kolkata CFA_Product_12_44593</v>
      </c>
      <c r="C45" s="2" t="s">
        <v>101</v>
      </c>
      <c r="D45" s="2" t="s">
        <v>102</v>
      </c>
      <c r="E45" s="2" t="s">
        <v>34</v>
      </c>
      <c r="F45" s="2" t="s">
        <v>51</v>
      </c>
      <c r="G45" s="2" t="s">
        <v>63</v>
      </c>
      <c r="H45" s="2" t="s">
        <v>67</v>
      </c>
      <c r="I45" s="2" t="s">
        <v>92</v>
      </c>
      <c r="J45" t="s">
        <v>31</v>
      </c>
      <c r="K45">
        <v>2</v>
      </c>
      <c r="L45" s="3"/>
      <c r="M45" s="3"/>
      <c r="N45" s="3"/>
      <c r="O45" s="3">
        <f t="shared" si="1"/>
        <v>0</v>
      </c>
      <c r="P45">
        <v>672</v>
      </c>
      <c r="Q45">
        <v>205</v>
      </c>
      <c r="R45">
        <v>7</v>
      </c>
      <c r="S45">
        <v>94</v>
      </c>
      <c r="T45">
        <f t="shared" si="2"/>
        <v>0</v>
      </c>
    </row>
    <row r="46" spans="1:20" x14ac:dyDescent="0.3">
      <c r="A46" s="1">
        <v>44593</v>
      </c>
      <c r="B46" s="1" t="str">
        <f t="shared" si="0"/>
        <v>Zepto_Mundka_Product_3_44593</v>
      </c>
      <c r="C46" s="2" t="s">
        <v>72</v>
      </c>
      <c r="D46" s="2" t="s">
        <v>73</v>
      </c>
      <c r="E46" s="2" t="s">
        <v>34</v>
      </c>
      <c r="F46" s="2" t="s">
        <v>46</v>
      </c>
      <c r="G46" s="2" t="s">
        <v>36</v>
      </c>
      <c r="H46" s="2" t="s">
        <v>37</v>
      </c>
      <c r="I46" s="2" t="s">
        <v>43</v>
      </c>
      <c r="J46" t="s">
        <v>31</v>
      </c>
      <c r="K46">
        <v>64</v>
      </c>
      <c r="L46" s="3"/>
      <c r="M46" s="3"/>
      <c r="N46" s="3"/>
      <c r="O46" s="3">
        <f t="shared" si="1"/>
        <v>0</v>
      </c>
      <c r="P46">
        <v>421.92</v>
      </c>
      <c r="Q46">
        <v>485</v>
      </c>
      <c r="R46">
        <v>0</v>
      </c>
      <c r="S46">
        <v>127</v>
      </c>
      <c r="T46">
        <f t="shared" si="2"/>
        <v>-2.5007999999999999</v>
      </c>
    </row>
    <row r="47" spans="1:20" x14ac:dyDescent="0.3">
      <c r="A47" s="1">
        <v>44621</v>
      </c>
      <c r="B47" s="1" t="str">
        <f t="shared" si="0"/>
        <v>Reliance_Kolkata CFA_Product_12_44621</v>
      </c>
      <c r="C47" s="2" t="s">
        <v>101</v>
      </c>
      <c r="D47" s="2" t="s">
        <v>102</v>
      </c>
      <c r="E47" s="2" t="s">
        <v>34</v>
      </c>
      <c r="F47" s="2" t="s">
        <v>51</v>
      </c>
      <c r="G47" s="2" t="s">
        <v>63</v>
      </c>
      <c r="H47" s="2" t="s">
        <v>67</v>
      </c>
      <c r="I47" s="2" t="s">
        <v>92</v>
      </c>
      <c r="J47" t="s">
        <v>31</v>
      </c>
      <c r="K47">
        <v>10</v>
      </c>
      <c r="L47" s="3"/>
      <c r="M47" s="3"/>
      <c r="N47" s="3"/>
      <c r="O47" s="3">
        <f t="shared" si="1"/>
        <v>0</v>
      </c>
      <c r="P47">
        <v>421.92</v>
      </c>
      <c r="Q47">
        <v>110</v>
      </c>
      <c r="R47">
        <v>0</v>
      </c>
      <c r="S47">
        <v>94</v>
      </c>
      <c r="T47">
        <f t="shared" si="2"/>
        <v>0</v>
      </c>
    </row>
    <row r="48" spans="1:20" x14ac:dyDescent="0.3">
      <c r="A48" s="1">
        <v>44621</v>
      </c>
      <c r="B48" s="1" t="str">
        <f t="shared" si="0"/>
        <v>Zepto_Bhiwandi_Product_10_44621</v>
      </c>
      <c r="C48" s="2" t="s">
        <v>74</v>
      </c>
      <c r="D48" s="2" t="s">
        <v>75</v>
      </c>
      <c r="E48" s="2" t="s">
        <v>34</v>
      </c>
      <c r="F48" s="2" t="s">
        <v>46</v>
      </c>
      <c r="G48" s="2" t="s">
        <v>66</v>
      </c>
      <c r="H48" s="2" t="s">
        <v>67</v>
      </c>
      <c r="I48" s="2" t="s">
        <v>76</v>
      </c>
      <c r="J48" t="s">
        <v>31</v>
      </c>
      <c r="K48">
        <v>22</v>
      </c>
      <c r="L48" s="3"/>
      <c r="M48" s="3"/>
      <c r="N48" s="3"/>
      <c r="O48" s="3">
        <f t="shared" si="1"/>
        <v>0</v>
      </c>
      <c r="P48">
        <v>748.8</v>
      </c>
      <c r="Q48">
        <v>157</v>
      </c>
      <c r="R48">
        <v>5</v>
      </c>
      <c r="S48">
        <v>106</v>
      </c>
      <c r="T48">
        <f t="shared" si="2"/>
        <v>3.2687999999999993</v>
      </c>
    </row>
    <row r="49" spans="1:20" x14ac:dyDescent="0.3">
      <c r="A49" s="1">
        <v>44621</v>
      </c>
      <c r="B49" s="1" t="str">
        <f t="shared" si="0"/>
        <v>Zepto_Bangalore_Product_12_44621</v>
      </c>
      <c r="C49" s="2" t="s">
        <v>90</v>
      </c>
      <c r="D49" s="2" t="s">
        <v>91</v>
      </c>
      <c r="E49" s="2" t="s">
        <v>34</v>
      </c>
      <c r="F49" s="2" t="s">
        <v>46</v>
      </c>
      <c r="G49" s="2" t="s">
        <v>79</v>
      </c>
      <c r="H49" s="2" t="s">
        <v>67</v>
      </c>
      <c r="I49" s="2" t="s">
        <v>92</v>
      </c>
      <c r="J49" t="s">
        <v>31</v>
      </c>
      <c r="K49">
        <v>5</v>
      </c>
      <c r="L49" s="3"/>
      <c r="M49" s="3"/>
      <c r="N49" s="3"/>
      <c r="O49" s="3">
        <f t="shared" si="1"/>
        <v>0</v>
      </c>
      <c r="P49">
        <v>748.8</v>
      </c>
      <c r="Q49">
        <v>311</v>
      </c>
      <c r="R49">
        <v>3</v>
      </c>
      <c r="S49">
        <v>94</v>
      </c>
      <c r="T49">
        <f t="shared" si="2"/>
        <v>0</v>
      </c>
    </row>
    <row r="50" spans="1:20" x14ac:dyDescent="0.3">
      <c r="A50" s="1">
        <v>44621</v>
      </c>
      <c r="B50" s="1" t="str">
        <f t="shared" si="0"/>
        <v>Swiggy_Bangalore_Product_16_44621</v>
      </c>
      <c r="C50" s="2" t="s">
        <v>107</v>
      </c>
      <c r="D50" s="2" t="s">
        <v>108</v>
      </c>
      <c r="E50" s="2" t="s">
        <v>34</v>
      </c>
      <c r="F50" s="2" t="s">
        <v>35</v>
      </c>
      <c r="G50" s="2" t="s">
        <v>79</v>
      </c>
      <c r="H50" s="2" t="s">
        <v>47</v>
      </c>
      <c r="I50" s="2" t="s">
        <v>109</v>
      </c>
      <c r="J50" t="s">
        <v>31</v>
      </c>
      <c r="K50">
        <v>38</v>
      </c>
      <c r="L50" s="3"/>
      <c r="M50" s="3"/>
      <c r="N50" s="3"/>
      <c r="O50" s="3">
        <f t="shared" si="1"/>
        <v>0</v>
      </c>
      <c r="P50">
        <v>84</v>
      </c>
      <c r="Q50">
        <v>374</v>
      </c>
      <c r="R50">
        <v>0</v>
      </c>
      <c r="S50">
        <v>122</v>
      </c>
      <c r="T50">
        <f t="shared" si="2"/>
        <v>-6.6479999999999997</v>
      </c>
    </row>
    <row r="51" spans="1:20" x14ac:dyDescent="0.3">
      <c r="A51" s="1">
        <v>44621</v>
      </c>
      <c r="B51" s="1" t="str">
        <f t="shared" si="0"/>
        <v>Reliance_Bangalore_Product_8_44621</v>
      </c>
      <c r="C51" s="2" t="s">
        <v>77</v>
      </c>
      <c r="D51" s="2" t="s">
        <v>78</v>
      </c>
      <c r="E51" s="2" t="s">
        <v>34</v>
      </c>
      <c r="F51" s="2" t="s">
        <v>51</v>
      </c>
      <c r="G51" s="2" t="s">
        <v>79</v>
      </c>
      <c r="H51" s="2" t="s">
        <v>67</v>
      </c>
      <c r="I51" s="2" t="s">
        <v>68</v>
      </c>
      <c r="J51" t="s">
        <v>31</v>
      </c>
      <c r="K51">
        <v>85</v>
      </c>
      <c r="L51" s="3"/>
      <c r="M51" s="3"/>
      <c r="N51" s="3"/>
      <c r="O51" s="3">
        <f t="shared" si="1"/>
        <v>0</v>
      </c>
      <c r="P51">
        <v>48</v>
      </c>
      <c r="Q51">
        <v>260</v>
      </c>
      <c r="R51">
        <v>0</v>
      </c>
      <c r="S51">
        <v>126</v>
      </c>
      <c r="T51">
        <f t="shared" si="2"/>
        <v>-0.36</v>
      </c>
    </row>
    <row r="52" spans="1:20" x14ac:dyDescent="0.3">
      <c r="A52" s="1">
        <v>44621</v>
      </c>
      <c r="B52" s="1" t="str">
        <f t="shared" si="0"/>
        <v>Reliance_Bangalore_Product_3_44621</v>
      </c>
      <c r="C52" s="2" t="s">
        <v>80</v>
      </c>
      <c r="D52" s="2" t="s">
        <v>81</v>
      </c>
      <c r="E52" s="2" t="s">
        <v>34</v>
      </c>
      <c r="F52" s="2" t="s">
        <v>51</v>
      </c>
      <c r="G52" s="2" t="s">
        <v>79</v>
      </c>
      <c r="H52" s="2" t="s">
        <v>37</v>
      </c>
      <c r="I52" s="2" t="s">
        <v>43</v>
      </c>
      <c r="J52" t="s">
        <v>31</v>
      </c>
      <c r="K52">
        <v>3</v>
      </c>
      <c r="L52" s="3"/>
      <c r="M52" s="3"/>
      <c r="N52" s="3"/>
      <c r="O52" s="3">
        <f t="shared" si="1"/>
        <v>0</v>
      </c>
      <c r="P52">
        <v>383.52</v>
      </c>
      <c r="Q52">
        <v>176</v>
      </c>
      <c r="R52">
        <v>11</v>
      </c>
      <c r="S52">
        <v>127</v>
      </c>
      <c r="T52">
        <f t="shared" si="2"/>
        <v>3.3552</v>
      </c>
    </row>
    <row r="53" spans="1:20" x14ac:dyDescent="0.3">
      <c r="A53" s="1">
        <v>44621</v>
      </c>
      <c r="B53" s="1" t="str">
        <f t="shared" si="0"/>
        <v>Swiggy_Chennai_Product_3_44621</v>
      </c>
      <c r="C53" s="2" t="s">
        <v>82</v>
      </c>
      <c r="D53" s="2" t="s">
        <v>83</v>
      </c>
      <c r="E53" s="2" t="s">
        <v>34</v>
      </c>
      <c r="F53" s="2" t="s">
        <v>35</v>
      </c>
      <c r="G53" s="2" t="s">
        <v>84</v>
      </c>
      <c r="H53" s="2" t="s">
        <v>37</v>
      </c>
      <c r="I53" s="2" t="s">
        <v>43</v>
      </c>
      <c r="J53" t="s">
        <v>31</v>
      </c>
      <c r="K53">
        <v>2</v>
      </c>
      <c r="L53" s="3"/>
      <c r="M53" s="3"/>
      <c r="N53" s="3"/>
      <c r="O53" s="3">
        <f t="shared" si="1"/>
        <v>0</v>
      </c>
      <c r="P53">
        <v>383.52</v>
      </c>
      <c r="Q53">
        <v>386</v>
      </c>
      <c r="R53">
        <v>8</v>
      </c>
      <c r="S53">
        <v>127</v>
      </c>
      <c r="T53">
        <f t="shared" si="2"/>
        <v>0</v>
      </c>
    </row>
    <row r="54" spans="1:20" x14ac:dyDescent="0.3">
      <c r="A54" s="1">
        <v>44621</v>
      </c>
      <c r="B54" s="1" t="str">
        <f t="shared" si="0"/>
        <v>Zepto_Mundka_Product_3_44621</v>
      </c>
      <c r="C54" s="2" t="s">
        <v>72</v>
      </c>
      <c r="D54" s="2" t="s">
        <v>73</v>
      </c>
      <c r="E54" s="2" t="s">
        <v>34</v>
      </c>
      <c r="F54" s="2" t="s">
        <v>46</v>
      </c>
      <c r="G54" s="2" t="s">
        <v>36</v>
      </c>
      <c r="H54" s="2" t="s">
        <v>37</v>
      </c>
      <c r="I54" s="2" t="s">
        <v>43</v>
      </c>
      <c r="J54" t="s">
        <v>31</v>
      </c>
      <c r="K54">
        <v>2</v>
      </c>
      <c r="L54" s="3"/>
      <c r="M54" s="3"/>
      <c r="N54" s="3"/>
      <c r="O54" s="3">
        <f t="shared" si="1"/>
        <v>0</v>
      </c>
      <c r="P54">
        <v>672</v>
      </c>
      <c r="Q54">
        <v>392</v>
      </c>
      <c r="R54">
        <v>0</v>
      </c>
      <c r="S54">
        <v>127</v>
      </c>
      <c r="T54">
        <f t="shared" si="2"/>
        <v>2.8848000000000003</v>
      </c>
    </row>
    <row r="55" spans="1:20" x14ac:dyDescent="0.3">
      <c r="A55" s="1">
        <v>44621</v>
      </c>
      <c r="B55" s="1" t="str">
        <f t="shared" si="0"/>
        <v>Reliance_Bhiwandi_Product_8_44621</v>
      </c>
      <c r="C55" s="2" t="s">
        <v>64</v>
      </c>
      <c r="D55" s="2" t="s">
        <v>65</v>
      </c>
      <c r="E55" s="2" t="s">
        <v>34</v>
      </c>
      <c r="F55" s="2" t="s">
        <v>51</v>
      </c>
      <c r="G55" s="2" t="s">
        <v>66</v>
      </c>
      <c r="H55" s="2" t="s">
        <v>67</v>
      </c>
      <c r="I55" s="2" t="s">
        <v>68</v>
      </c>
      <c r="J55" t="s">
        <v>31</v>
      </c>
      <c r="K55">
        <v>1</v>
      </c>
      <c r="L55" s="3"/>
      <c r="M55" s="3"/>
      <c r="N55" s="3"/>
      <c r="O55" s="3">
        <f t="shared" si="1"/>
        <v>0</v>
      </c>
      <c r="P55">
        <v>672</v>
      </c>
      <c r="Q55">
        <v>399</v>
      </c>
      <c r="R55">
        <v>0</v>
      </c>
      <c r="S55">
        <v>126</v>
      </c>
      <c r="T55">
        <f t="shared" si="2"/>
        <v>0</v>
      </c>
    </row>
    <row r="56" spans="1:20" x14ac:dyDescent="0.3">
      <c r="A56" s="1">
        <v>44621</v>
      </c>
      <c r="B56" s="1" t="str">
        <f t="shared" si="0"/>
        <v>Reliance_Mundka_Product_7_44621</v>
      </c>
      <c r="C56" s="2" t="s">
        <v>58</v>
      </c>
      <c r="D56" s="2" t="s">
        <v>59</v>
      </c>
      <c r="E56" s="2" t="s">
        <v>34</v>
      </c>
      <c r="F56" s="2" t="s">
        <v>51</v>
      </c>
      <c r="G56" s="2" t="s">
        <v>36</v>
      </c>
      <c r="H56" s="2" t="s">
        <v>37</v>
      </c>
      <c r="I56" s="2" t="s">
        <v>60</v>
      </c>
      <c r="J56" t="s">
        <v>31</v>
      </c>
      <c r="K56">
        <v>4</v>
      </c>
      <c r="L56" s="3"/>
      <c r="M56" s="3"/>
      <c r="N56" s="3"/>
      <c r="O56" s="3">
        <f t="shared" si="1"/>
        <v>0</v>
      </c>
      <c r="P56">
        <v>421.92</v>
      </c>
      <c r="Q56">
        <v>163</v>
      </c>
      <c r="R56">
        <v>0</v>
      </c>
      <c r="S56">
        <v>117</v>
      </c>
      <c r="T56">
        <f t="shared" si="2"/>
        <v>-2.5007999999999999</v>
      </c>
    </row>
    <row r="57" spans="1:20" x14ac:dyDescent="0.3">
      <c r="A57" s="1">
        <v>44621</v>
      </c>
      <c r="B57" s="1" t="str">
        <f t="shared" si="0"/>
        <v>Reliance_Bangalore_Product_13_44621</v>
      </c>
      <c r="C57" s="2" t="s">
        <v>93</v>
      </c>
      <c r="D57" s="2" t="s">
        <v>94</v>
      </c>
      <c r="E57" s="2" t="s">
        <v>34</v>
      </c>
      <c r="F57" s="2" t="s">
        <v>51</v>
      </c>
      <c r="G57" s="2" t="s">
        <v>79</v>
      </c>
      <c r="H57" s="2" t="s">
        <v>67</v>
      </c>
      <c r="I57" s="2" t="s">
        <v>95</v>
      </c>
      <c r="J57" t="s">
        <v>31</v>
      </c>
      <c r="K57">
        <v>2</v>
      </c>
      <c r="L57" s="3"/>
      <c r="M57" s="3"/>
      <c r="N57" s="3"/>
      <c r="O57" s="3">
        <f t="shared" si="1"/>
        <v>0</v>
      </c>
      <c r="P57">
        <v>421.92</v>
      </c>
      <c r="Q57">
        <v>202</v>
      </c>
      <c r="R57">
        <v>2</v>
      </c>
      <c r="S57">
        <v>113</v>
      </c>
      <c r="T57">
        <f t="shared" si="2"/>
        <v>0</v>
      </c>
    </row>
    <row r="58" spans="1:20" x14ac:dyDescent="0.3">
      <c r="A58" s="1">
        <v>44621</v>
      </c>
      <c r="B58" s="1" t="str">
        <f t="shared" si="0"/>
        <v>Swiggy_Mundka_Product_2_44621</v>
      </c>
      <c r="C58" s="2" t="s">
        <v>32</v>
      </c>
      <c r="D58" s="2" t="s">
        <v>33</v>
      </c>
      <c r="E58" s="2" t="s">
        <v>34</v>
      </c>
      <c r="F58" s="2" t="s">
        <v>35</v>
      </c>
      <c r="G58" s="2" t="s">
        <v>36</v>
      </c>
      <c r="H58" s="2" t="s">
        <v>37</v>
      </c>
      <c r="I58" s="2" t="s">
        <v>38</v>
      </c>
      <c r="J58" t="s">
        <v>31</v>
      </c>
      <c r="K58">
        <v>2</v>
      </c>
      <c r="L58" s="3"/>
      <c r="M58" s="3"/>
      <c r="N58" s="3"/>
      <c r="O58" s="3">
        <f t="shared" si="1"/>
        <v>0</v>
      </c>
      <c r="P58">
        <v>748.8</v>
      </c>
      <c r="Q58">
        <v>333</v>
      </c>
      <c r="R58">
        <v>7</v>
      </c>
      <c r="S58">
        <v>134</v>
      </c>
      <c r="T58">
        <f t="shared" si="2"/>
        <v>3.2687999999999993</v>
      </c>
    </row>
    <row r="59" spans="1:20" x14ac:dyDescent="0.3">
      <c r="A59" s="1">
        <v>44621</v>
      </c>
      <c r="B59" s="1" t="str">
        <f t="shared" si="0"/>
        <v>Reliance_Mundka_Product_6_44621</v>
      </c>
      <c r="C59" s="2" t="s">
        <v>55</v>
      </c>
      <c r="D59" s="2" t="s">
        <v>56</v>
      </c>
      <c r="E59" s="2" t="s">
        <v>34</v>
      </c>
      <c r="F59" s="2" t="s">
        <v>51</v>
      </c>
      <c r="G59" s="2" t="s">
        <v>36</v>
      </c>
      <c r="H59" s="2" t="s">
        <v>37</v>
      </c>
      <c r="I59" s="2" t="s">
        <v>57</v>
      </c>
      <c r="J59" t="s">
        <v>31</v>
      </c>
      <c r="K59">
        <v>1</v>
      </c>
      <c r="L59" s="3"/>
      <c r="M59" s="3"/>
      <c r="N59" s="3"/>
      <c r="O59" s="3">
        <f t="shared" si="1"/>
        <v>0</v>
      </c>
      <c r="P59">
        <v>748.8</v>
      </c>
      <c r="Q59">
        <v>428</v>
      </c>
      <c r="R59">
        <v>3</v>
      </c>
      <c r="S59">
        <v>135</v>
      </c>
      <c r="T59">
        <f t="shared" si="2"/>
        <v>0</v>
      </c>
    </row>
    <row r="60" spans="1:20" x14ac:dyDescent="0.3">
      <c r="A60" s="1">
        <v>44621</v>
      </c>
      <c r="B60" s="1" t="str">
        <f t="shared" si="0"/>
        <v>Reliance_Ahmedabad_Product_7_44621</v>
      </c>
      <c r="C60" s="2" t="s">
        <v>99</v>
      </c>
      <c r="D60" s="2" t="s">
        <v>100</v>
      </c>
      <c r="E60" s="2" t="s">
        <v>34</v>
      </c>
      <c r="F60" s="2" t="s">
        <v>51</v>
      </c>
      <c r="G60" s="2" t="s">
        <v>52</v>
      </c>
      <c r="H60" s="2" t="s">
        <v>37</v>
      </c>
      <c r="I60" s="2" t="s">
        <v>60</v>
      </c>
      <c r="J60" t="s">
        <v>31</v>
      </c>
      <c r="K60">
        <v>3</v>
      </c>
      <c r="L60" s="3"/>
      <c r="M60" s="3"/>
      <c r="N60" s="3"/>
      <c r="O60" s="3">
        <f t="shared" si="1"/>
        <v>0</v>
      </c>
      <c r="P60">
        <v>84</v>
      </c>
      <c r="Q60">
        <v>471</v>
      </c>
      <c r="R60">
        <v>0</v>
      </c>
      <c r="S60">
        <v>117</v>
      </c>
      <c r="T60">
        <f t="shared" si="2"/>
        <v>-6.6479999999999997</v>
      </c>
    </row>
    <row r="61" spans="1:20" x14ac:dyDescent="0.3">
      <c r="A61" s="1">
        <v>44621</v>
      </c>
      <c r="B61" s="1" t="str">
        <f t="shared" si="0"/>
        <v>Jharkhand_JH-Aggregated_Product_1_44621</v>
      </c>
      <c r="C61" s="2" t="s">
        <v>24</v>
      </c>
      <c r="D61" s="2" t="s">
        <v>25</v>
      </c>
      <c r="E61" s="2" t="s">
        <v>26</v>
      </c>
      <c r="F61" s="2" t="s">
        <v>27</v>
      </c>
      <c r="G61" s="2" t="s">
        <v>28</v>
      </c>
      <c r="H61" s="2" t="s">
        <v>29</v>
      </c>
      <c r="I61" s="2" t="s">
        <v>30</v>
      </c>
      <c r="J61" t="s">
        <v>31</v>
      </c>
      <c r="K61">
        <v>5</v>
      </c>
      <c r="L61" s="4"/>
      <c r="M61" s="3"/>
      <c r="N61" s="3"/>
      <c r="O61" s="3">
        <f t="shared" si="1"/>
        <v>0</v>
      </c>
      <c r="P61">
        <v>48</v>
      </c>
      <c r="Q61">
        <v>237</v>
      </c>
      <c r="R61">
        <v>0</v>
      </c>
      <c r="S61">
        <v>111</v>
      </c>
      <c r="T61">
        <f t="shared" si="2"/>
        <v>-0.36</v>
      </c>
    </row>
    <row r="62" spans="1:20" x14ac:dyDescent="0.3">
      <c r="A62" s="1">
        <v>44621</v>
      </c>
      <c r="B62" s="1" t="str">
        <f t="shared" si="0"/>
        <v>Maharashtra_MH-Aggregated_Product_3_44621</v>
      </c>
      <c r="C62" s="2" t="s">
        <v>39</v>
      </c>
      <c r="D62" s="2" t="s">
        <v>40</v>
      </c>
      <c r="E62" s="2" t="s">
        <v>26</v>
      </c>
      <c r="F62" s="2" t="s">
        <v>41</v>
      </c>
      <c r="G62" s="2" t="s">
        <v>42</v>
      </c>
      <c r="H62" s="2" t="s">
        <v>37</v>
      </c>
      <c r="I62" s="2" t="s">
        <v>43</v>
      </c>
      <c r="J62" t="s">
        <v>31</v>
      </c>
      <c r="K62">
        <v>8</v>
      </c>
      <c r="L62" s="3"/>
      <c r="M62" s="3"/>
      <c r="N62" s="3"/>
      <c r="O62" s="3">
        <f t="shared" si="1"/>
        <v>0</v>
      </c>
      <c r="P62">
        <v>383.52</v>
      </c>
      <c r="Q62">
        <v>115</v>
      </c>
      <c r="R62">
        <v>0</v>
      </c>
      <c r="S62">
        <v>127</v>
      </c>
      <c r="T62">
        <f t="shared" si="2"/>
        <v>3.3552</v>
      </c>
    </row>
    <row r="63" spans="1:20" x14ac:dyDescent="0.3">
      <c r="A63" s="1">
        <v>44621</v>
      </c>
      <c r="B63" s="1" t="str">
        <f t="shared" si="0"/>
        <v>Reliance_Bhiwandi_Product_10_44621</v>
      </c>
      <c r="C63" s="2" t="s">
        <v>85</v>
      </c>
      <c r="D63" s="2" t="s">
        <v>86</v>
      </c>
      <c r="E63" s="2" t="s">
        <v>34</v>
      </c>
      <c r="F63" s="2" t="s">
        <v>51</v>
      </c>
      <c r="G63" s="2" t="s">
        <v>66</v>
      </c>
      <c r="H63" s="2" t="s">
        <v>67</v>
      </c>
      <c r="I63" s="2" t="s">
        <v>76</v>
      </c>
      <c r="J63" t="s">
        <v>31</v>
      </c>
      <c r="K63">
        <v>2</v>
      </c>
      <c r="L63" s="3"/>
      <c r="M63" s="3"/>
      <c r="N63" s="3"/>
      <c r="O63" s="3">
        <f t="shared" si="1"/>
        <v>0</v>
      </c>
      <c r="P63">
        <v>383.52</v>
      </c>
      <c r="Q63">
        <v>268</v>
      </c>
      <c r="R63">
        <v>0</v>
      </c>
      <c r="S63">
        <v>106</v>
      </c>
      <c r="T63">
        <f t="shared" si="2"/>
        <v>0</v>
      </c>
    </row>
    <row r="64" spans="1:20" x14ac:dyDescent="0.3">
      <c r="A64" s="1">
        <v>44621</v>
      </c>
      <c r="B64" s="1" t="str">
        <f t="shared" si="0"/>
        <v>Zepto_Mundka_Product_4_44621</v>
      </c>
      <c r="C64" s="2" t="s">
        <v>44</v>
      </c>
      <c r="D64" s="2" t="s">
        <v>45</v>
      </c>
      <c r="E64" s="2" t="s">
        <v>34</v>
      </c>
      <c r="F64" s="2" t="s">
        <v>46</v>
      </c>
      <c r="G64" s="2" t="s">
        <v>36</v>
      </c>
      <c r="H64" s="2" t="s">
        <v>47</v>
      </c>
      <c r="I64" s="2" t="s">
        <v>48</v>
      </c>
      <c r="J64" t="s">
        <v>31</v>
      </c>
      <c r="K64">
        <v>4</v>
      </c>
      <c r="L64" s="3"/>
      <c r="M64" s="3"/>
      <c r="N64" s="3"/>
      <c r="O64" s="3">
        <f t="shared" si="1"/>
        <v>0</v>
      </c>
      <c r="P64">
        <v>383.52</v>
      </c>
      <c r="Q64">
        <v>113</v>
      </c>
      <c r="R64">
        <v>0</v>
      </c>
      <c r="S64">
        <v>142</v>
      </c>
      <c r="T64">
        <f t="shared" si="2"/>
        <v>0</v>
      </c>
    </row>
    <row r="65" spans="1:20" x14ac:dyDescent="0.3">
      <c r="A65" s="1">
        <v>44621</v>
      </c>
      <c r="B65" s="1" t="str">
        <f t="shared" si="0"/>
        <v>Reliance_Ahmedabad_Product_5_44621</v>
      </c>
      <c r="C65" s="2" t="s">
        <v>49</v>
      </c>
      <c r="D65" s="2" t="s">
        <v>50</v>
      </c>
      <c r="E65" s="2" t="s">
        <v>34</v>
      </c>
      <c r="F65" s="2" t="s">
        <v>51</v>
      </c>
      <c r="G65" s="2" t="s">
        <v>52</v>
      </c>
      <c r="H65" s="2" t="s">
        <v>53</v>
      </c>
      <c r="I65" s="2" t="s">
        <v>54</v>
      </c>
      <c r="J65" t="s">
        <v>31</v>
      </c>
      <c r="K65">
        <v>2</v>
      </c>
      <c r="L65" s="3"/>
      <c r="M65" s="3"/>
      <c r="N65" s="3"/>
      <c r="O65" s="3">
        <f t="shared" si="1"/>
        <v>0</v>
      </c>
      <c r="P65">
        <v>383.52</v>
      </c>
      <c r="Q65">
        <v>138</v>
      </c>
      <c r="R65">
        <v>5</v>
      </c>
      <c r="S65">
        <v>132</v>
      </c>
      <c r="T65">
        <f t="shared" si="2"/>
        <v>0</v>
      </c>
    </row>
    <row r="66" spans="1:20" x14ac:dyDescent="0.3">
      <c r="A66" s="1">
        <v>44621</v>
      </c>
      <c r="B66" s="1" t="str">
        <f t="shared" si="0"/>
        <v>Swiggy_Kolkata CFA_Product_3_44621</v>
      </c>
      <c r="C66" s="2" t="s">
        <v>61</v>
      </c>
      <c r="D66" s="2" t="s">
        <v>62</v>
      </c>
      <c r="E66" s="2" t="s">
        <v>34</v>
      </c>
      <c r="F66" s="2" t="s">
        <v>35</v>
      </c>
      <c r="G66" s="2" t="s">
        <v>63</v>
      </c>
      <c r="H66" s="2" t="s">
        <v>37</v>
      </c>
      <c r="I66" s="2" t="s">
        <v>43</v>
      </c>
      <c r="J66" t="s">
        <v>31</v>
      </c>
      <c r="K66">
        <v>5</v>
      </c>
      <c r="L66" s="3"/>
      <c r="M66" s="3"/>
      <c r="N66" s="3"/>
      <c r="O66" s="3">
        <f t="shared" si="1"/>
        <v>0</v>
      </c>
      <c r="P66">
        <v>383.52</v>
      </c>
      <c r="Q66">
        <v>450</v>
      </c>
      <c r="R66">
        <v>1</v>
      </c>
      <c r="S66">
        <v>127</v>
      </c>
      <c r="T66">
        <f t="shared" si="2"/>
        <v>0</v>
      </c>
    </row>
    <row r="67" spans="1:20" x14ac:dyDescent="0.3">
      <c r="A67" s="1">
        <v>44621</v>
      </c>
      <c r="B67" s="1" t="str">
        <f t="shared" ref="B67:B130" si="3">C67&amp;"_"&amp;A67</f>
        <v>Maharashtra_MH-Aggregated_Product_9_44621</v>
      </c>
      <c r="C67" s="2" t="s">
        <v>69</v>
      </c>
      <c r="D67" s="2" t="s">
        <v>70</v>
      </c>
      <c r="E67" s="2" t="s">
        <v>26</v>
      </c>
      <c r="F67" s="2" t="s">
        <v>41</v>
      </c>
      <c r="G67" s="2" t="s">
        <v>42</v>
      </c>
      <c r="H67" s="2" t="s">
        <v>37</v>
      </c>
      <c r="I67" s="2" t="s">
        <v>71</v>
      </c>
      <c r="J67" t="s">
        <v>31</v>
      </c>
      <c r="K67">
        <v>2</v>
      </c>
      <c r="L67" s="3"/>
      <c r="M67" s="3"/>
      <c r="N67" s="3"/>
      <c r="O67" s="3">
        <f t="shared" ref="O67:O130" si="4">L67</f>
        <v>0</v>
      </c>
      <c r="P67">
        <v>383.52</v>
      </c>
      <c r="Q67">
        <v>254</v>
      </c>
      <c r="R67">
        <v>0</v>
      </c>
      <c r="S67">
        <v>119</v>
      </c>
      <c r="T67">
        <f t="shared" si="2"/>
        <v>0</v>
      </c>
    </row>
    <row r="68" spans="1:20" x14ac:dyDescent="0.3">
      <c r="A68" s="1">
        <v>44652</v>
      </c>
      <c r="B68" s="1" t="str">
        <f t="shared" si="3"/>
        <v>Grofers_Ahmedabad_Product_9_44652</v>
      </c>
      <c r="C68" s="2" t="s">
        <v>112</v>
      </c>
      <c r="D68" s="2" t="s">
        <v>113</v>
      </c>
      <c r="E68" s="2" t="s">
        <v>34</v>
      </c>
      <c r="F68" s="2" t="s">
        <v>114</v>
      </c>
      <c r="G68" s="2" t="s">
        <v>52</v>
      </c>
      <c r="H68" s="2" t="s">
        <v>37</v>
      </c>
      <c r="I68" s="2" t="s">
        <v>71</v>
      </c>
      <c r="J68" t="s">
        <v>31</v>
      </c>
      <c r="K68">
        <v>3</v>
      </c>
      <c r="L68" s="4"/>
      <c r="M68" s="3"/>
      <c r="N68" s="3"/>
      <c r="O68" s="3">
        <f t="shared" si="4"/>
        <v>0</v>
      </c>
      <c r="P68">
        <v>672</v>
      </c>
      <c r="Q68">
        <v>183</v>
      </c>
      <c r="R68">
        <v>0</v>
      </c>
      <c r="S68">
        <v>119</v>
      </c>
      <c r="T68">
        <f t="shared" ref="T68:T131" si="5">(P68-P67)/100</f>
        <v>2.8848000000000003</v>
      </c>
    </row>
    <row r="69" spans="1:20" x14ac:dyDescent="0.3">
      <c r="A69" s="1">
        <v>44652</v>
      </c>
      <c r="B69" s="1" t="str">
        <f t="shared" si="3"/>
        <v>Swiggy_Chennai_Product_3_44652</v>
      </c>
      <c r="C69" s="2" t="s">
        <v>82</v>
      </c>
      <c r="D69" s="2" t="s">
        <v>83</v>
      </c>
      <c r="E69" s="2" t="s">
        <v>34</v>
      </c>
      <c r="F69" s="2" t="s">
        <v>35</v>
      </c>
      <c r="G69" s="2" t="s">
        <v>84</v>
      </c>
      <c r="H69" s="2" t="s">
        <v>37</v>
      </c>
      <c r="I69" s="2" t="s">
        <v>43</v>
      </c>
      <c r="J69" t="s">
        <v>31</v>
      </c>
      <c r="K69">
        <v>1</v>
      </c>
      <c r="L69" s="3"/>
      <c r="M69" s="3"/>
      <c r="N69" s="3"/>
      <c r="O69" s="3">
        <f t="shared" si="4"/>
        <v>0</v>
      </c>
      <c r="P69">
        <v>672</v>
      </c>
      <c r="Q69">
        <v>466</v>
      </c>
      <c r="R69">
        <v>0</v>
      </c>
      <c r="S69">
        <v>127</v>
      </c>
      <c r="T69">
        <f t="shared" si="5"/>
        <v>0</v>
      </c>
    </row>
    <row r="70" spans="1:20" x14ac:dyDescent="0.3">
      <c r="A70" s="1">
        <v>44652</v>
      </c>
      <c r="B70" s="1" t="str">
        <f t="shared" si="3"/>
        <v>Maharashtra_MH-Aggregated_Product_3_44652</v>
      </c>
      <c r="C70" s="2" t="s">
        <v>39</v>
      </c>
      <c r="D70" s="2" t="s">
        <v>40</v>
      </c>
      <c r="E70" s="2" t="s">
        <v>26</v>
      </c>
      <c r="F70" s="2" t="s">
        <v>41</v>
      </c>
      <c r="G70" s="2" t="s">
        <v>42</v>
      </c>
      <c r="H70" s="2" t="s">
        <v>37</v>
      </c>
      <c r="I70" s="2" t="s">
        <v>43</v>
      </c>
      <c r="J70" t="s">
        <v>31</v>
      </c>
      <c r="K70">
        <v>12</v>
      </c>
      <c r="L70" s="3"/>
      <c r="M70" s="3"/>
      <c r="N70" s="3"/>
      <c r="O70" s="3">
        <f t="shared" si="4"/>
        <v>0</v>
      </c>
      <c r="P70">
        <v>421.92</v>
      </c>
      <c r="Q70">
        <v>267</v>
      </c>
      <c r="R70">
        <v>0</v>
      </c>
      <c r="S70">
        <v>127</v>
      </c>
      <c r="T70">
        <f t="shared" si="5"/>
        <v>-2.5007999999999999</v>
      </c>
    </row>
    <row r="71" spans="1:20" x14ac:dyDescent="0.3">
      <c r="A71" s="1">
        <v>44652</v>
      </c>
      <c r="B71" s="1" t="str">
        <f t="shared" si="3"/>
        <v>Zepto_Bangalore_Product_12_44652</v>
      </c>
      <c r="C71" s="2" t="s">
        <v>90</v>
      </c>
      <c r="D71" s="2" t="s">
        <v>91</v>
      </c>
      <c r="E71" s="2" t="s">
        <v>34</v>
      </c>
      <c r="F71" s="2" t="s">
        <v>46</v>
      </c>
      <c r="G71" s="2" t="s">
        <v>79</v>
      </c>
      <c r="H71" s="2" t="s">
        <v>67</v>
      </c>
      <c r="I71" s="2" t="s">
        <v>92</v>
      </c>
      <c r="J71" t="s">
        <v>31</v>
      </c>
      <c r="K71">
        <v>3</v>
      </c>
      <c r="L71" s="3"/>
      <c r="M71" s="3"/>
      <c r="N71" s="3"/>
      <c r="O71" s="3">
        <f t="shared" si="4"/>
        <v>0</v>
      </c>
      <c r="P71">
        <v>421.92</v>
      </c>
      <c r="Q71">
        <v>208</v>
      </c>
      <c r="R71">
        <v>5</v>
      </c>
      <c r="S71">
        <v>94</v>
      </c>
      <c r="T71">
        <f t="shared" si="5"/>
        <v>0</v>
      </c>
    </row>
    <row r="72" spans="1:20" x14ac:dyDescent="0.3">
      <c r="A72" s="1">
        <v>44652</v>
      </c>
      <c r="B72" s="1" t="str">
        <f t="shared" si="3"/>
        <v>Swiggy_Bangalore_Product_16_44652</v>
      </c>
      <c r="C72" s="2" t="s">
        <v>107</v>
      </c>
      <c r="D72" s="2" t="s">
        <v>108</v>
      </c>
      <c r="E72" s="2" t="s">
        <v>34</v>
      </c>
      <c r="F72" s="2" t="s">
        <v>35</v>
      </c>
      <c r="G72" s="2" t="s">
        <v>79</v>
      </c>
      <c r="H72" s="2" t="s">
        <v>47</v>
      </c>
      <c r="I72" s="2" t="s">
        <v>109</v>
      </c>
      <c r="J72" t="s">
        <v>31</v>
      </c>
      <c r="K72">
        <v>5</v>
      </c>
      <c r="L72" s="3"/>
      <c r="M72" s="3"/>
      <c r="N72" s="3"/>
      <c r="O72" s="3">
        <f t="shared" si="4"/>
        <v>0</v>
      </c>
      <c r="P72">
        <v>748.8</v>
      </c>
      <c r="Q72">
        <v>121</v>
      </c>
      <c r="R72">
        <v>0</v>
      </c>
      <c r="S72">
        <v>122</v>
      </c>
      <c r="T72">
        <f t="shared" si="5"/>
        <v>3.2687999999999993</v>
      </c>
    </row>
    <row r="73" spans="1:20" x14ac:dyDescent="0.3">
      <c r="A73" s="1">
        <v>44652</v>
      </c>
      <c r="B73" s="1" t="str">
        <f t="shared" si="3"/>
        <v>Reliance_Bangalore_Product_13_44652</v>
      </c>
      <c r="C73" s="2" t="s">
        <v>93</v>
      </c>
      <c r="D73" s="2" t="s">
        <v>94</v>
      </c>
      <c r="E73" s="2" t="s">
        <v>34</v>
      </c>
      <c r="F73" s="2" t="s">
        <v>51</v>
      </c>
      <c r="G73" s="2" t="s">
        <v>79</v>
      </c>
      <c r="H73" s="2" t="s">
        <v>67</v>
      </c>
      <c r="I73" s="2" t="s">
        <v>95</v>
      </c>
      <c r="J73" t="s">
        <v>31</v>
      </c>
      <c r="K73">
        <v>1</v>
      </c>
      <c r="L73" s="3"/>
      <c r="M73" s="3"/>
      <c r="N73" s="3"/>
      <c r="O73" s="3">
        <f t="shared" si="4"/>
        <v>0</v>
      </c>
      <c r="P73">
        <v>748.8</v>
      </c>
      <c r="Q73">
        <v>118</v>
      </c>
      <c r="R73">
        <v>0</v>
      </c>
      <c r="S73">
        <v>113</v>
      </c>
      <c r="T73">
        <f t="shared" si="5"/>
        <v>0</v>
      </c>
    </row>
    <row r="74" spans="1:20" x14ac:dyDescent="0.3">
      <c r="A74" s="1">
        <v>44652</v>
      </c>
      <c r="B74" s="1" t="str">
        <f t="shared" si="3"/>
        <v>Swiggy_Kolkata CFA_Product_3_44652</v>
      </c>
      <c r="C74" s="2" t="s">
        <v>61</v>
      </c>
      <c r="D74" s="2" t="s">
        <v>62</v>
      </c>
      <c r="E74" s="2" t="s">
        <v>34</v>
      </c>
      <c r="F74" s="2" t="s">
        <v>35</v>
      </c>
      <c r="G74" s="2" t="s">
        <v>63</v>
      </c>
      <c r="H74" s="2" t="s">
        <v>37</v>
      </c>
      <c r="I74" s="2" t="s">
        <v>43</v>
      </c>
      <c r="J74" t="s">
        <v>31</v>
      </c>
      <c r="K74">
        <v>7</v>
      </c>
      <c r="L74" s="3"/>
      <c r="M74" s="3"/>
      <c r="N74" s="3"/>
      <c r="O74" s="3">
        <f t="shared" si="4"/>
        <v>0</v>
      </c>
      <c r="P74">
        <v>84</v>
      </c>
      <c r="Q74">
        <v>464</v>
      </c>
      <c r="R74">
        <v>12</v>
      </c>
      <c r="S74">
        <v>127</v>
      </c>
      <c r="T74">
        <f t="shared" si="5"/>
        <v>-6.6479999999999997</v>
      </c>
    </row>
    <row r="75" spans="1:20" x14ac:dyDescent="0.3">
      <c r="A75" s="1">
        <v>44652</v>
      </c>
      <c r="B75" s="1" t="str">
        <f t="shared" si="3"/>
        <v>Swiggy_Mundka_Product_17_44652</v>
      </c>
      <c r="C75" s="2" t="s">
        <v>115</v>
      </c>
      <c r="D75" s="2" t="s">
        <v>116</v>
      </c>
      <c r="E75" s="2" t="s">
        <v>34</v>
      </c>
      <c r="F75" s="2" t="s">
        <v>35</v>
      </c>
      <c r="G75" s="2" t="s">
        <v>36</v>
      </c>
      <c r="H75" s="2" t="s">
        <v>117</v>
      </c>
      <c r="I75" s="2" t="s">
        <v>118</v>
      </c>
      <c r="J75" t="s">
        <v>31</v>
      </c>
      <c r="K75">
        <v>15</v>
      </c>
      <c r="L75" s="3"/>
      <c r="M75" s="3"/>
      <c r="N75" s="3"/>
      <c r="O75" s="3">
        <f t="shared" si="4"/>
        <v>0</v>
      </c>
      <c r="P75">
        <v>48</v>
      </c>
      <c r="Q75">
        <v>253</v>
      </c>
      <c r="R75">
        <v>6</v>
      </c>
      <c r="S75">
        <v>106</v>
      </c>
      <c r="T75">
        <f t="shared" si="5"/>
        <v>-0.36</v>
      </c>
    </row>
    <row r="76" spans="1:20" x14ac:dyDescent="0.3">
      <c r="A76" s="1">
        <v>44652</v>
      </c>
      <c r="B76" s="1" t="str">
        <f t="shared" si="3"/>
        <v>Reliance_Mundka_Product_6_44652</v>
      </c>
      <c r="C76" s="2" t="s">
        <v>55</v>
      </c>
      <c r="D76" s="2" t="s">
        <v>56</v>
      </c>
      <c r="E76" s="2" t="s">
        <v>34</v>
      </c>
      <c r="F76" s="2" t="s">
        <v>51</v>
      </c>
      <c r="G76" s="2" t="s">
        <v>36</v>
      </c>
      <c r="H76" s="2" t="s">
        <v>37</v>
      </c>
      <c r="I76" s="2" t="s">
        <v>57</v>
      </c>
      <c r="J76" t="s">
        <v>31</v>
      </c>
      <c r="K76">
        <v>16</v>
      </c>
      <c r="L76" s="3"/>
      <c r="M76" s="3"/>
      <c r="N76" s="3"/>
      <c r="O76" s="3">
        <f t="shared" si="4"/>
        <v>0</v>
      </c>
      <c r="P76">
        <v>383.52</v>
      </c>
      <c r="Q76">
        <v>375</v>
      </c>
      <c r="R76">
        <v>0</v>
      </c>
      <c r="S76">
        <v>135</v>
      </c>
      <c r="T76">
        <f t="shared" si="5"/>
        <v>3.3552</v>
      </c>
    </row>
    <row r="77" spans="1:20" x14ac:dyDescent="0.3">
      <c r="A77" s="1">
        <v>44652</v>
      </c>
      <c r="B77" s="1" t="str">
        <f t="shared" si="3"/>
        <v>Reliance_Bangalore_Product_8_44652</v>
      </c>
      <c r="C77" s="2" t="s">
        <v>77</v>
      </c>
      <c r="D77" s="2" t="s">
        <v>78</v>
      </c>
      <c r="E77" s="2" t="s">
        <v>34</v>
      </c>
      <c r="F77" s="2" t="s">
        <v>51</v>
      </c>
      <c r="G77" s="2" t="s">
        <v>79</v>
      </c>
      <c r="H77" s="2" t="s">
        <v>67</v>
      </c>
      <c r="I77" s="2" t="s">
        <v>68</v>
      </c>
      <c r="J77" t="s">
        <v>31</v>
      </c>
      <c r="K77">
        <v>3</v>
      </c>
      <c r="L77" s="3"/>
      <c r="M77" s="3"/>
      <c r="N77" s="3"/>
      <c r="O77" s="3">
        <f t="shared" si="4"/>
        <v>0</v>
      </c>
      <c r="P77">
        <v>383.52</v>
      </c>
      <c r="Q77">
        <v>259</v>
      </c>
      <c r="R77">
        <v>3</v>
      </c>
      <c r="S77">
        <v>126</v>
      </c>
      <c r="T77">
        <f t="shared" si="5"/>
        <v>0</v>
      </c>
    </row>
    <row r="78" spans="1:20" x14ac:dyDescent="0.3">
      <c r="A78" s="1">
        <v>44652</v>
      </c>
      <c r="B78" s="1" t="str">
        <f t="shared" si="3"/>
        <v>Reliance_Bangalore_Product_3_44652</v>
      </c>
      <c r="C78" s="2" t="s">
        <v>80</v>
      </c>
      <c r="D78" s="2" t="s">
        <v>81</v>
      </c>
      <c r="E78" s="2" t="s">
        <v>34</v>
      </c>
      <c r="F78" s="2" t="s">
        <v>51</v>
      </c>
      <c r="G78" s="2" t="s">
        <v>79</v>
      </c>
      <c r="H78" s="2" t="s">
        <v>37</v>
      </c>
      <c r="I78" s="2" t="s">
        <v>43</v>
      </c>
      <c r="J78" t="s">
        <v>31</v>
      </c>
      <c r="K78">
        <v>7</v>
      </c>
      <c r="L78" s="3"/>
      <c r="M78" s="3"/>
      <c r="N78" s="3"/>
      <c r="O78" s="3">
        <f t="shared" si="4"/>
        <v>0</v>
      </c>
      <c r="P78">
        <v>672</v>
      </c>
      <c r="Q78">
        <v>345</v>
      </c>
      <c r="R78">
        <v>1</v>
      </c>
      <c r="S78">
        <v>127</v>
      </c>
      <c r="T78">
        <f t="shared" si="5"/>
        <v>2.8848000000000003</v>
      </c>
    </row>
    <row r="79" spans="1:20" x14ac:dyDescent="0.3">
      <c r="A79" s="1">
        <v>44652</v>
      </c>
      <c r="B79" s="1" t="str">
        <f t="shared" si="3"/>
        <v>Swiggy_Mundka_Product_2_44652</v>
      </c>
      <c r="C79" s="2" t="s">
        <v>32</v>
      </c>
      <c r="D79" s="2" t="s">
        <v>33</v>
      </c>
      <c r="E79" s="2" t="s">
        <v>34</v>
      </c>
      <c r="F79" s="2" t="s">
        <v>35</v>
      </c>
      <c r="G79" s="2" t="s">
        <v>36</v>
      </c>
      <c r="H79" s="2" t="s">
        <v>37</v>
      </c>
      <c r="I79" s="2" t="s">
        <v>38</v>
      </c>
      <c r="J79" t="s">
        <v>31</v>
      </c>
      <c r="K79">
        <v>2</v>
      </c>
      <c r="L79" s="3"/>
      <c r="M79" s="3"/>
      <c r="N79" s="3"/>
      <c r="O79" s="3">
        <f t="shared" si="4"/>
        <v>0</v>
      </c>
      <c r="P79">
        <v>672</v>
      </c>
      <c r="Q79">
        <v>468</v>
      </c>
      <c r="R79">
        <v>8</v>
      </c>
      <c r="S79">
        <v>134</v>
      </c>
      <c r="T79">
        <f t="shared" si="5"/>
        <v>0</v>
      </c>
    </row>
    <row r="80" spans="1:20" x14ac:dyDescent="0.3">
      <c r="A80" s="1">
        <v>44652</v>
      </c>
      <c r="B80" s="1" t="str">
        <f t="shared" si="3"/>
        <v>Zepto_Mundka_Product_3_44652</v>
      </c>
      <c r="C80" s="2" t="s">
        <v>72</v>
      </c>
      <c r="D80" s="2" t="s">
        <v>73</v>
      </c>
      <c r="E80" s="2" t="s">
        <v>34</v>
      </c>
      <c r="F80" s="2" t="s">
        <v>46</v>
      </c>
      <c r="G80" s="2" t="s">
        <v>36</v>
      </c>
      <c r="H80" s="2" t="s">
        <v>37</v>
      </c>
      <c r="I80" s="2" t="s">
        <v>43</v>
      </c>
      <c r="J80" t="s">
        <v>31</v>
      </c>
      <c r="K80">
        <v>35</v>
      </c>
      <c r="L80" s="3"/>
      <c r="M80" s="3"/>
      <c r="N80" s="3"/>
      <c r="O80" s="3">
        <f t="shared" si="4"/>
        <v>0</v>
      </c>
      <c r="P80">
        <v>421.92</v>
      </c>
      <c r="Q80">
        <v>423</v>
      </c>
      <c r="R80">
        <v>0</v>
      </c>
      <c r="S80">
        <v>127</v>
      </c>
      <c r="T80">
        <f t="shared" si="5"/>
        <v>-2.5007999999999999</v>
      </c>
    </row>
    <row r="81" spans="1:20" x14ac:dyDescent="0.3">
      <c r="A81" s="1">
        <v>44652</v>
      </c>
      <c r="B81" s="1" t="str">
        <f t="shared" si="3"/>
        <v>Reliance_Ahmedabad_Product_5_44652</v>
      </c>
      <c r="C81" s="2" t="s">
        <v>49</v>
      </c>
      <c r="D81" s="2" t="s">
        <v>50</v>
      </c>
      <c r="E81" s="2" t="s">
        <v>34</v>
      </c>
      <c r="F81" s="2" t="s">
        <v>51</v>
      </c>
      <c r="G81" s="2" t="s">
        <v>52</v>
      </c>
      <c r="H81" s="2" t="s">
        <v>53</v>
      </c>
      <c r="I81" s="2" t="s">
        <v>54</v>
      </c>
      <c r="J81" t="s">
        <v>31</v>
      </c>
      <c r="K81">
        <v>6</v>
      </c>
      <c r="L81" s="3"/>
      <c r="M81" s="3"/>
      <c r="N81" s="3"/>
      <c r="O81" s="3">
        <f t="shared" si="4"/>
        <v>0</v>
      </c>
      <c r="P81">
        <v>421.92</v>
      </c>
      <c r="Q81">
        <v>453</v>
      </c>
      <c r="R81">
        <v>3</v>
      </c>
      <c r="S81">
        <v>132</v>
      </c>
      <c r="T81">
        <f t="shared" si="5"/>
        <v>0</v>
      </c>
    </row>
    <row r="82" spans="1:20" x14ac:dyDescent="0.3">
      <c r="A82" s="1">
        <v>44652</v>
      </c>
      <c r="B82" s="1" t="str">
        <f t="shared" si="3"/>
        <v>Reliance_Kolkata CFA_Product_12_44652</v>
      </c>
      <c r="C82" s="2" t="s">
        <v>101</v>
      </c>
      <c r="D82" s="2" t="s">
        <v>102</v>
      </c>
      <c r="E82" s="2" t="s">
        <v>34</v>
      </c>
      <c r="F82" s="2" t="s">
        <v>51</v>
      </c>
      <c r="G82" s="2" t="s">
        <v>63</v>
      </c>
      <c r="H82" s="2" t="s">
        <v>67</v>
      </c>
      <c r="I82" s="2" t="s">
        <v>92</v>
      </c>
      <c r="J82" t="s">
        <v>31</v>
      </c>
      <c r="K82">
        <v>12</v>
      </c>
      <c r="L82" s="3"/>
      <c r="M82" s="3"/>
      <c r="N82" s="3"/>
      <c r="O82" s="3">
        <f t="shared" si="4"/>
        <v>0</v>
      </c>
      <c r="P82">
        <v>748.8</v>
      </c>
      <c r="Q82">
        <v>219</v>
      </c>
      <c r="R82">
        <v>0</v>
      </c>
      <c r="S82">
        <v>94</v>
      </c>
      <c r="T82">
        <f t="shared" si="5"/>
        <v>3.2687999999999993</v>
      </c>
    </row>
    <row r="83" spans="1:20" x14ac:dyDescent="0.3">
      <c r="A83" s="1">
        <v>44652</v>
      </c>
      <c r="B83" s="1" t="str">
        <f t="shared" si="3"/>
        <v>Reliance_Ahmedabad_Product_7_44652</v>
      </c>
      <c r="C83" s="2" t="s">
        <v>99</v>
      </c>
      <c r="D83" s="2" t="s">
        <v>100</v>
      </c>
      <c r="E83" s="2" t="s">
        <v>34</v>
      </c>
      <c r="F83" s="2" t="s">
        <v>51</v>
      </c>
      <c r="G83" s="2" t="s">
        <v>52</v>
      </c>
      <c r="H83" s="2" t="s">
        <v>37</v>
      </c>
      <c r="I83" s="2" t="s">
        <v>60</v>
      </c>
      <c r="J83" t="s">
        <v>31</v>
      </c>
      <c r="K83">
        <v>3</v>
      </c>
      <c r="L83" s="3"/>
      <c r="M83" s="3"/>
      <c r="N83" s="3"/>
      <c r="O83" s="3">
        <f t="shared" si="4"/>
        <v>0</v>
      </c>
      <c r="P83">
        <v>748.8</v>
      </c>
      <c r="Q83">
        <v>324</v>
      </c>
      <c r="R83">
        <v>0</v>
      </c>
      <c r="S83">
        <v>117</v>
      </c>
      <c r="T83">
        <f t="shared" si="5"/>
        <v>0</v>
      </c>
    </row>
    <row r="84" spans="1:20" x14ac:dyDescent="0.3">
      <c r="A84" s="1">
        <v>44652</v>
      </c>
      <c r="B84" s="1" t="str">
        <f t="shared" si="3"/>
        <v>Jharkhand_JH-Aggregated_Product_1_44652</v>
      </c>
      <c r="C84" s="2" t="s">
        <v>24</v>
      </c>
      <c r="D84" s="2" t="s">
        <v>25</v>
      </c>
      <c r="E84" s="2" t="s">
        <v>26</v>
      </c>
      <c r="F84" s="2" t="s">
        <v>27</v>
      </c>
      <c r="G84" s="2" t="s">
        <v>28</v>
      </c>
      <c r="H84" s="2" t="s">
        <v>29</v>
      </c>
      <c r="I84" s="2" t="s">
        <v>30</v>
      </c>
      <c r="J84" t="s">
        <v>31</v>
      </c>
      <c r="K84">
        <v>21</v>
      </c>
      <c r="L84" s="3"/>
      <c r="M84" s="3"/>
      <c r="N84" s="3"/>
      <c r="O84" s="3">
        <f t="shared" si="4"/>
        <v>0</v>
      </c>
      <c r="P84">
        <v>84</v>
      </c>
      <c r="Q84">
        <v>420</v>
      </c>
      <c r="R84">
        <v>0</v>
      </c>
      <c r="S84">
        <v>111</v>
      </c>
      <c r="T84">
        <f t="shared" si="5"/>
        <v>-6.6479999999999997</v>
      </c>
    </row>
    <row r="85" spans="1:20" x14ac:dyDescent="0.3">
      <c r="A85" s="1">
        <v>44652</v>
      </c>
      <c r="B85" s="1" t="str">
        <f t="shared" si="3"/>
        <v>Reliance_Bhiwandi_Product_8_44652</v>
      </c>
      <c r="C85" s="2" t="s">
        <v>64</v>
      </c>
      <c r="D85" s="2" t="s">
        <v>65</v>
      </c>
      <c r="E85" s="2" t="s">
        <v>34</v>
      </c>
      <c r="F85" s="2" t="s">
        <v>51</v>
      </c>
      <c r="G85" s="2" t="s">
        <v>66</v>
      </c>
      <c r="H85" s="2" t="s">
        <v>67</v>
      </c>
      <c r="I85" s="2" t="s">
        <v>68</v>
      </c>
      <c r="J85" t="s">
        <v>31</v>
      </c>
      <c r="K85">
        <v>47</v>
      </c>
      <c r="L85" s="3"/>
      <c r="M85" s="3"/>
      <c r="N85" s="3"/>
      <c r="O85" s="3">
        <f t="shared" si="4"/>
        <v>0</v>
      </c>
      <c r="P85">
        <v>48</v>
      </c>
      <c r="Q85">
        <v>476</v>
      </c>
      <c r="R85">
        <v>7</v>
      </c>
      <c r="S85">
        <v>126</v>
      </c>
      <c r="T85">
        <f t="shared" si="5"/>
        <v>-0.36</v>
      </c>
    </row>
    <row r="86" spans="1:20" x14ac:dyDescent="0.3">
      <c r="A86" s="1">
        <v>44652</v>
      </c>
      <c r="B86" s="1" t="str">
        <f t="shared" si="3"/>
        <v>Maharashtra_MH-Aggregated_Product_9_44652</v>
      </c>
      <c r="C86" s="2" t="s">
        <v>69</v>
      </c>
      <c r="D86" s="2" t="s">
        <v>70</v>
      </c>
      <c r="E86" s="2" t="s">
        <v>26</v>
      </c>
      <c r="F86" s="2" t="s">
        <v>41</v>
      </c>
      <c r="G86" s="2" t="s">
        <v>42</v>
      </c>
      <c r="H86" s="2" t="s">
        <v>37</v>
      </c>
      <c r="I86" s="2" t="s">
        <v>71</v>
      </c>
      <c r="J86" t="s">
        <v>31</v>
      </c>
      <c r="K86">
        <v>5</v>
      </c>
      <c r="L86" s="3"/>
      <c r="M86" s="3"/>
      <c r="N86" s="3"/>
      <c r="O86" s="3">
        <f t="shared" si="4"/>
        <v>0</v>
      </c>
      <c r="P86">
        <v>383.52</v>
      </c>
      <c r="Q86">
        <v>267</v>
      </c>
      <c r="R86">
        <v>0</v>
      </c>
      <c r="S86">
        <v>119</v>
      </c>
      <c r="T86">
        <f t="shared" si="5"/>
        <v>3.3552</v>
      </c>
    </row>
    <row r="87" spans="1:20" x14ac:dyDescent="0.3">
      <c r="A87" s="1">
        <v>44652</v>
      </c>
      <c r="B87" s="1" t="str">
        <f t="shared" si="3"/>
        <v>Reliance_Bhiwandi_Product_10_44652</v>
      </c>
      <c r="C87" s="2" t="s">
        <v>85</v>
      </c>
      <c r="D87" s="2" t="s">
        <v>86</v>
      </c>
      <c r="E87" s="2" t="s">
        <v>34</v>
      </c>
      <c r="F87" s="2" t="s">
        <v>51</v>
      </c>
      <c r="G87" s="2" t="s">
        <v>66</v>
      </c>
      <c r="H87" s="2" t="s">
        <v>67</v>
      </c>
      <c r="I87" s="2" t="s">
        <v>76</v>
      </c>
      <c r="J87" t="s">
        <v>31</v>
      </c>
      <c r="K87">
        <v>1</v>
      </c>
      <c r="L87" s="3"/>
      <c r="M87" s="3"/>
      <c r="N87" s="3"/>
      <c r="O87" s="3">
        <f t="shared" si="4"/>
        <v>0</v>
      </c>
      <c r="P87">
        <v>383.52</v>
      </c>
      <c r="Q87">
        <v>432</v>
      </c>
      <c r="R87">
        <v>4</v>
      </c>
      <c r="S87">
        <v>106</v>
      </c>
      <c r="T87">
        <f t="shared" si="5"/>
        <v>0</v>
      </c>
    </row>
    <row r="88" spans="1:20" x14ac:dyDescent="0.3">
      <c r="A88" s="1">
        <v>44652</v>
      </c>
      <c r="B88" s="1" t="str">
        <f t="shared" si="3"/>
        <v>Reliance_Mundka_Product_7_44652</v>
      </c>
      <c r="C88" s="2" t="s">
        <v>58</v>
      </c>
      <c r="D88" s="2" t="s">
        <v>59</v>
      </c>
      <c r="E88" s="2" t="s">
        <v>34</v>
      </c>
      <c r="F88" s="2" t="s">
        <v>51</v>
      </c>
      <c r="G88" s="2" t="s">
        <v>36</v>
      </c>
      <c r="H88" s="2" t="s">
        <v>37</v>
      </c>
      <c r="I88" s="2" t="s">
        <v>60</v>
      </c>
      <c r="J88" t="s">
        <v>31</v>
      </c>
      <c r="K88">
        <v>3</v>
      </c>
      <c r="L88" s="3"/>
      <c r="M88" s="3"/>
      <c r="N88" s="3"/>
      <c r="O88" s="3">
        <f t="shared" si="4"/>
        <v>0</v>
      </c>
      <c r="P88">
        <v>672</v>
      </c>
      <c r="Q88">
        <v>104</v>
      </c>
      <c r="R88">
        <v>0</v>
      </c>
      <c r="S88">
        <v>117</v>
      </c>
      <c r="T88">
        <f t="shared" si="5"/>
        <v>2.8848000000000003</v>
      </c>
    </row>
    <row r="89" spans="1:20" x14ac:dyDescent="0.3">
      <c r="A89" s="1">
        <v>44682</v>
      </c>
      <c r="B89" s="1" t="str">
        <f t="shared" si="3"/>
        <v>Swiggy_Bangalore_Product_16_44682</v>
      </c>
      <c r="C89" s="2" t="s">
        <v>107</v>
      </c>
      <c r="D89" s="2" t="s">
        <v>108</v>
      </c>
      <c r="E89" s="2" t="s">
        <v>34</v>
      </c>
      <c r="F89" s="2" t="s">
        <v>35</v>
      </c>
      <c r="G89" s="2" t="s">
        <v>79</v>
      </c>
      <c r="H89" s="2" t="s">
        <v>47</v>
      </c>
      <c r="I89" s="2" t="s">
        <v>109</v>
      </c>
      <c r="J89" t="s">
        <v>31</v>
      </c>
      <c r="K89">
        <v>1</v>
      </c>
      <c r="L89" s="3"/>
      <c r="M89" s="3"/>
      <c r="N89" s="3"/>
      <c r="O89" s="3">
        <f t="shared" si="4"/>
        <v>0</v>
      </c>
      <c r="P89">
        <v>672</v>
      </c>
      <c r="Q89">
        <v>305</v>
      </c>
      <c r="R89">
        <v>2</v>
      </c>
      <c r="S89">
        <v>122</v>
      </c>
      <c r="T89">
        <f t="shared" si="5"/>
        <v>0</v>
      </c>
    </row>
    <row r="90" spans="1:20" x14ac:dyDescent="0.3">
      <c r="A90" s="1">
        <v>44682</v>
      </c>
      <c r="B90" s="1" t="str">
        <f t="shared" si="3"/>
        <v>Zepto_Bangalore_Product_12_44682</v>
      </c>
      <c r="C90" s="2" t="s">
        <v>90</v>
      </c>
      <c r="D90" s="2" t="s">
        <v>91</v>
      </c>
      <c r="E90" s="2" t="s">
        <v>34</v>
      </c>
      <c r="F90" s="2" t="s">
        <v>46</v>
      </c>
      <c r="G90" s="2" t="s">
        <v>79</v>
      </c>
      <c r="H90" s="2" t="s">
        <v>67</v>
      </c>
      <c r="I90" s="2" t="s">
        <v>92</v>
      </c>
      <c r="J90" t="s">
        <v>31</v>
      </c>
      <c r="K90">
        <v>9</v>
      </c>
      <c r="L90" s="3"/>
      <c r="M90" s="3"/>
      <c r="N90" s="3"/>
      <c r="O90" s="3">
        <f t="shared" si="4"/>
        <v>0</v>
      </c>
      <c r="P90">
        <v>421.92</v>
      </c>
      <c r="Q90">
        <v>159</v>
      </c>
      <c r="R90">
        <v>5</v>
      </c>
      <c r="S90">
        <v>94</v>
      </c>
      <c r="T90">
        <f t="shared" si="5"/>
        <v>-2.5007999999999999</v>
      </c>
    </row>
    <row r="91" spans="1:20" x14ac:dyDescent="0.3">
      <c r="A91" s="1">
        <v>44682</v>
      </c>
      <c r="B91" s="1" t="str">
        <f t="shared" si="3"/>
        <v>Reliance_Kolkata CFA_Product_12_44682</v>
      </c>
      <c r="C91" s="2" t="s">
        <v>101</v>
      </c>
      <c r="D91" s="2" t="s">
        <v>102</v>
      </c>
      <c r="E91" s="2" t="s">
        <v>34</v>
      </c>
      <c r="F91" s="2" t="s">
        <v>51</v>
      </c>
      <c r="G91" s="2" t="s">
        <v>63</v>
      </c>
      <c r="H91" s="2" t="s">
        <v>67</v>
      </c>
      <c r="I91" s="2" t="s">
        <v>92</v>
      </c>
      <c r="J91" t="s">
        <v>31</v>
      </c>
      <c r="K91">
        <v>3</v>
      </c>
      <c r="L91" s="3"/>
      <c r="M91" s="3"/>
      <c r="N91" s="3"/>
      <c r="O91" s="3">
        <f t="shared" si="4"/>
        <v>0</v>
      </c>
      <c r="P91">
        <v>421.92</v>
      </c>
      <c r="Q91">
        <v>364</v>
      </c>
      <c r="R91">
        <v>0</v>
      </c>
      <c r="S91">
        <v>94</v>
      </c>
      <c r="T91">
        <f t="shared" si="5"/>
        <v>0</v>
      </c>
    </row>
    <row r="92" spans="1:20" x14ac:dyDescent="0.3">
      <c r="A92" s="1">
        <v>44682</v>
      </c>
      <c r="B92" s="1" t="str">
        <f t="shared" si="3"/>
        <v>Reliance_Bhiwandi_Product_8_44682</v>
      </c>
      <c r="C92" s="2" t="s">
        <v>64</v>
      </c>
      <c r="D92" s="2" t="s">
        <v>65</v>
      </c>
      <c r="E92" s="2" t="s">
        <v>34</v>
      </c>
      <c r="F92" s="2" t="s">
        <v>51</v>
      </c>
      <c r="G92" s="2" t="s">
        <v>66</v>
      </c>
      <c r="H92" s="2" t="s">
        <v>67</v>
      </c>
      <c r="I92" s="2" t="s">
        <v>68</v>
      </c>
      <c r="J92" t="s">
        <v>31</v>
      </c>
      <c r="K92">
        <v>4</v>
      </c>
      <c r="L92" s="3"/>
      <c r="M92" s="3"/>
      <c r="N92" s="3"/>
      <c r="O92" s="3">
        <f t="shared" si="4"/>
        <v>0</v>
      </c>
      <c r="P92">
        <v>748.8</v>
      </c>
      <c r="Q92">
        <v>296</v>
      </c>
      <c r="R92">
        <v>3</v>
      </c>
      <c r="S92">
        <v>126</v>
      </c>
      <c r="T92">
        <f t="shared" si="5"/>
        <v>3.2687999999999993</v>
      </c>
    </row>
    <row r="93" spans="1:20" x14ac:dyDescent="0.3">
      <c r="A93" s="1">
        <v>44682</v>
      </c>
      <c r="B93" s="1" t="str">
        <f t="shared" si="3"/>
        <v>Reliance_Mundka_Product_6_44682</v>
      </c>
      <c r="C93" s="2" t="s">
        <v>55</v>
      </c>
      <c r="D93" s="2" t="s">
        <v>56</v>
      </c>
      <c r="E93" s="2" t="s">
        <v>34</v>
      </c>
      <c r="F93" s="2" t="s">
        <v>51</v>
      </c>
      <c r="G93" s="2" t="s">
        <v>36</v>
      </c>
      <c r="H93" s="2" t="s">
        <v>37</v>
      </c>
      <c r="I93" s="2" t="s">
        <v>57</v>
      </c>
      <c r="J93" t="s">
        <v>31</v>
      </c>
      <c r="K93">
        <v>1</v>
      </c>
      <c r="L93" s="3"/>
      <c r="M93" s="3"/>
      <c r="N93" s="3"/>
      <c r="O93" s="3">
        <f t="shared" si="4"/>
        <v>0</v>
      </c>
      <c r="P93">
        <v>748.8</v>
      </c>
      <c r="Q93">
        <v>243</v>
      </c>
      <c r="R93">
        <v>0</v>
      </c>
      <c r="S93">
        <v>135</v>
      </c>
      <c r="T93">
        <f t="shared" si="5"/>
        <v>0</v>
      </c>
    </row>
    <row r="94" spans="1:20" x14ac:dyDescent="0.3">
      <c r="A94" s="1">
        <v>44682</v>
      </c>
      <c r="B94" s="1" t="str">
        <f t="shared" si="3"/>
        <v>Reliance_Bhiwandi_Product_11_44682</v>
      </c>
      <c r="C94" s="2" t="s">
        <v>87</v>
      </c>
      <c r="D94" s="2" t="s">
        <v>88</v>
      </c>
      <c r="E94" s="2" t="s">
        <v>34</v>
      </c>
      <c r="F94" s="2" t="s">
        <v>51</v>
      </c>
      <c r="G94" s="2" t="s">
        <v>66</v>
      </c>
      <c r="H94" s="2" t="s">
        <v>67</v>
      </c>
      <c r="I94" s="2" t="s">
        <v>89</v>
      </c>
      <c r="J94" t="s">
        <v>31</v>
      </c>
      <c r="K94">
        <v>5</v>
      </c>
      <c r="L94" s="3"/>
      <c r="M94" s="3"/>
      <c r="N94" s="3"/>
      <c r="O94" s="3">
        <f t="shared" si="4"/>
        <v>0</v>
      </c>
      <c r="P94">
        <v>84</v>
      </c>
      <c r="Q94">
        <v>118</v>
      </c>
      <c r="R94">
        <v>7</v>
      </c>
      <c r="S94">
        <v>131</v>
      </c>
      <c r="T94">
        <f t="shared" si="5"/>
        <v>-6.6479999999999997</v>
      </c>
    </row>
    <row r="95" spans="1:20" x14ac:dyDescent="0.3">
      <c r="A95" s="1">
        <v>44682</v>
      </c>
      <c r="B95" s="1" t="str">
        <f t="shared" si="3"/>
        <v>Reliance_Bangalore_Product_8_44682</v>
      </c>
      <c r="C95" s="2" t="s">
        <v>77</v>
      </c>
      <c r="D95" s="2" t="s">
        <v>78</v>
      </c>
      <c r="E95" s="2" t="s">
        <v>34</v>
      </c>
      <c r="F95" s="2" t="s">
        <v>51</v>
      </c>
      <c r="G95" s="2" t="s">
        <v>79</v>
      </c>
      <c r="H95" s="2" t="s">
        <v>67</v>
      </c>
      <c r="I95" s="2" t="s">
        <v>68</v>
      </c>
      <c r="J95" t="s">
        <v>31</v>
      </c>
      <c r="K95">
        <v>11</v>
      </c>
      <c r="L95" s="3"/>
      <c r="M95" s="3"/>
      <c r="N95" s="3"/>
      <c r="O95" s="3">
        <f t="shared" si="4"/>
        <v>0</v>
      </c>
      <c r="P95">
        <v>48</v>
      </c>
      <c r="Q95">
        <v>448</v>
      </c>
      <c r="R95">
        <v>0</v>
      </c>
      <c r="S95">
        <v>126</v>
      </c>
      <c r="T95">
        <f t="shared" si="5"/>
        <v>-0.36</v>
      </c>
    </row>
    <row r="96" spans="1:20" x14ac:dyDescent="0.3">
      <c r="A96" s="1">
        <v>44682</v>
      </c>
      <c r="B96" s="1" t="str">
        <f t="shared" si="3"/>
        <v>Swiggy_Chennai_Product_3_44682</v>
      </c>
      <c r="C96" s="2" t="s">
        <v>82</v>
      </c>
      <c r="D96" s="2" t="s">
        <v>83</v>
      </c>
      <c r="E96" s="2" t="s">
        <v>34</v>
      </c>
      <c r="F96" s="2" t="s">
        <v>35</v>
      </c>
      <c r="G96" s="2" t="s">
        <v>84</v>
      </c>
      <c r="H96" s="2" t="s">
        <v>37</v>
      </c>
      <c r="I96" s="2" t="s">
        <v>43</v>
      </c>
      <c r="J96" t="s">
        <v>31</v>
      </c>
      <c r="K96">
        <v>14</v>
      </c>
      <c r="L96" s="3"/>
      <c r="M96" s="3"/>
      <c r="N96" s="3"/>
      <c r="O96" s="3">
        <f t="shared" si="4"/>
        <v>0</v>
      </c>
      <c r="P96">
        <v>383.52</v>
      </c>
      <c r="Q96">
        <v>316</v>
      </c>
      <c r="R96">
        <v>2</v>
      </c>
      <c r="S96">
        <v>127</v>
      </c>
      <c r="T96">
        <f t="shared" si="5"/>
        <v>3.3552</v>
      </c>
    </row>
    <row r="97" spans="1:20" x14ac:dyDescent="0.3">
      <c r="A97" s="1">
        <v>44682</v>
      </c>
      <c r="B97" s="1" t="str">
        <f t="shared" si="3"/>
        <v>Jharkhand_JH-Aggregated_Product_1_44682</v>
      </c>
      <c r="C97" s="2" t="s">
        <v>24</v>
      </c>
      <c r="D97" s="2" t="s">
        <v>25</v>
      </c>
      <c r="E97" s="2" t="s">
        <v>26</v>
      </c>
      <c r="F97" s="2" t="s">
        <v>27</v>
      </c>
      <c r="G97" s="2" t="s">
        <v>28</v>
      </c>
      <c r="H97" s="2" t="s">
        <v>29</v>
      </c>
      <c r="I97" s="2" t="s">
        <v>30</v>
      </c>
      <c r="J97" t="s">
        <v>31</v>
      </c>
      <c r="K97">
        <v>3</v>
      </c>
      <c r="L97" s="3"/>
      <c r="M97" s="3"/>
      <c r="N97" s="3"/>
      <c r="O97" s="3">
        <f t="shared" si="4"/>
        <v>0</v>
      </c>
      <c r="P97">
        <v>383.52</v>
      </c>
      <c r="Q97">
        <v>488</v>
      </c>
      <c r="R97">
        <v>0</v>
      </c>
      <c r="S97">
        <v>111</v>
      </c>
      <c r="T97">
        <f t="shared" si="5"/>
        <v>0</v>
      </c>
    </row>
    <row r="98" spans="1:20" x14ac:dyDescent="0.3">
      <c r="A98" s="1">
        <v>44682</v>
      </c>
      <c r="B98" s="1" t="str">
        <f t="shared" si="3"/>
        <v>Reliance_Bangalore_Product_3_44682</v>
      </c>
      <c r="C98" s="2" t="s">
        <v>80</v>
      </c>
      <c r="D98" s="2" t="s">
        <v>81</v>
      </c>
      <c r="E98" s="2" t="s">
        <v>34</v>
      </c>
      <c r="F98" s="2" t="s">
        <v>51</v>
      </c>
      <c r="G98" s="2" t="s">
        <v>79</v>
      </c>
      <c r="H98" s="2" t="s">
        <v>37</v>
      </c>
      <c r="I98" s="2" t="s">
        <v>43</v>
      </c>
      <c r="J98" t="s">
        <v>31</v>
      </c>
      <c r="K98">
        <v>6</v>
      </c>
      <c r="L98" s="3"/>
      <c r="M98" s="3"/>
      <c r="N98" s="3"/>
      <c r="O98" s="3">
        <f t="shared" si="4"/>
        <v>0</v>
      </c>
      <c r="P98">
        <v>672</v>
      </c>
      <c r="Q98">
        <v>459</v>
      </c>
      <c r="R98">
        <v>9</v>
      </c>
      <c r="S98">
        <v>127</v>
      </c>
      <c r="T98">
        <f t="shared" si="5"/>
        <v>2.8848000000000003</v>
      </c>
    </row>
    <row r="99" spans="1:20" x14ac:dyDescent="0.3">
      <c r="A99" s="1">
        <v>44682</v>
      </c>
      <c r="B99" s="1" t="str">
        <f t="shared" si="3"/>
        <v>Maharashtra_MH-Aggregated_Product_9_44682</v>
      </c>
      <c r="C99" s="2" t="s">
        <v>69</v>
      </c>
      <c r="D99" s="2" t="s">
        <v>70</v>
      </c>
      <c r="E99" s="2" t="s">
        <v>26</v>
      </c>
      <c r="F99" s="2" t="s">
        <v>41</v>
      </c>
      <c r="G99" s="2" t="s">
        <v>42</v>
      </c>
      <c r="H99" s="2" t="s">
        <v>37</v>
      </c>
      <c r="I99" s="2" t="s">
        <v>71</v>
      </c>
      <c r="J99" t="s">
        <v>31</v>
      </c>
      <c r="K99">
        <v>1</v>
      </c>
      <c r="L99" s="3"/>
      <c r="M99" s="3"/>
      <c r="N99" s="3"/>
      <c r="O99" s="3">
        <f t="shared" si="4"/>
        <v>0</v>
      </c>
      <c r="P99">
        <v>672</v>
      </c>
      <c r="Q99">
        <v>285</v>
      </c>
      <c r="R99">
        <v>13</v>
      </c>
      <c r="S99">
        <v>119</v>
      </c>
      <c r="T99">
        <f t="shared" si="5"/>
        <v>0</v>
      </c>
    </row>
    <row r="100" spans="1:20" x14ac:dyDescent="0.3">
      <c r="A100" s="1">
        <v>44682</v>
      </c>
      <c r="B100" s="1" t="str">
        <f t="shared" si="3"/>
        <v>Reliance_Bangalore_Product_13_44682</v>
      </c>
      <c r="C100" s="2" t="s">
        <v>93</v>
      </c>
      <c r="D100" s="2" t="s">
        <v>94</v>
      </c>
      <c r="E100" s="2" t="s">
        <v>34</v>
      </c>
      <c r="F100" s="2" t="s">
        <v>51</v>
      </c>
      <c r="G100" s="2" t="s">
        <v>79</v>
      </c>
      <c r="H100" s="2" t="s">
        <v>67</v>
      </c>
      <c r="I100" s="2" t="s">
        <v>95</v>
      </c>
      <c r="J100" t="s">
        <v>31</v>
      </c>
      <c r="K100">
        <v>30</v>
      </c>
      <c r="L100" s="3"/>
      <c r="M100" s="3"/>
      <c r="N100" s="3"/>
      <c r="O100" s="3">
        <f t="shared" si="4"/>
        <v>0</v>
      </c>
      <c r="P100">
        <v>421.92</v>
      </c>
      <c r="Q100">
        <v>497</v>
      </c>
      <c r="R100">
        <v>0</v>
      </c>
      <c r="S100">
        <v>113</v>
      </c>
      <c r="T100">
        <f t="shared" si="5"/>
        <v>-2.5007999999999999</v>
      </c>
    </row>
    <row r="101" spans="1:20" x14ac:dyDescent="0.3">
      <c r="A101" s="1">
        <v>44682</v>
      </c>
      <c r="B101" s="1" t="str">
        <f t="shared" si="3"/>
        <v>Swiggy_Mundka_Product_2_44682</v>
      </c>
      <c r="C101" s="2" t="s">
        <v>32</v>
      </c>
      <c r="D101" s="2" t="s">
        <v>33</v>
      </c>
      <c r="E101" s="2" t="s">
        <v>34</v>
      </c>
      <c r="F101" s="2" t="s">
        <v>35</v>
      </c>
      <c r="G101" s="2" t="s">
        <v>36</v>
      </c>
      <c r="H101" s="2" t="s">
        <v>37</v>
      </c>
      <c r="I101" s="2" t="s">
        <v>38</v>
      </c>
      <c r="J101" t="s">
        <v>31</v>
      </c>
      <c r="K101">
        <v>6</v>
      </c>
      <c r="L101" s="3"/>
      <c r="M101" s="3"/>
      <c r="N101" s="3"/>
      <c r="O101" s="3">
        <f t="shared" si="4"/>
        <v>0</v>
      </c>
      <c r="P101">
        <v>421.92</v>
      </c>
      <c r="Q101">
        <v>418</v>
      </c>
      <c r="R101">
        <v>8</v>
      </c>
      <c r="S101">
        <v>134</v>
      </c>
      <c r="T101">
        <f t="shared" si="5"/>
        <v>0</v>
      </c>
    </row>
    <row r="102" spans="1:20" x14ac:dyDescent="0.3">
      <c r="A102" s="1">
        <v>44682</v>
      </c>
      <c r="B102" s="1" t="str">
        <f t="shared" si="3"/>
        <v>Maharashtra_MH-Aggregated_Product_3_44682</v>
      </c>
      <c r="C102" s="2" t="s">
        <v>39</v>
      </c>
      <c r="D102" s="2" t="s">
        <v>40</v>
      </c>
      <c r="E102" s="2" t="s">
        <v>26</v>
      </c>
      <c r="F102" s="2" t="s">
        <v>41</v>
      </c>
      <c r="G102" s="2" t="s">
        <v>42</v>
      </c>
      <c r="H102" s="2" t="s">
        <v>37</v>
      </c>
      <c r="I102" s="2" t="s">
        <v>43</v>
      </c>
      <c r="J102" t="s">
        <v>31</v>
      </c>
      <c r="K102">
        <v>10</v>
      </c>
      <c r="L102" s="3"/>
      <c r="M102" s="3"/>
      <c r="N102" s="3"/>
      <c r="O102" s="3">
        <f t="shared" si="4"/>
        <v>0</v>
      </c>
      <c r="P102">
        <v>748.8</v>
      </c>
      <c r="Q102">
        <v>400</v>
      </c>
      <c r="R102">
        <v>5</v>
      </c>
      <c r="S102">
        <v>127</v>
      </c>
      <c r="T102">
        <f t="shared" si="5"/>
        <v>3.2687999999999993</v>
      </c>
    </row>
    <row r="103" spans="1:20" x14ac:dyDescent="0.3">
      <c r="A103" s="1">
        <v>44682</v>
      </c>
      <c r="B103" s="1" t="str">
        <f t="shared" si="3"/>
        <v>Reliance_Bhiwandi_Product_10_44682</v>
      </c>
      <c r="C103" s="2" t="s">
        <v>85</v>
      </c>
      <c r="D103" s="2" t="s">
        <v>86</v>
      </c>
      <c r="E103" s="2" t="s">
        <v>34</v>
      </c>
      <c r="F103" s="2" t="s">
        <v>51</v>
      </c>
      <c r="G103" s="2" t="s">
        <v>66</v>
      </c>
      <c r="H103" s="2" t="s">
        <v>67</v>
      </c>
      <c r="I103" s="2" t="s">
        <v>76</v>
      </c>
      <c r="J103" t="s">
        <v>31</v>
      </c>
      <c r="K103">
        <v>2</v>
      </c>
      <c r="L103" s="3"/>
      <c r="M103" s="3"/>
      <c r="N103" s="3"/>
      <c r="O103" s="3">
        <f t="shared" si="4"/>
        <v>0</v>
      </c>
      <c r="P103">
        <v>748.8</v>
      </c>
      <c r="Q103">
        <v>386</v>
      </c>
      <c r="R103">
        <v>11</v>
      </c>
      <c r="S103">
        <v>106</v>
      </c>
      <c r="T103">
        <f t="shared" si="5"/>
        <v>0</v>
      </c>
    </row>
    <row r="104" spans="1:20" x14ac:dyDescent="0.3">
      <c r="A104" s="1">
        <v>44682</v>
      </c>
      <c r="B104" s="1" t="str">
        <f t="shared" si="3"/>
        <v>Zepto_Mundka_Product_3_44682</v>
      </c>
      <c r="C104" s="2" t="s">
        <v>72</v>
      </c>
      <c r="D104" s="2" t="s">
        <v>73</v>
      </c>
      <c r="E104" s="2" t="s">
        <v>34</v>
      </c>
      <c r="F104" s="2" t="s">
        <v>46</v>
      </c>
      <c r="G104" s="2" t="s">
        <v>36</v>
      </c>
      <c r="H104" s="2" t="s">
        <v>37</v>
      </c>
      <c r="I104" s="2" t="s">
        <v>43</v>
      </c>
      <c r="J104" t="s">
        <v>31</v>
      </c>
      <c r="K104">
        <v>18</v>
      </c>
      <c r="L104" s="3"/>
      <c r="M104" s="3"/>
      <c r="N104" s="3"/>
      <c r="O104" s="3">
        <f t="shared" si="4"/>
        <v>0</v>
      </c>
      <c r="P104">
        <v>84</v>
      </c>
      <c r="Q104">
        <v>161</v>
      </c>
      <c r="R104">
        <v>4</v>
      </c>
      <c r="S104">
        <v>127</v>
      </c>
      <c r="T104">
        <f t="shared" si="5"/>
        <v>-6.6479999999999997</v>
      </c>
    </row>
    <row r="105" spans="1:20" x14ac:dyDescent="0.3">
      <c r="A105" s="1">
        <v>44682</v>
      </c>
      <c r="B105" s="1" t="str">
        <f t="shared" si="3"/>
        <v>Swiggy_Kolkata CFA_Product_3_44682</v>
      </c>
      <c r="C105" s="2" t="s">
        <v>61</v>
      </c>
      <c r="D105" s="2" t="s">
        <v>62</v>
      </c>
      <c r="E105" s="2" t="s">
        <v>34</v>
      </c>
      <c r="F105" s="2" t="s">
        <v>35</v>
      </c>
      <c r="G105" s="2" t="s">
        <v>63</v>
      </c>
      <c r="H105" s="2" t="s">
        <v>37</v>
      </c>
      <c r="I105" s="2" t="s">
        <v>43</v>
      </c>
      <c r="J105" t="s">
        <v>31</v>
      </c>
      <c r="K105">
        <v>39</v>
      </c>
      <c r="L105" s="3"/>
      <c r="M105" s="3"/>
      <c r="N105" s="3"/>
      <c r="O105" s="3">
        <f t="shared" si="4"/>
        <v>0</v>
      </c>
      <c r="P105">
        <v>48</v>
      </c>
      <c r="Q105">
        <v>134</v>
      </c>
      <c r="R105">
        <v>9</v>
      </c>
      <c r="S105">
        <v>127</v>
      </c>
      <c r="T105">
        <f t="shared" si="5"/>
        <v>-0.36</v>
      </c>
    </row>
    <row r="106" spans="1:20" x14ac:dyDescent="0.3">
      <c r="A106" s="1">
        <v>44682</v>
      </c>
      <c r="B106" s="1" t="str">
        <f t="shared" si="3"/>
        <v>Zepto_Bhiwandi_Product_10_44682</v>
      </c>
      <c r="C106" s="2" t="s">
        <v>74</v>
      </c>
      <c r="D106" s="2" t="s">
        <v>75</v>
      </c>
      <c r="E106" s="2" t="s">
        <v>34</v>
      </c>
      <c r="F106" s="2" t="s">
        <v>46</v>
      </c>
      <c r="G106" s="2" t="s">
        <v>66</v>
      </c>
      <c r="H106" s="2" t="s">
        <v>67</v>
      </c>
      <c r="I106" s="2" t="s">
        <v>76</v>
      </c>
      <c r="J106" t="s">
        <v>31</v>
      </c>
      <c r="K106">
        <v>4</v>
      </c>
      <c r="L106" s="3"/>
      <c r="M106" s="3"/>
      <c r="N106" s="3"/>
      <c r="O106" s="3">
        <f t="shared" si="4"/>
        <v>0</v>
      </c>
      <c r="P106">
        <v>383.52</v>
      </c>
      <c r="Q106">
        <v>437</v>
      </c>
      <c r="R106">
        <v>5</v>
      </c>
      <c r="S106">
        <v>106</v>
      </c>
      <c r="T106">
        <f t="shared" si="5"/>
        <v>3.3552</v>
      </c>
    </row>
    <row r="107" spans="1:20" x14ac:dyDescent="0.3">
      <c r="A107" s="1">
        <v>44682</v>
      </c>
      <c r="B107" s="1" t="str">
        <f t="shared" si="3"/>
        <v>Reliance_Ahmedabad_Product_5_44682</v>
      </c>
      <c r="C107" s="2" t="s">
        <v>49</v>
      </c>
      <c r="D107" s="2" t="s">
        <v>50</v>
      </c>
      <c r="E107" s="2" t="s">
        <v>34</v>
      </c>
      <c r="F107" s="2" t="s">
        <v>51</v>
      </c>
      <c r="G107" s="2" t="s">
        <v>52</v>
      </c>
      <c r="H107" s="2" t="s">
        <v>53</v>
      </c>
      <c r="I107" s="2" t="s">
        <v>54</v>
      </c>
      <c r="J107" t="s">
        <v>31</v>
      </c>
      <c r="K107">
        <v>1</v>
      </c>
      <c r="L107" s="3"/>
      <c r="M107" s="3"/>
      <c r="N107" s="3"/>
      <c r="O107" s="3">
        <f t="shared" si="4"/>
        <v>0</v>
      </c>
      <c r="P107">
        <v>383.52</v>
      </c>
      <c r="Q107">
        <v>458</v>
      </c>
      <c r="R107">
        <v>3</v>
      </c>
      <c r="S107">
        <v>132</v>
      </c>
      <c r="T107">
        <f t="shared" si="5"/>
        <v>0</v>
      </c>
    </row>
    <row r="108" spans="1:20" x14ac:dyDescent="0.3">
      <c r="A108" s="1">
        <v>44682</v>
      </c>
      <c r="B108" s="1" t="str">
        <f t="shared" si="3"/>
        <v>Reliance_Mundka_Product_7_44682</v>
      </c>
      <c r="C108" s="2" t="s">
        <v>58</v>
      </c>
      <c r="D108" s="2" t="s">
        <v>59</v>
      </c>
      <c r="E108" s="2" t="s">
        <v>34</v>
      </c>
      <c r="F108" s="2" t="s">
        <v>51</v>
      </c>
      <c r="G108" s="2" t="s">
        <v>36</v>
      </c>
      <c r="H108" s="2" t="s">
        <v>37</v>
      </c>
      <c r="I108" s="2" t="s">
        <v>60</v>
      </c>
      <c r="J108" t="s">
        <v>31</v>
      </c>
      <c r="K108">
        <v>3</v>
      </c>
      <c r="L108" s="3"/>
      <c r="M108" s="3"/>
      <c r="N108" s="3"/>
      <c r="O108" s="3">
        <f t="shared" si="4"/>
        <v>0</v>
      </c>
      <c r="P108">
        <v>672</v>
      </c>
      <c r="Q108">
        <v>272</v>
      </c>
      <c r="R108">
        <v>0</v>
      </c>
      <c r="S108">
        <v>117</v>
      </c>
      <c r="T108">
        <f t="shared" si="5"/>
        <v>2.8848000000000003</v>
      </c>
    </row>
    <row r="109" spans="1:20" x14ac:dyDescent="0.3">
      <c r="A109" s="1">
        <v>44682</v>
      </c>
      <c r="B109" s="1" t="str">
        <f t="shared" si="3"/>
        <v>Reliance_Ahmedabad_Product_7_44682</v>
      </c>
      <c r="C109" s="2" t="s">
        <v>99</v>
      </c>
      <c r="D109" s="2" t="s">
        <v>100</v>
      </c>
      <c r="E109" s="2" t="s">
        <v>34</v>
      </c>
      <c r="F109" s="2" t="s">
        <v>51</v>
      </c>
      <c r="G109" s="2" t="s">
        <v>52</v>
      </c>
      <c r="H109" s="2" t="s">
        <v>37</v>
      </c>
      <c r="I109" s="2" t="s">
        <v>60</v>
      </c>
      <c r="J109" t="s">
        <v>31</v>
      </c>
      <c r="K109">
        <v>1</v>
      </c>
      <c r="L109" s="3"/>
      <c r="M109" s="3"/>
      <c r="N109" s="3"/>
      <c r="O109" s="3">
        <f t="shared" si="4"/>
        <v>0</v>
      </c>
      <c r="P109">
        <v>672</v>
      </c>
      <c r="Q109">
        <v>206</v>
      </c>
      <c r="R109">
        <v>0</v>
      </c>
      <c r="S109">
        <v>117</v>
      </c>
      <c r="T109">
        <f t="shared" si="5"/>
        <v>0</v>
      </c>
    </row>
    <row r="110" spans="1:20" x14ac:dyDescent="0.3">
      <c r="A110" s="1">
        <v>44713</v>
      </c>
      <c r="B110" s="1" t="str">
        <f t="shared" si="3"/>
        <v>Reliance_Mundka_Product_7_44713</v>
      </c>
      <c r="C110" s="2" t="s">
        <v>58</v>
      </c>
      <c r="D110" s="2" t="s">
        <v>59</v>
      </c>
      <c r="E110" s="2" t="s">
        <v>34</v>
      </c>
      <c r="F110" s="2" t="s">
        <v>51</v>
      </c>
      <c r="G110" s="2" t="s">
        <v>36</v>
      </c>
      <c r="H110" s="2" t="s">
        <v>37</v>
      </c>
      <c r="I110" s="2" t="s">
        <v>60</v>
      </c>
      <c r="J110" t="s">
        <v>31</v>
      </c>
      <c r="K110">
        <v>6</v>
      </c>
      <c r="L110" s="3"/>
      <c r="M110" s="3"/>
      <c r="N110" s="3"/>
      <c r="O110" s="3">
        <f t="shared" si="4"/>
        <v>0</v>
      </c>
      <c r="P110">
        <v>421.92</v>
      </c>
      <c r="Q110">
        <v>142</v>
      </c>
      <c r="R110">
        <v>0</v>
      </c>
      <c r="S110">
        <v>117</v>
      </c>
      <c r="T110">
        <f t="shared" si="5"/>
        <v>-2.5007999999999999</v>
      </c>
    </row>
    <row r="111" spans="1:20" x14ac:dyDescent="0.3">
      <c r="A111" s="1">
        <v>44713</v>
      </c>
      <c r="B111" s="1" t="str">
        <f t="shared" si="3"/>
        <v>Maharashtra_MH-Aggregated_Product_3_44713</v>
      </c>
      <c r="C111" s="2" t="s">
        <v>39</v>
      </c>
      <c r="D111" s="2" t="s">
        <v>40</v>
      </c>
      <c r="E111" s="2" t="s">
        <v>26</v>
      </c>
      <c r="F111" s="2" t="s">
        <v>41</v>
      </c>
      <c r="G111" s="2" t="s">
        <v>42</v>
      </c>
      <c r="H111" s="2" t="s">
        <v>37</v>
      </c>
      <c r="I111" s="2" t="s">
        <v>43</v>
      </c>
      <c r="J111" t="s">
        <v>31</v>
      </c>
      <c r="K111">
        <v>3</v>
      </c>
      <c r="L111" s="4"/>
      <c r="M111" s="3"/>
      <c r="N111" s="3"/>
      <c r="O111" s="3">
        <f t="shared" si="4"/>
        <v>0</v>
      </c>
      <c r="P111">
        <v>421.92</v>
      </c>
      <c r="Q111">
        <v>253</v>
      </c>
      <c r="R111">
        <v>7</v>
      </c>
      <c r="S111">
        <v>127</v>
      </c>
      <c r="T111">
        <f t="shared" si="5"/>
        <v>0</v>
      </c>
    </row>
    <row r="112" spans="1:20" x14ac:dyDescent="0.3">
      <c r="A112" s="1">
        <v>44713</v>
      </c>
      <c r="B112" s="1" t="str">
        <f t="shared" si="3"/>
        <v>Swiggy_Mundka_Product_17_44713</v>
      </c>
      <c r="C112" s="2" t="s">
        <v>115</v>
      </c>
      <c r="D112" s="2" t="s">
        <v>116</v>
      </c>
      <c r="E112" s="2" t="s">
        <v>34</v>
      </c>
      <c r="F112" s="2" t="s">
        <v>35</v>
      </c>
      <c r="G112" s="2" t="s">
        <v>36</v>
      </c>
      <c r="H112" s="2" t="s">
        <v>117</v>
      </c>
      <c r="I112" s="2" t="s">
        <v>118</v>
      </c>
      <c r="J112" t="s">
        <v>31</v>
      </c>
      <c r="K112">
        <v>4</v>
      </c>
      <c r="L112" s="3"/>
      <c r="M112" s="3"/>
      <c r="N112" s="3"/>
      <c r="O112" s="3">
        <f t="shared" si="4"/>
        <v>0</v>
      </c>
      <c r="P112">
        <v>748.8</v>
      </c>
      <c r="Q112">
        <v>107</v>
      </c>
      <c r="R112">
        <v>0</v>
      </c>
      <c r="S112">
        <v>106</v>
      </c>
      <c r="T112">
        <f t="shared" si="5"/>
        <v>3.2687999999999993</v>
      </c>
    </row>
    <row r="113" spans="1:20" x14ac:dyDescent="0.3">
      <c r="A113" s="1">
        <v>44713</v>
      </c>
      <c r="B113" s="1" t="str">
        <f t="shared" si="3"/>
        <v>Swiggy_Chennai_Product_3_44713</v>
      </c>
      <c r="C113" s="2" t="s">
        <v>82</v>
      </c>
      <c r="D113" s="2" t="s">
        <v>83</v>
      </c>
      <c r="E113" s="2" t="s">
        <v>34</v>
      </c>
      <c r="F113" s="2" t="s">
        <v>35</v>
      </c>
      <c r="G113" s="2" t="s">
        <v>84</v>
      </c>
      <c r="H113" s="2" t="s">
        <v>37</v>
      </c>
      <c r="I113" s="2" t="s">
        <v>43</v>
      </c>
      <c r="J113" t="s">
        <v>31</v>
      </c>
      <c r="K113">
        <v>1</v>
      </c>
      <c r="L113" s="3"/>
      <c r="M113" s="3"/>
      <c r="N113" s="3"/>
      <c r="O113" s="3">
        <f t="shared" si="4"/>
        <v>0</v>
      </c>
      <c r="P113">
        <v>748.8</v>
      </c>
      <c r="Q113">
        <v>459</v>
      </c>
      <c r="R113">
        <v>5</v>
      </c>
      <c r="S113">
        <v>127</v>
      </c>
      <c r="T113">
        <f t="shared" si="5"/>
        <v>0</v>
      </c>
    </row>
    <row r="114" spans="1:20" x14ac:dyDescent="0.3">
      <c r="A114" s="1">
        <v>44713</v>
      </c>
      <c r="B114" s="1" t="str">
        <f t="shared" si="3"/>
        <v>Reliance_Bangalore_Product_13_44713</v>
      </c>
      <c r="C114" s="2" t="s">
        <v>93</v>
      </c>
      <c r="D114" s="2" t="s">
        <v>94</v>
      </c>
      <c r="E114" s="2" t="s">
        <v>34</v>
      </c>
      <c r="F114" s="2" t="s">
        <v>51</v>
      </c>
      <c r="G114" s="2" t="s">
        <v>79</v>
      </c>
      <c r="H114" s="2" t="s">
        <v>67</v>
      </c>
      <c r="I114" s="2" t="s">
        <v>95</v>
      </c>
      <c r="J114" t="s">
        <v>31</v>
      </c>
      <c r="K114">
        <v>4</v>
      </c>
      <c r="L114" s="3"/>
      <c r="M114" s="3"/>
      <c r="N114" s="3"/>
      <c r="O114" s="3">
        <f t="shared" si="4"/>
        <v>0</v>
      </c>
      <c r="P114">
        <v>84</v>
      </c>
      <c r="Q114">
        <v>301</v>
      </c>
      <c r="R114">
        <v>2</v>
      </c>
      <c r="S114">
        <v>113</v>
      </c>
      <c r="T114">
        <f t="shared" si="5"/>
        <v>-6.6479999999999997</v>
      </c>
    </row>
    <row r="115" spans="1:20" x14ac:dyDescent="0.3">
      <c r="A115" s="1">
        <v>44713</v>
      </c>
      <c r="B115" s="1" t="str">
        <f t="shared" si="3"/>
        <v>Maharashtra_MH-Aggregated_Product_9_44713</v>
      </c>
      <c r="C115" s="2" t="s">
        <v>69</v>
      </c>
      <c r="D115" s="2" t="s">
        <v>70</v>
      </c>
      <c r="E115" s="2" t="s">
        <v>26</v>
      </c>
      <c r="F115" s="2" t="s">
        <v>41</v>
      </c>
      <c r="G115" s="2" t="s">
        <v>42</v>
      </c>
      <c r="H115" s="2" t="s">
        <v>37</v>
      </c>
      <c r="I115" s="2" t="s">
        <v>71</v>
      </c>
      <c r="J115" t="s">
        <v>31</v>
      </c>
      <c r="K115">
        <v>8</v>
      </c>
      <c r="L115" s="3"/>
      <c r="M115" s="3"/>
      <c r="N115" s="3"/>
      <c r="O115" s="3">
        <f t="shared" si="4"/>
        <v>0</v>
      </c>
      <c r="P115">
        <v>48</v>
      </c>
      <c r="Q115">
        <v>241</v>
      </c>
      <c r="R115">
        <v>0</v>
      </c>
      <c r="S115">
        <v>119</v>
      </c>
      <c r="T115">
        <f t="shared" si="5"/>
        <v>-0.36</v>
      </c>
    </row>
    <row r="116" spans="1:20" x14ac:dyDescent="0.3">
      <c r="A116" s="1">
        <v>44713</v>
      </c>
      <c r="B116" s="1" t="str">
        <f t="shared" si="3"/>
        <v>Swiggy_Mundka_Product_14_44713</v>
      </c>
      <c r="C116" s="2" t="s">
        <v>96</v>
      </c>
      <c r="D116" s="2" t="s">
        <v>97</v>
      </c>
      <c r="E116" s="2" t="s">
        <v>34</v>
      </c>
      <c r="F116" s="2" t="s">
        <v>35</v>
      </c>
      <c r="G116" s="2" t="s">
        <v>36</v>
      </c>
      <c r="H116" s="2" t="s">
        <v>47</v>
      </c>
      <c r="I116" s="2" t="s">
        <v>98</v>
      </c>
      <c r="J116" t="s">
        <v>31</v>
      </c>
      <c r="K116">
        <v>14</v>
      </c>
      <c r="L116" s="3"/>
      <c r="M116" s="3"/>
      <c r="N116" s="3"/>
      <c r="O116" s="3">
        <f t="shared" si="4"/>
        <v>0</v>
      </c>
      <c r="P116">
        <v>383.52</v>
      </c>
      <c r="Q116">
        <v>318</v>
      </c>
      <c r="R116">
        <v>0</v>
      </c>
      <c r="S116">
        <v>97</v>
      </c>
      <c r="T116">
        <f t="shared" si="5"/>
        <v>3.3552</v>
      </c>
    </row>
    <row r="117" spans="1:20" x14ac:dyDescent="0.3">
      <c r="A117" s="1">
        <v>44713</v>
      </c>
      <c r="B117" s="1" t="str">
        <f t="shared" si="3"/>
        <v>Reliance_Mundka_Product_6_44713</v>
      </c>
      <c r="C117" s="2" t="s">
        <v>55</v>
      </c>
      <c r="D117" s="2" t="s">
        <v>56</v>
      </c>
      <c r="E117" s="2" t="s">
        <v>34</v>
      </c>
      <c r="F117" s="2" t="s">
        <v>51</v>
      </c>
      <c r="G117" s="2" t="s">
        <v>36</v>
      </c>
      <c r="H117" s="2" t="s">
        <v>37</v>
      </c>
      <c r="I117" s="2" t="s">
        <v>57</v>
      </c>
      <c r="J117" t="s">
        <v>31</v>
      </c>
      <c r="K117">
        <v>3</v>
      </c>
      <c r="L117" s="3"/>
      <c r="M117" s="3"/>
      <c r="N117" s="3"/>
      <c r="O117" s="3">
        <f t="shared" si="4"/>
        <v>0</v>
      </c>
      <c r="P117">
        <v>383.52</v>
      </c>
      <c r="Q117">
        <v>131</v>
      </c>
      <c r="R117">
        <v>9</v>
      </c>
      <c r="S117">
        <v>135</v>
      </c>
      <c r="T117">
        <f t="shared" si="5"/>
        <v>0</v>
      </c>
    </row>
    <row r="118" spans="1:20" x14ac:dyDescent="0.3">
      <c r="A118" s="1">
        <v>44713</v>
      </c>
      <c r="B118" s="1" t="str">
        <f t="shared" si="3"/>
        <v>Swiggy_Bangalore_Product_16_44713</v>
      </c>
      <c r="C118" s="2" t="s">
        <v>107</v>
      </c>
      <c r="D118" s="2" t="s">
        <v>108</v>
      </c>
      <c r="E118" s="2" t="s">
        <v>34</v>
      </c>
      <c r="F118" s="2" t="s">
        <v>35</v>
      </c>
      <c r="G118" s="2" t="s">
        <v>79</v>
      </c>
      <c r="H118" s="2" t="s">
        <v>47</v>
      </c>
      <c r="I118" s="2" t="s">
        <v>109</v>
      </c>
      <c r="J118" t="s">
        <v>31</v>
      </c>
      <c r="K118">
        <v>6</v>
      </c>
      <c r="L118" s="3"/>
      <c r="M118" s="3"/>
      <c r="N118" s="3"/>
      <c r="O118" s="3">
        <f t="shared" si="4"/>
        <v>0</v>
      </c>
      <c r="P118">
        <v>672</v>
      </c>
      <c r="Q118">
        <v>278</v>
      </c>
      <c r="R118">
        <v>0</v>
      </c>
      <c r="S118">
        <v>122</v>
      </c>
      <c r="T118">
        <f t="shared" si="5"/>
        <v>2.8848000000000003</v>
      </c>
    </row>
    <row r="119" spans="1:20" x14ac:dyDescent="0.3">
      <c r="A119" s="1">
        <v>44713</v>
      </c>
      <c r="B119" s="1" t="str">
        <f t="shared" si="3"/>
        <v>Zepto_Mundka_Product_3_44713</v>
      </c>
      <c r="C119" s="2" t="s">
        <v>72</v>
      </c>
      <c r="D119" s="2" t="s">
        <v>73</v>
      </c>
      <c r="E119" s="2" t="s">
        <v>34</v>
      </c>
      <c r="F119" s="2" t="s">
        <v>46</v>
      </c>
      <c r="G119" s="2" t="s">
        <v>36</v>
      </c>
      <c r="H119" s="2" t="s">
        <v>37</v>
      </c>
      <c r="I119" s="2" t="s">
        <v>43</v>
      </c>
      <c r="J119" t="s">
        <v>31</v>
      </c>
      <c r="K119">
        <v>1</v>
      </c>
      <c r="L119" s="3"/>
      <c r="M119" s="3"/>
      <c r="N119" s="3"/>
      <c r="O119" s="3">
        <f t="shared" si="4"/>
        <v>0</v>
      </c>
      <c r="P119">
        <v>672</v>
      </c>
      <c r="Q119">
        <v>186</v>
      </c>
      <c r="R119">
        <v>3</v>
      </c>
      <c r="S119">
        <v>127</v>
      </c>
      <c r="T119">
        <f t="shared" si="5"/>
        <v>0</v>
      </c>
    </row>
    <row r="120" spans="1:20" x14ac:dyDescent="0.3">
      <c r="A120" s="1">
        <v>44713</v>
      </c>
      <c r="B120" s="1" t="str">
        <f t="shared" si="3"/>
        <v>Jharkhand_JH-Aggregated_Product_1_44713</v>
      </c>
      <c r="C120" s="2" t="s">
        <v>24</v>
      </c>
      <c r="D120" s="2" t="s">
        <v>25</v>
      </c>
      <c r="E120" s="2" t="s">
        <v>26</v>
      </c>
      <c r="F120" s="2" t="s">
        <v>27</v>
      </c>
      <c r="G120" s="2" t="s">
        <v>28</v>
      </c>
      <c r="H120" s="2" t="s">
        <v>29</v>
      </c>
      <c r="I120" s="2" t="s">
        <v>30</v>
      </c>
      <c r="J120" t="s">
        <v>31</v>
      </c>
      <c r="K120">
        <v>30</v>
      </c>
      <c r="L120" s="3"/>
      <c r="M120" s="3"/>
      <c r="N120" s="3"/>
      <c r="O120" s="3">
        <f t="shared" si="4"/>
        <v>0</v>
      </c>
      <c r="P120">
        <v>421.92</v>
      </c>
      <c r="Q120">
        <v>183</v>
      </c>
      <c r="R120">
        <v>15</v>
      </c>
      <c r="S120">
        <v>111</v>
      </c>
      <c r="T120">
        <f t="shared" si="5"/>
        <v>-2.5007999999999999</v>
      </c>
    </row>
    <row r="121" spans="1:20" x14ac:dyDescent="0.3">
      <c r="A121" s="1">
        <v>44713</v>
      </c>
      <c r="B121" s="1" t="str">
        <f t="shared" si="3"/>
        <v>Reliance_Bhiwandi_Product_10_44713</v>
      </c>
      <c r="C121" s="2" t="s">
        <v>85</v>
      </c>
      <c r="D121" s="2" t="s">
        <v>86</v>
      </c>
      <c r="E121" s="2" t="s">
        <v>34</v>
      </c>
      <c r="F121" s="2" t="s">
        <v>51</v>
      </c>
      <c r="G121" s="2" t="s">
        <v>66</v>
      </c>
      <c r="H121" s="2" t="s">
        <v>67</v>
      </c>
      <c r="I121" s="2" t="s">
        <v>76</v>
      </c>
      <c r="J121" t="s">
        <v>31</v>
      </c>
      <c r="K121">
        <v>6</v>
      </c>
      <c r="L121" s="3"/>
      <c r="M121" s="3"/>
      <c r="N121" s="3"/>
      <c r="O121" s="3">
        <f t="shared" si="4"/>
        <v>0</v>
      </c>
      <c r="P121">
        <v>421.92</v>
      </c>
      <c r="Q121">
        <v>407</v>
      </c>
      <c r="R121">
        <v>0</v>
      </c>
      <c r="S121">
        <v>106</v>
      </c>
      <c r="T121">
        <f t="shared" si="5"/>
        <v>0</v>
      </c>
    </row>
    <row r="122" spans="1:20" x14ac:dyDescent="0.3">
      <c r="A122" s="1">
        <v>44713</v>
      </c>
      <c r="B122" s="1" t="str">
        <f t="shared" si="3"/>
        <v>Reliance_Kolkata CFA_Product_12_44713</v>
      </c>
      <c r="C122" s="2" t="s">
        <v>101</v>
      </c>
      <c r="D122" s="2" t="s">
        <v>102</v>
      </c>
      <c r="E122" s="2" t="s">
        <v>34</v>
      </c>
      <c r="F122" s="2" t="s">
        <v>51</v>
      </c>
      <c r="G122" s="2" t="s">
        <v>63</v>
      </c>
      <c r="H122" s="2" t="s">
        <v>67</v>
      </c>
      <c r="I122" s="2" t="s">
        <v>92</v>
      </c>
      <c r="J122" t="s">
        <v>31</v>
      </c>
      <c r="K122">
        <v>10</v>
      </c>
      <c r="L122" s="3"/>
      <c r="M122" s="3"/>
      <c r="N122" s="3"/>
      <c r="O122" s="3">
        <f t="shared" si="4"/>
        <v>0</v>
      </c>
      <c r="P122">
        <v>748.8</v>
      </c>
      <c r="Q122">
        <v>354</v>
      </c>
      <c r="R122">
        <v>0</v>
      </c>
      <c r="S122">
        <v>94</v>
      </c>
      <c r="T122">
        <f t="shared" si="5"/>
        <v>3.2687999999999993</v>
      </c>
    </row>
    <row r="123" spans="1:20" x14ac:dyDescent="0.3">
      <c r="A123" s="1">
        <v>44713</v>
      </c>
      <c r="B123" s="1" t="str">
        <f t="shared" si="3"/>
        <v>Reliance_Bhiwandi_Product_11_44713</v>
      </c>
      <c r="C123" s="2" t="s">
        <v>87</v>
      </c>
      <c r="D123" s="2" t="s">
        <v>88</v>
      </c>
      <c r="E123" s="2" t="s">
        <v>34</v>
      </c>
      <c r="F123" s="2" t="s">
        <v>51</v>
      </c>
      <c r="G123" s="2" t="s">
        <v>66</v>
      </c>
      <c r="H123" s="2" t="s">
        <v>67</v>
      </c>
      <c r="I123" s="2" t="s">
        <v>89</v>
      </c>
      <c r="J123" t="s">
        <v>31</v>
      </c>
      <c r="K123">
        <v>2</v>
      </c>
      <c r="L123" s="3"/>
      <c r="M123" s="3"/>
      <c r="N123" s="3"/>
      <c r="O123" s="3">
        <f t="shared" si="4"/>
        <v>0</v>
      </c>
      <c r="P123">
        <v>748.8</v>
      </c>
      <c r="Q123">
        <v>173</v>
      </c>
      <c r="R123">
        <v>0</v>
      </c>
      <c r="S123">
        <v>131</v>
      </c>
      <c r="T123">
        <f t="shared" si="5"/>
        <v>0</v>
      </c>
    </row>
    <row r="124" spans="1:20" x14ac:dyDescent="0.3">
      <c r="A124" s="1">
        <v>44713</v>
      </c>
      <c r="B124" s="1" t="str">
        <f t="shared" si="3"/>
        <v>Reliance_Bangalore_Product_8_44713</v>
      </c>
      <c r="C124" s="2" t="s">
        <v>77</v>
      </c>
      <c r="D124" s="2" t="s">
        <v>78</v>
      </c>
      <c r="E124" s="2" t="s">
        <v>34</v>
      </c>
      <c r="F124" s="2" t="s">
        <v>51</v>
      </c>
      <c r="G124" s="2" t="s">
        <v>79</v>
      </c>
      <c r="H124" s="2" t="s">
        <v>67</v>
      </c>
      <c r="I124" s="2" t="s">
        <v>68</v>
      </c>
      <c r="J124" t="s">
        <v>31</v>
      </c>
      <c r="K124">
        <v>18</v>
      </c>
      <c r="L124" s="4"/>
      <c r="M124" s="3"/>
      <c r="N124" s="3"/>
      <c r="O124" s="3">
        <f t="shared" si="4"/>
        <v>0</v>
      </c>
      <c r="P124">
        <v>84</v>
      </c>
      <c r="Q124">
        <v>136</v>
      </c>
      <c r="R124">
        <v>0</v>
      </c>
      <c r="S124">
        <v>126</v>
      </c>
      <c r="T124">
        <f t="shared" si="5"/>
        <v>-6.6479999999999997</v>
      </c>
    </row>
    <row r="125" spans="1:20" x14ac:dyDescent="0.3">
      <c r="A125" s="1">
        <v>44713</v>
      </c>
      <c r="B125" s="1" t="str">
        <f t="shared" si="3"/>
        <v>Reliance_Bhiwandi_Product_8_44713</v>
      </c>
      <c r="C125" s="2" t="s">
        <v>64</v>
      </c>
      <c r="D125" s="2" t="s">
        <v>65</v>
      </c>
      <c r="E125" s="2" t="s">
        <v>34</v>
      </c>
      <c r="F125" s="2" t="s">
        <v>51</v>
      </c>
      <c r="G125" s="2" t="s">
        <v>66</v>
      </c>
      <c r="H125" s="2" t="s">
        <v>67</v>
      </c>
      <c r="I125" s="2" t="s">
        <v>68</v>
      </c>
      <c r="J125" t="s">
        <v>31</v>
      </c>
      <c r="K125">
        <v>39</v>
      </c>
      <c r="L125" s="3"/>
      <c r="M125" s="3"/>
      <c r="N125" s="3"/>
      <c r="O125" s="3">
        <f t="shared" si="4"/>
        <v>0</v>
      </c>
      <c r="P125">
        <v>48</v>
      </c>
      <c r="Q125">
        <v>115</v>
      </c>
      <c r="R125">
        <v>6</v>
      </c>
      <c r="S125">
        <v>126</v>
      </c>
      <c r="T125">
        <f t="shared" si="5"/>
        <v>-0.36</v>
      </c>
    </row>
    <row r="126" spans="1:20" x14ac:dyDescent="0.3">
      <c r="A126" s="1">
        <v>44713</v>
      </c>
      <c r="B126" s="1" t="str">
        <f t="shared" si="3"/>
        <v>Reliance_Bangalore_Product_3_44713</v>
      </c>
      <c r="C126" s="2" t="s">
        <v>80</v>
      </c>
      <c r="D126" s="2" t="s">
        <v>81</v>
      </c>
      <c r="E126" s="2" t="s">
        <v>34</v>
      </c>
      <c r="F126" s="2" t="s">
        <v>51</v>
      </c>
      <c r="G126" s="2" t="s">
        <v>79</v>
      </c>
      <c r="H126" s="2" t="s">
        <v>37</v>
      </c>
      <c r="I126" s="2" t="s">
        <v>43</v>
      </c>
      <c r="J126" t="s">
        <v>31</v>
      </c>
      <c r="K126">
        <v>29</v>
      </c>
      <c r="L126" s="3"/>
      <c r="M126" s="3"/>
      <c r="N126" s="3"/>
      <c r="O126" s="3">
        <f t="shared" si="4"/>
        <v>0</v>
      </c>
      <c r="P126">
        <v>383.52</v>
      </c>
      <c r="Q126">
        <v>368</v>
      </c>
      <c r="R126">
        <v>2</v>
      </c>
      <c r="S126">
        <v>127</v>
      </c>
      <c r="T126">
        <f t="shared" si="5"/>
        <v>3.3552</v>
      </c>
    </row>
    <row r="127" spans="1:20" x14ac:dyDescent="0.3">
      <c r="A127" s="1">
        <v>44713</v>
      </c>
      <c r="B127" s="1" t="str">
        <f t="shared" si="3"/>
        <v>Swiggy_Mundka_Product_2_44713</v>
      </c>
      <c r="C127" s="2" t="s">
        <v>32</v>
      </c>
      <c r="D127" s="2" t="s">
        <v>33</v>
      </c>
      <c r="E127" s="2" t="s">
        <v>34</v>
      </c>
      <c r="F127" s="2" t="s">
        <v>35</v>
      </c>
      <c r="G127" s="2" t="s">
        <v>36</v>
      </c>
      <c r="H127" s="2" t="s">
        <v>37</v>
      </c>
      <c r="I127" s="2" t="s">
        <v>38</v>
      </c>
      <c r="J127" t="s">
        <v>31</v>
      </c>
      <c r="K127">
        <v>6</v>
      </c>
      <c r="L127" s="3"/>
      <c r="M127" s="3"/>
      <c r="N127" s="3"/>
      <c r="O127" s="3">
        <f t="shared" si="4"/>
        <v>0</v>
      </c>
      <c r="P127">
        <v>383.52</v>
      </c>
      <c r="Q127">
        <v>171</v>
      </c>
      <c r="R127">
        <v>0</v>
      </c>
      <c r="S127">
        <v>134</v>
      </c>
      <c r="T127">
        <f t="shared" si="5"/>
        <v>0</v>
      </c>
    </row>
    <row r="128" spans="1:20" x14ac:dyDescent="0.3">
      <c r="A128" s="1">
        <v>44713</v>
      </c>
      <c r="B128" s="1" t="str">
        <f t="shared" si="3"/>
        <v>Zepto_Bangalore_Product_12_44713</v>
      </c>
      <c r="C128" s="2" t="s">
        <v>90</v>
      </c>
      <c r="D128" s="2" t="s">
        <v>91</v>
      </c>
      <c r="E128" s="2" t="s">
        <v>34</v>
      </c>
      <c r="F128" s="2" t="s">
        <v>46</v>
      </c>
      <c r="G128" s="2" t="s">
        <v>79</v>
      </c>
      <c r="H128" s="2" t="s">
        <v>67</v>
      </c>
      <c r="I128" s="2" t="s">
        <v>92</v>
      </c>
      <c r="J128" t="s">
        <v>31</v>
      </c>
      <c r="K128">
        <v>11</v>
      </c>
      <c r="L128" s="3"/>
      <c r="M128" s="3"/>
      <c r="N128" s="3"/>
      <c r="O128" s="3">
        <f t="shared" si="4"/>
        <v>0</v>
      </c>
      <c r="P128">
        <v>672</v>
      </c>
      <c r="Q128">
        <v>308</v>
      </c>
      <c r="R128">
        <v>6</v>
      </c>
      <c r="S128">
        <v>94</v>
      </c>
      <c r="T128">
        <f t="shared" si="5"/>
        <v>2.8848000000000003</v>
      </c>
    </row>
    <row r="129" spans="1:20" x14ac:dyDescent="0.3">
      <c r="A129" s="1">
        <v>44713</v>
      </c>
      <c r="B129" s="1" t="str">
        <f t="shared" si="3"/>
        <v>Reliance_Ahmedabad_Product_7_44713</v>
      </c>
      <c r="C129" s="2" t="s">
        <v>99</v>
      </c>
      <c r="D129" s="2" t="s">
        <v>100</v>
      </c>
      <c r="E129" s="2" t="s">
        <v>34</v>
      </c>
      <c r="F129" s="2" t="s">
        <v>51</v>
      </c>
      <c r="G129" s="2" t="s">
        <v>52</v>
      </c>
      <c r="H129" s="2" t="s">
        <v>37</v>
      </c>
      <c r="I129" s="2" t="s">
        <v>60</v>
      </c>
      <c r="J129" t="s">
        <v>31</v>
      </c>
      <c r="K129">
        <v>3</v>
      </c>
      <c r="L129" s="3"/>
      <c r="M129" s="3"/>
      <c r="N129" s="3"/>
      <c r="O129" s="3">
        <f t="shared" si="4"/>
        <v>0</v>
      </c>
      <c r="P129">
        <v>672</v>
      </c>
      <c r="Q129">
        <v>284</v>
      </c>
      <c r="R129">
        <v>1</v>
      </c>
      <c r="S129">
        <v>117</v>
      </c>
      <c r="T129">
        <f t="shared" si="5"/>
        <v>0</v>
      </c>
    </row>
    <row r="130" spans="1:20" x14ac:dyDescent="0.3">
      <c r="A130" s="1">
        <v>44713</v>
      </c>
      <c r="B130" s="1" t="str">
        <f t="shared" si="3"/>
        <v>Reliance_Ahmedabad_Product_5_44713</v>
      </c>
      <c r="C130" s="2" t="s">
        <v>49</v>
      </c>
      <c r="D130" s="2" t="s">
        <v>50</v>
      </c>
      <c r="E130" s="2" t="s">
        <v>34</v>
      </c>
      <c r="F130" s="2" t="s">
        <v>51</v>
      </c>
      <c r="G130" s="2" t="s">
        <v>52</v>
      </c>
      <c r="H130" s="2" t="s">
        <v>53</v>
      </c>
      <c r="I130" s="2" t="s">
        <v>54</v>
      </c>
      <c r="J130" t="s">
        <v>31</v>
      </c>
      <c r="K130">
        <v>68</v>
      </c>
      <c r="L130" s="3"/>
      <c r="M130" s="3"/>
      <c r="N130" s="3"/>
      <c r="O130" s="3">
        <f t="shared" si="4"/>
        <v>0</v>
      </c>
      <c r="P130">
        <v>421.92</v>
      </c>
      <c r="Q130">
        <v>293</v>
      </c>
      <c r="R130">
        <v>0</v>
      </c>
      <c r="S130">
        <v>132</v>
      </c>
      <c r="T130">
        <f t="shared" si="5"/>
        <v>-2.5007999999999999</v>
      </c>
    </row>
    <row r="131" spans="1:20" x14ac:dyDescent="0.3">
      <c r="A131" s="1">
        <v>44713</v>
      </c>
      <c r="B131" s="1" t="str">
        <f t="shared" ref="B131:B194" si="6">C131&amp;"_"&amp;A131</f>
        <v>Swiggy_Kolkata CFA_Product_3_44713</v>
      </c>
      <c r="C131" s="2" t="s">
        <v>61</v>
      </c>
      <c r="D131" s="2" t="s">
        <v>62</v>
      </c>
      <c r="E131" s="2" t="s">
        <v>34</v>
      </c>
      <c r="F131" s="2" t="s">
        <v>35</v>
      </c>
      <c r="G131" s="2" t="s">
        <v>63</v>
      </c>
      <c r="H131" s="2" t="s">
        <v>37</v>
      </c>
      <c r="I131" s="2" t="s">
        <v>43</v>
      </c>
      <c r="J131" t="s">
        <v>31</v>
      </c>
      <c r="K131">
        <v>12</v>
      </c>
      <c r="L131" s="3"/>
      <c r="M131" s="3"/>
      <c r="N131" s="3"/>
      <c r="O131" s="3">
        <f t="shared" ref="O131:O194" si="7">L131</f>
        <v>0</v>
      </c>
      <c r="P131">
        <v>421.92</v>
      </c>
      <c r="Q131">
        <v>260</v>
      </c>
      <c r="R131">
        <v>3</v>
      </c>
      <c r="S131">
        <v>127</v>
      </c>
      <c r="T131">
        <f t="shared" si="5"/>
        <v>0</v>
      </c>
    </row>
    <row r="132" spans="1:20" x14ac:dyDescent="0.3">
      <c r="A132" s="1">
        <v>44743</v>
      </c>
      <c r="B132" s="1" t="str">
        <f t="shared" si="6"/>
        <v>Reliance_Ahmedabad_Product_5_44743</v>
      </c>
      <c r="C132" s="2" t="s">
        <v>49</v>
      </c>
      <c r="D132" s="2" t="s">
        <v>50</v>
      </c>
      <c r="E132" s="2" t="s">
        <v>34</v>
      </c>
      <c r="F132" s="2" t="s">
        <v>51</v>
      </c>
      <c r="G132" s="2" t="s">
        <v>52</v>
      </c>
      <c r="H132" s="2" t="s">
        <v>53</v>
      </c>
      <c r="I132" s="2" t="s">
        <v>54</v>
      </c>
      <c r="J132" t="s">
        <v>31</v>
      </c>
      <c r="K132">
        <v>23</v>
      </c>
      <c r="L132" s="4"/>
      <c r="M132" s="3"/>
      <c r="N132" s="3"/>
      <c r="O132" s="3">
        <f t="shared" si="7"/>
        <v>0</v>
      </c>
      <c r="P132">
        <v>748.8</v>
      </c>
      <c r="Q132">
        <v>300</v>
      </c>
      <c r="R132">
        <v>13</v>
      </c>
      <c r="S132">
        <v>132</v>
      </c>
      <c r="T132">
        <f t="shared" ref="T132:T195" si="8">(P132-P131)/100</f>
        <v>3.2687999999999993</v>
      </c>
    </row>
    <row r="133" spans="1:20" x14ac:dyDescent="0.3">
      <c r="A133" s="1">
        <v>44743</v>
      </c>
      <c r="B133" s="1" t="str">
        <f t="shared" si="6"/>
        <v>Swiggy_Mundka_Product_14_44743</v>
      </c>
      <c r="C133" s="2" t="s">
        <v>96</v>
      </c>
      <c r="D133" s="2" t="s">
        <v>97</v>
      </c>
      <c r="E133" s="2" t="s">
        <v>34</v>
      </c>
      <c r="F133" s="2" t="s">
        <v>35</v>
      </c>
      <c r="G133" s="2" t="s">
        <v>36</v>
      </c>
      <c r="H133" s="2" t="s">
        <v>47</v>
      </c>
      <c r="I133" s="2" t="s">
        <v>98</v>
      </c>
      <c r="J133" t="s">
        <v>31</v>
      </c>
      <c r="K133">
        <v>5</v>
      </c>
      <c r="L133" s="3"/>
      <c r="M133" s="3"/>
      <c r="N133" s="3"/>
      <c r="O133" s="3">
        <f t="shared" si="7"/>
        <v>0</v>
      </c>
      <c r="P133">
        <v>748.8</v>
      </c>
      <c r="Q133">
        <v>110</v>
      </c>
      <c r="R133">
        <v>6</v>
      </c>
      <c r="S133">
        <v>97</v>
      </c>
      <c r="T133">
        <f t="shared" si="8"/>
        <v>0</v>
      </c>
    </row>
    <row r="134" spans="1:20" x14ac:dyDescent="0.3">
      <c r="A134" s="1">
        <v>44743</v>
      </c>
      <c r="B134" s="1" t="str">
        <f t="shared" si="6"/>
        <v>Zepto_Mundka_Product_3_44743</v>
      </c>
      <c r="C134" s="2" t="s">
        <v>72</v>
      </c>
      <c r="D134" s="2" t="s">
        <v>73</v>
      </c>
      <c r="E134" s="2" t="s">
        <v>34</v>
      </c>
      <c r="F134" s="2" t="s">
        <v>46</v>
      </c>
      <c r="G134" s="2" t="s">
        <v>36</v>
      </c>
      <c r="H134" s="2" t="s">
        <v>37</v>
      </c>
      <c r="I134" s="2" t="s">
        <v>43</v>
      </c>
      <c r="J134" t="s">
        <v>31</v>
      </c>
      <c r="K134">
        <v>42</v>
      </c>
      <c r="L134" s="3"/>
      <c r="M134" s="3"/>
      <c r="N134" s="3"/>
      <c r="O134" s="3">
        <f t="shared" si="7"/>
        <v>0</v>
      </c>
      <c r="P134">
        <v>84</v>
      </c>
      <c r="Q134">
        <v>240</v>
      </c>
      <c r="R134">
        <v>0</v>
      </c>
      <c r="S134">
        <v>127</v>
      </c>
      <c r="T134">
        <f t="shared" si="8"/>
        <v>-6.6479999999999997</v>
      </c>
    </row>
    <row r="135" spans="1:20" x14ac:dyDescent="0.3">
      <c r="A135" s="1">
        <v>44743</v>
      </c>
      <c r="B135" s="1" t="str">
        <f t="shared" si="6"/>
        <v>Swiggy_Mundka_Product_2_44743</v>
      </c>
      <c r="C135" s="2" t="s">
        <v>32</v>
      </c>
      <c r="D135" s="2" t="s">
        <v>33</v>
      </c>
      <c r="E135" s="2" t="s">
        <v>34</v>
      </c>
      <c r="F135" s="2" t="s">
        <v>35</v>
      </c>
      <c r="G135" s="2" t="s">
        <v>36</v>
      </c>
      <c r="H135" s="2" t="s">
        <v>37</v>
      </c>
      <c r="I135" s="2" t="s">
        <v>38</v>
      </c>
      <c r="J135" t="s">
        <v>31</v>
      </c>
      <c r="K135">
        <v>91</v>
      </c>
      <c r="L135" s="3"/>
      <c r="M135" s="3"/>
      <c r="N135" s="3"/>
      <c r="O135" s="3">
        <f t="shared" si="7"/>
        <v>0</v>
      </c>
      <c r="P135">
        <v>48</v>
      </c>
      <c r="Q135">
        <v>383</v>
      </c>
      <c r="R135">
        <v>0</v>
      </c>
      <c r="S135">
        <v>134</v>
      </c>
      <c r="T135">
        <f t="shared" si="8"/>
        <v>-0.36</v>
      </c>
    </row>
    <row r="136" spans="1:20" x14ac:dyDescent="0.3">
      <c r="A136" s="1">
        <v>44743</v>
      </c>
      <c r="B136" s="1" t="str">
        <f t="shared" si="6"/>
        <v>Swiggy_Bangalore_Product_16_44743</v>
      </c>
      <c r="C136" s="2" t="s">
        <v>107</v>
      </c>
      <c r="D136" s="2" t="s">
        <v>108</v>
      </c>
      <c r="E136" s="2" t="s">
        <v>34</v>
      </c>
      <c r="F136" s="2" t="s">
        <v>35</v>
      </c>
      <c r="G136" s="2" t="s">
        <v>79</v>
      </c>
      <c r="H136" s="2" t="s">
        <v>47</v>
      </c>
      <c r="I136" s="2" t="s">
        <v>109</v>
      </c>
      <c r="J136" t="s">
        <v>31</v>
      </c>
      <c r="K136">
        <v>3</v>
      </c>
      <c r="L136" s="3"/>
      <c r="M136" s="3"/>
      <c r="N136" s="3"/>
      <c r="O136" s="3">
        <f t="shared" si="7"/>
        <v>0</v>
      </c>
      <c r="P136">
        <v>383.52</v>
      </c>
      <c r="Q136">
        <v>440</v>
      </c>
      <c r="R136">
        <v>8</v>
      </c>
      <c r="S136">
        <v>122</v>
      </c>
      <c r="T136">
        <f t="shared" si="8"/>
        <v>3.3552</v>
      </c>
    </row>
    <row r="137" spans="1:20" x14ac:dyDescent="0.3">
      <c r="A137" s="1">
        <v>44743</v>
      </c>
      <c r="B137" s="1" t="str">
        <f t="shared" si="6"/>
        <v>Swiggy_Mundka_Product_17_44743</v>
      </c>
      <c r="C137" s="2" t="s">
        <v>115</v>
      </c>
      <c r="D137" s="2" t="s">
        <v>116</v>
      </c>
      <c r="E137" s="2" t="s">
        <v>34</v>
      </c>
      <c r="F137" s="2" t="s">
        <v>35</v>
      </c>
      <c r="G137" s="2" t="s">
        <v>36</v>
      </c>
      <c r="H137" s="2" t="s">
        <v>117</v>
      </c>
      <c r="I137" s="2" t="s">
        <v>118</v>
      </c>
      <c r="J137" t="s">
        <v>31</v>
      </c>
      <c r="K137">
        <v>1</v>
      </c>
      <c r="L137" s="3"/>
      <c r="M137" s="3"/>
      <c r="N137" s="3"/>
      <c r="O137" s="3">
        <f t="shared" si="7"/>
        <v>0</v>
      </c>
      <c r="P137">
        <v>383.52</v>
      </c>
      <c r="Q137">
        <v>266</v>
      </c>
      <c r="R137">
        <v>0</v>
      </c>
      <c r="S137">
        <v>106</v>
      </c>
      <c r="T137">
        <f t="shared" si="8"/>
        <v>0</v>
      </c>
    </row>
    <row r="138" spans="1:20" x14ac:dyDescent="0.3">
      <c r="A138" s="1">
        <v>44743</v>
      </c>
      <c r="B138" s="1" t="str">
        <f t="shared" si="6"/>
        <v>Reliance_Bhiwandi_Product_10_44743</v>
      </c>
      <c r="C138" s="2" t="s">
        <v>85</v>
      </c>
      <c r="D138" s="2" t="s">
        <v>86</v>
      </c>
      <c r="E138" s="2" t="s">
        <v>34</v>
      </c>
      <c r="F138" s="2" t="s">
        <v>51</v>
      </c>
      <c r="G138" s="2" t="s">
        <v>66</v>
      </c>
      <c r="H138" s="2" t="s">
        <v>67</v>
      </c>
      <c r="I138" s="2" t="s">
        <v>76</v>
      </c>
      <c r="J138" t="s">
        <v>31</v>
      </c>
      <c r="K138">
        <v>2</v>
      </c>
      <c r="L138" s="3"/>
      <c r="M138" s="3"/>
      <c r="N138" s="3"/>
      <c r="O138" s="3">
        <f t="shared" si="7"/>
        <v>0</v>
      </c>
      <c r="P138">
        <v>672</v>
      </c>
      <c r="Q138">
        <v>384</v>
      </c>
      <c r="R138">
        <v>0</v>
      </c>
      <c r="S138">
        <v>106</v>
      </c>
      <c r="T138">
        <f t="shared" si="8"/>
        <v>2.8848000000000003</v>
      </c>
    </row>
    <row r="139" spans="1:20" x14ac:dyDescent="0.3">
      <c r="A139" s="1">
        <v>44743</v>
      </c>
      <c r="B139" s="1" t="str">
        <f t="shared" si="6"/>
        <v>Maharashtra_MH-Aggregated_Product_3_44743</v>
      </c>
      <c r="C139" s="2" t="s">
        <v>39</v>
      </c>
      <c r="D139" s="2" t="s">
        <v>40</v>
      </c>
      <c r="E139" s="2" t="s">
        <v>26</v>
      </c>
      <c r="F139" s="2" t="s">
        <v>41</v>
      </c>
      <c r="G139" s="2" t="s">
        <v>42</v>
      </c>
      <c r="H139" s="2" t="s">
        <v>37</v>
      </c>
      <c r="I139" s="2" t="s">
        <v>43</v>
      </c>
      <c r="J139" t="s">
        <v>31</v>
      </c>
      <c r="K139">
        <v>1</v>
      </c>
      <c r="L139" s="3"/>
      <c r="M139" s="3"/>
      <c r="N139" s="3"/>
      <c r="O139" s="3">
        <f t="shared" si="7"/>
        <v>0</v>
      </c>
      <c r="P139">
        <v>672</v>
      </c>
      <c r="Q139">
        <v>416</v>
      </c>
      <c r="R139">
        <v>1</v>
      </c>
      <c r="S139">
        <v>127</v>
      </c>
      <c r="T139">
        <f t="shared" si="8"/>
        <v>0</v>
      </c>
    </row>
    <row r="140" spans="1:20" x14ac:dyDescent="0.3">
      <c r="A140" s="1">
        <v>44743</v>
      </c>
      <c r="B140" s="1" t="str">
        <f t="shared" si="6"/>
        <v>Reliance_Bangalore_Product_13_44743</v>
      </c>
      <c r="C140" s="2" t="s">
        <v>93</v>
      </c>
      <c r="D140" s="2" t="s">
        <v>94</v>
      </c>
      <c r="E140" s="2" t="s">
        <v>34</v>
      </c>
      <c r="F140" s="2" t="s">
        <v>51</v>
      </c>
      <c r="G140" s="2" t="s">
        <v>79</v>
      </c>
      <c r="H140" s="2" t="s">
        <v>67</v>
      </c>
      <c r="I140" s="2" t="s">
        <v>95</v>
      </c>
      <c r="J140" t="s">
        <v>31</v>
      </c>
      <c r="K140">
        <v>4</v>
      </c>
      <c r="L140" s="3"/>
      <c r="M140" s="3"/>
      <c r="N140" s="3"/>
      <c r="O140" s="3">
        <f t="shared" si="7"/>
        <v>0</v>
      </c>
      <c r="P140">
        <v>421.92</v>
      </c>
      <c r="Q140">
        <v>355</v>
      </c>
      <c r="R140">
        <v>0</v>
      </c>
      <c r="S140">
        <v>113</v>
      </c>
      <c r="T140">
        <f t="shared" si="8"/>
        <v>-2.5007999999999999</v>
      </c>
    </row>
    <row r="141" spans="1:20" x14ac:dyDescent="0.3">
      <c r="A141" s="1">
        <v>44743</v>
      </c>
      <c r="B141" s="1" t="str">
        <f t="shared" si="6"/>
        <v>Reliance_Ahmedabad_Product_7_44743</v>
      </c>
      <c r="C141" s="2" t="s">
        <v>99</v>
      </c>
      <c r="D141" s="2" t="s">
        <v>100</v>
      </c>
      <c r="E141" s="2" t="s">
        <v>34</v>
      </c>
      <c r="F141" s="2" t="s">
        <v>51</v>
      </c>
      <c r="G141" s="2" t="s">
        <v>52</v>
      </c>
      <c r="H141" s="2" t="s">
        <v>37</v>
      </c>
      <c r="I141" s="2" t="s">
        <v>60</v>
      </c>
      <c r="J141" t="s">
        <v>31</v>
      </c>
      <c r="K141">
        <v>2</v>
      </c>
      <c r="L141" s="3"/>
      <c r="M141" s="3"/>
      <c r="N141" s="3"/>
      <c r="O141" s="3">
        <f t="shared" si="7"/>
        <v>0</v>
      </c>
      <c r="P141">
        <v>421.92</v>
      </c>
      <c r="Q141">
        <v>141</v>
      </c>
      <c r="R141">
        <v>1</v>
      </c>
      <c r="S141">
        <v>117</v>
      </c>
      <c r="T141">
        <f t="shared" si="8"/>
        <v>0</v>
      </c>
    </row>
    <row r="142" spans="1:20" x14ac:dyDescent="0.3">
      <c r="A142" s="1">
        <v>44743</v>
      </c>
      <c r="B142" s="1" t="str">
        <f t="shared" si="6"/>
        <v>Swiggy_Kolkata CFA_Product_3_44743</v>
      </c>
      <c r="C142" s="2" t="s">
        <v>61</v>
      </c>
      <c r="D142" s="2" t="s">
        <v>62</v>
      </c>
      <c r="E142" s="2" t="s">
        <v>34</v>
      </c>
      <c r="F142" s="2" t="s">
        <v>35</v>
      </c>
      <c r="G142" s="2" t="s">
        <v>63</v>
      </c>
      <c r="H142" s="2" t="s">
        <v>37</v>
      </c>
      <c r="I142" s="2" t="s">
        <v>43</v>
      </c>
      <c r="J142" t="s">
        <v>31</v>
      </c>
      <c r="K142">
        <v>3</v>
      </c>
      <c r="L142" s="3"/>
      <c r="M142" s="3"/>
      <c r="N142" s="3"/>
      <c r="O142" s="3">
        <f t="shared" si="7"/>
        <v>0</v>
      </c>
      <c r="P142">
        <v>748.8</v>
      </c>
      <c r="Q142">
        <v>450</v>
      </c>
      <c r="R142">
        <v>4</v>
      </c>
      <c r="S142">
        <v>127</v>
      </c>
      <c r="T142">
        <f t="shared" si="8"/>
        <v>3.2687999999999993</v>
      </c>
    </row>
    <row r="143" spans="1:20" x14ac:dyDescent="0.3">
      <c r="A143" s="1">
        <v>44743</v>
      </c>
      <c r="B143" s="1" t="str">
        <f t="shared" si="6"/>
        <v>Reliance_Mundka_Product_7_44743</v>
      </c>
      <c r="C143" s="2" t="s">
        <v>58</v>
      </c>
      <c r="D143" s="2" t="s">
        <v>59</v>
      </c>
      <c r="E143" s="2" t="s">
        <v>34</v>
      </c>
      <c r="F143" s="2" t="s">
        <v>51</v>
      </c>
      <c r="G143" s="2" t="s">
        <v>36</v>
      </c>
      <c r="H143" s="2" t="s">
        <v>37</v>
      </c>
      <c r="I143" s="2" t="s">
        <v>60</v>
      </c>
      <c r="J143" t="s">
        <v>31</v>
      </c>
      <c r="K143">
        <v>1</v>
      </c>
      <c r="L143" s="3"/>
      <c r="M143" s="3"/>
      <c r="N143" s="3"/>
      <c r="O143" s="3">
        <f t="shared" si="7"/>
        <v>0</v>
      </c>
      <c r="P143">
        <v>748.8</v>
      </c>
      <c r="Q143">
        <v>152</v>
      </c>
      <c r="R143">
        <v>0</v>
      </c>
      <c r="S143">
        <v>117</v>
      </c>
      <c r="T143">
        <f t="shared" si="8"/>
        <v>0</v>
      </c>
    </row>
    <row r="144" spans="1:20" x14ac:dyDescent="0.3">
      <c r="A144" s="1">
        <v>44743</v>
      </c>
      <c r="B144" s="1" t="str">
        <f t="shared" si="6"/>
        <v>Reliance_Bhiwandi_Product_11_44743</v>
      </c>
      <c r="C144" s="2" t="s">
        <v>87</v>
      </c>
      <c r="D144" s="2" t="s">
        <v>88</v>
      </c>
      <c r="E144" s="2" t="s">
        <v>34</v>
      </c>
      <c r="F144" s="2" t="s">
        <v>51</v>
      </c>
      <c r="G144" s="2" t="s">
        <v>66</v>
      </c>
      <c r="H144" s="2" t="s">
        <v>67</v>
      </c>
      <c r="I144" s="2" t="s">
        <v>89</v>
      </c>
      <c r="J144" t="s">
        <v>31</v>
      </c>
      <c r="K144">
        <v>2</v>
      </c>
      <c r="L144" s="3"/>
      <c r="M144" s="3"/>
      <c r="N144" s="3"/>
      <c r="O144" s="3">
        <f t="shared" si="7"/>
        <v>0</v>
      </c>
      <c r="P144">
        <v>84</v>
      </c>
      <c r="Q144">
        <v>433</v>
      </c>
      <c r="R144">
        <v>0</v>
      </c>
      <c r="S144">
        <v>131</v>
      </c>
      <c r="T144">
        <f t="shared" si="8"/>
        <v>-6.6479999999999997</v>
      </c>
    </row>
    <row r="145" spans="1:20" x14ac:dyDescent="0.3">
      <c r="A145" s="1">
        <v>44743</v>
      </c>
      <c r="B145" s="1" t="str">
        <f t="shared" si="6"/>
        <v>Reliance_Bangalore_Product_8_44743</v>
      </c>
      <c r="C145" s="2" t="s">
        <v>77</v>
      </c>
      <c r="D145" s="2" t="s">
        <v>78</v>
      </c>
      <c r="E145" s="2" t="s">
        <v>34</v>
      </c>
      <c r="F145" s="2" t="s">
        <v>51</v>
      </c>
      <c r="G145" s="2" t="s">
        <v>79</v>
      </c>
      <c r="H145" s="2" t="s">
        <v>67</v>
      </c>
      <c r="I145" s="2" t="s">
        <v>68</v>
      </c>
      <c r="J145" t="s">
        <v>31</v>
      </c>
      <c r="K145">
        <v>5</v>
      </c>
      <c r="L145" s="3"/>
      <c r="M145" s="3"/>
      <c r="N145" s="3"/>
      <c r="O145" s="3">
        <f t="shared" si="7"/>
        <v>0</v>
      </c>
      <c r="P145">
        <v>48</v>
      </c>
      <c r="Q145">
        <v>116</v>
      </c>
      <c r="R145">
        <v>0</v>
      </c>
      <c r="S145">
        <v>126</v>
      </c>
      <c r="T145">
        <f t="shared" si="8"/>
        <v>-0.36</v>
      </c>
    </row>
    <row r="146" spans="1:20" x14ac:dyDescent="0.3">
      <c r="A146" s="1">
        <v>44743</v>
      </c>
      <c r="B146" s="1" t="str">
        <f t="shared" si="6"/>
        <v>Zepto_Bangalore_Product_12_44743</v>
      </c>
      <c r="C146" s="2" t="s">
        <v>90</v>
      </c>
      <c r="D146" s="2" t="s">
        <v>91</v>
      </c>
      <c r="E146" s="2" t="s">
        <v>34</v>
      </c>
      <c r="F146" s="2" t="s">
        <v>46</v>
      </c>
      <c r="G146" s="2" t="s">
        <v>79</v>
      </c>
      <c r="H146" s="2" t="s">
        <v>67</v>
      </c>
      <c r="I146" s="2" t="s">
        <v>92</v>
      </c>
      <c r="J146" t="s">
        <v>31</v>
      </c>
      <c r="K146">
        <v>8</v>
      </c>
      <c r="L146" s="3"/>
      <c r="M146" s="3"/>
      <c r="N146" s="3"/>
      <c r="O146" s="3">
        <f t="shared" si="7"/>
        <v>0</v>
      </c>
      <c r="P146">
        <v>383.52</v>
      </c>
      <c r="Q146">
        <v>132</v>
      </c>
      <c r="R146">
        <v>9</v>
      </c>
      <c r="S146">
        <v>94</v>
      </c>
      <c r="T146">
        <f t="shared" si="8"/>
        <v>3.3552</v>
      </c>
    </row>
    <row r="147" spans="1:20" x14ac:dyDescent="0.3">
      <c r="A147" s="1">
        <v>44743</v>
      </c>
      <c r="B147" s="1" t="str">
        <f t="shared" si="6"/>
        <v>Reliance_Mundka_Product_6_44743</v>
      </c>
      <c r="C147" s="2" t="s">
        <v>55</v>
      </c>
      <c r="D147" s="2" t="s">
        <v>56</v>
      </c>
      <c r="E147" s="2" t="s">
        <v>34</v>
      </c>
      <c r="F147" s="2" t="s">
        <v>51</v>
      </c>
      <c r="G147" s="2" t="s">
        <v>36</v>
      </c>
      <c r="H147" s="2" t="s">
        <v>37</v>
      </c>
      <c r="I147" s="2" t="s">
        <v>57</v>
      </c>
      <c r="J147" t="s">
        <v>31</v>
      </c>
      <c r="K147">
        <v>2</v>
      </c>
      <c r="L147" s="3"/>
      <c r="M147" s="3"/>
      <c r="N147" s="3"/>
      <c r="O147" s="3">
        <f t="shared" si="7"/>
        <v>0</v>
      </c>
      <c r="P147">
        <v>383.52</v>
      </c>
      <c r="Q147">
        <v>120</v>
      </c>
      <c r="R147">
        <v>3</v>
      </c>
      <c r="S147">
        <v>135</v>
      </c>
      <c r="T147">
        <f t="shared" si="8"/>
        <v>0</v>
      </c>
    </row>
    <row r="148" spans="1:20" x14ac:dyDescent="0.3">
      <c r="A148" s="1">
        <v>44743</v>
      </c>
      <c r="B148" s="1" t="str">
        <f t="shared" si="6"/>
        <v>Reliance_Bangalore_Product_3_44743</v>
      </c>
      <c r="C148" s="2" t="s">
        <v>80</v>
      </c>
      <c r="D148" s="2" t="s">
        <v>81</v>
      </c>
      <c r="E148" s="2" t="s">
        <v>34</v>
      </c>
      <c r="F148" s="2" t="s">
        <v>51</v>
      </c>
      <c r="G148" s="2" t="s">
        <v>79</v>
      </c>
      <c r="H148" s="2" t="s">
        <v>37</v>
      </c>
      <c r="I148" s="2" t="s">
        <v>43</v>
      </c>
      <c r="J148" t="s">
        <v>31</v>
      </c>
      <c r="K148">
        <v>5</v>
      </c>
      <c r="L148" s="3"/>
      <c r="M148" s="3"/>
      <c r="N148" s="3"/>
      <c r="O148" s="3">
        <f t="shared" si="7"/>
        <v>0</v>
      </c>
      <c r="P148">
        <v>383.52</v>
      </c>
      <c r="Q148">
        <v>156</v>
      </c>
      <c r="R148">
        <v>0</v>
      </c>
      <c r="S148">
        <v>127</v>
      </c>
      <c r="T148">
        <f t="shared" si="8"/>
        <v>0</v>
      </c>
    </row>
    <row r="149" spans="1:20" x14ac:dyDescent="0.3">
      <c r="A149" s="1">
        <v>44743</v>
      </c>
      <c r="B149" s="1" t="str">
        <f t="shared" si="6"/>
        <v>Maharashtra_MH-Aggregated_Product_9_44743</v>
      </c>
      <c r="C149" s="2" t="s">
        <v>69</v>
      </c>
      <c r="D149" s="2" t="s">
        <v>70</v>
      </c>
      <c r="E149" s="2" t="s">
        <v>26</v>
      </c>
      <c r="F149" s="2" t="s">
        <v>41</v>
      </c>
      <c r="G149" s="2" t="s">
        <v>42</v>
      </c>
      <c r="H149" s="2" t="s">
        <v>37</v>
      </c>
      <c r="I149" s="2" t="s">
        <v>71</v>
      </c>
      <c r="J149" t="s">
        <v>31</v>
      </c>
      <c r="K149">
        <v>1</v>
      </c>
      <c r="L149" s="3"/>
      <c r="M149" s="3"/>
      <c r="N149" s="3"/>
      <c r="O149" s="3">
        <f t="shared" si="7"/>
        <v>0</v>
      </c>
      <c r="P149">
        <v>383.52</v>
      </c>
      <c r="Q149">
        <v>431</v>
      </c>
      <c r="R149">
        <v>5</v>
      </c>
      <c r="S149">
        <v>119</v>
      </c>
      <c r="T149">
        <f t="shared" si="8"/>
        <v>0</v>
      </c>
    </row>
    <row r="150" spans="1:20" x14ac:dyDescent="0.3">
      <c r="A150" s="1">
        <v>44743</v>
      </c>
      <c r="B150" s="1" t="str">
        <f t="shared" si="6"/>
        <v>Reliance_Kolkata CFA_Product_12_44743</v>
      </c>
      <c r="C150" s="2" t="s">
        <v>101</v>
      </c>
      <c r="D150" s="2" t="s">
        <v>102</v>
      </c>
      <c r="E150" s="2" t="s">
        <v>34</v>
      </c>
      <c r="F150" s="2" t="s">
        <v>51</v>
      </c>
      <c r="G150" s="2" t="s">
        <v>63</v>
      </c>
      <c r="H150" s="2" t="s">
        <v>67</v>
      </c>
      <c r="I150" s="2" t="s">
        <v>92</v>
      </c>
      <c r="J150" t="s">
        <v>31</v>
      </c>
      <c r="K150">
        <v>7</v>
      </c>
      <c r="L150" s="3"/>
      <c r="M150" s="3"/>
      <c r="N150" s="3"/>
      <c r="O150" s="3">
        <f t="shared" si="7"/>
        <v>0</v>
      </c>
      <c r="P150">
        <v>383.52</v>
      </c>
      <c r="Q150">
        <v>315</v>
      </c>
      <c r="R150">
        <v>0</v>
      </c>
      <c r="S150">
        <v>94</v>
      </c>
      <c r="T150">
        <f t="shared" si="8"/>
        <v>0</v>
      </c>
    </row>
    <row r="151" spans="1:20" x14ac:dyDescent="0.3">
      <c r="A151" s="1">
        <v>44743</v>
      </c>
      <c r="B151" s="1" t="str">
        <f t="shared" si="6"/>
        <v>Swiggy_Kolkata CFA_Product_11_44743</v>
      </c>
      <c r="C151" s="2" t="s">
        <v>119</v>
      </c>
      <c r="D151" s="2" t="s">
        <v>120</v>
      </c>
      <c r="E151" s="2" t="s">
        <v>34</v>
      </c>
      <c r="F151" s="2" t="s">
        <v>35</v>
      </c>
      <c r="G151" s="2" t="s">
        <v>63</v>
      </c>
      <c r="H151" s="2" t="s">
        <v>67</v>
      </c>
      <c r="I151" s="2" t="s">
        <v>89</v>
      </c>
      <c r="J151" t="s">
        <v>31</v>
      </c>
      <c r="K151">
        <v>1</v>
      </c>
      <c r="L151" s="3"/>
      <c r="M151" s="3"/>
      <c r="N151" s="3"/>
      <c r="O151" s="3">
        <f t="shared" si="7"/>
        <v>0</v>
      </c>
      <c r="P151">
        <v>383.52</v>
      </c>
      <c r="Q151">
        <v>193</v>
      </c>
      <c r="R151">
        <v>0</v>
      </c>
      <c r="S151">
        <v>131</v>
      </c>
      <c r="T151">
        <f t="shared" si="8"/>
        <v>0</v>
      </c>
    </row>
    <row r="152" spans="1:20" x14ac:dyDescent="0.3">
      <c r="A152" s="1">
        <v>44743</v>
      </c>
      <c r="B152" s="1" t="str">
        <f t="shared" si="6"/>
        <v>Jharkhand_JH-Aggregated_Product_1_44743</v>
      </c>
      <c r="C152" s="2" t="s">
        <v>24</v>
      </c>
      <c r="D152" s="2" t="s">
        <v>25</v>
      </c>
      <c r="E152" s="2" t="s">
        <v>26</v>
      </c>
      <c r="F152" s="2" t="s">
        <v>27</v>
      </c>
      <c r="G152" s="2" t="s">
        <v>28</v>
      </c>
      <c r="H152" s="2" t="s">
        <v>29</v>
      </c>
      <c r="I152" s="2" t="s">
        <v>30</v>
      </c>
      <c r="J152" t="s">
        <v>31</v>
      </c>
      <c r="K152">
        <v>3</v>
      </c>
      <c r="L152" s="3"/>
      <c r="M152" s="3"/>
      <c r="N152" s="3"/>
      <c r="O152" s="3">
        <f t="shared" si="7"/>
        <v>0</v>
      </c>
      <c r="P152">
        <v>672</v>
      </c>
      <c r="Q152">
        <v>203</v>
      </c>
      <c r="R152">
        <v>8</v>
      </c>
      <c r="S152">
        <v>111</v>
      </c>
      <c r="T152">
        <f t="shared" si="8"/>
        <v>2.8848000000000003</v>
      </c>
    </row>
    <row r="153" spans="1:20" x14ac:dyDescent="0.3">
      <c r="A153" s="1">
        <v>44774</v>
      </c>
      <c r="B153" s="1" t="str">
        <f t="shared" si="6"/>
        <v>Swiggy_Kolkata CFA_Product_3_44774</v>
      </c>
      <c r="C153" s="2" t="s">
        <v>61</v>
      </c>
      <c r="D153" s="2" t="s">
        <v>62</v>
      </c>
      <c r="E153" s="2" t="s">
        <v>34</v>
      </c>
      <c r="F153" s="2" t="s">
        <v>35</v>
      </c>
      <c r="G153" s="2" t="s">
        <v>63</v>
      </c>
      <c r="H153" s="2" t="s">
        <v>37</v>
      </c>
      <c r="I153" s="2" t="s">
        <v>43</v>
      </c>
      <c r="J153" t="s">
        <v>31</v>
      </c>
      <c r="K153">
        <v>1</v>
      </c>
      <c r="L153" s="3"/>
      <c r="M153" s="3"/>
      <c r="N153" s="3"/>
      <c r="O153" s="3">
        <f t="shared" si="7"/>
        <v>0</v>
      </c>
      <c r="P153">
        <v>672</v>
      </c>
      <c r="Q153">
        <v>389</v>
      </c>
      <c r="R153">
        <v>0</v>
      </c>
      <c r="S153">
        <v>127</v>
      </c>
      <c r="T153">
        <f t="shared" si="8"/>
        <v>0</v>
      </c>
    </row>
    <row r="154" spans="1:20" x14ac:dyDescent="0.3">
      <c r="A154" s="1">
        <v>44774</v>
      </c>
      <c r="B154" s="1" t="str">
        <f t="shared" si="6"/>
        <v>Reliance_Mundka_Product_6_44774</v>
      </c>
      <c r="C154" s="2" t="s">
        <v>55</v>
      </c>
      <c r="D154" s="2" t="s">
        <v>56</v>
      </c>
      <c r="E154" s="2" t="s">
        <v>34</v>
      </c>
      <c r="F154" s="2" t="s">
        <v>51</v>
      </c>
      <c r="G154" s="2" t="s">
        <v>36</v>
      </c>
      <c r="H154" s="2" t="s">
        <v>37</v>
      </c>
      <c r="I154" s="2" t="s">
        <v>57</v>
      </c>
      <c r="J154" t="s">
        <v>31</v>
      </c>
      <c r="K154">
        <v>12</v>
      </c>
      <c r="L154" s="3"/>
      <c r="M154" s="3"/>
      <c r="N154" s="3"/>
      <c r="O154" s="3">
        <f t="shared" si="7"/>
        <v>0</v>
      </c>
      <c r="P154">
        <v>421.92</v>
      </c>
      <c r="Q154">
        <v>381</v>
      </c>
      <c r="R154">
        <v>0</v>
      </c>
      <c r="S154">
        <v>135</v>
      </c>
      <c r="T154">
        <f t="shared" si="8"/>
        <v>-2.5007999999999999</v>
      </c>
    </row>
    <row r="155" spans="1:20" x14ac:dyDescent="0.3">
      <c r="A155" s="1">
        <v>44774</v>
      </c>
      <c r="B155" s="1" t="str">
        <f t="shared" si="6"/>
        <v>Reliance_Bangalore_Product_3_44774</v>
      </c>
      <c r="C155" s="2" t="s">
        <v>80</v>
      </c>
      <c r="D155" s="2" t="s">
        <v>81</v>
      </c>
      <c r="E155" s="2" t="s">
        <v>34</v>
      </c>
      <c r="F155" s="2" t="s">
        <v>51</v>
      </c>
      <c r="G155" s="2" t="s">
        <v>79</v>
      </c>
      <c r="H155" s="2" t="s">
        <v>37</v>
      </c>
      <c r="I155" s="2" t="s">
        <v>43</v>
      </c>
      <c r="J155" t="s">
        <v>31</v>
      </c>
      <c r="K155">
        <v>3</v>
      </c>
      <c r="L155" s="3"/>
      <c r="M155" s="3"/>
      <c r="N155" s="3"/>
      <c r="O155" s="3">
        <f t="shared" si="7"/>
        <v>0</v>
      </c>
      <c r="P155">
        <v>421.92</v>
      </c>
      <c r="Q155">
        <v>391</v>
      </c>
      <c r="R155">
        <v>0</v>
      </c>
      <c r="S155">
        <v>127</v>
      </c>
      <c r="T155">
        <f t="shared" si="8"/>
        <v>0</v>
      </c>
    </row>
    <row r="156" spans="1:20" x14ac:dyDescent="0.3">
      <c r="A156" s="1">
        <v>44774</v>
      </c>
      <c r="B156" s="1" t="str">
        <f t="shared" si="6"/>
        <v>Swiggy_Bangalore_Product_16_44774</v>
      </c>
      <c r="C156" s="2" t="s">
        <v>107</v>
      </c>
      <c r="D156" s="2" t="s">
        <v>108</v>
      </c>
      <c r="E156" s="2" t="s">
        <v>34</v>
      </c>
      <c r="F156" s="2" t="s">
        <v>35</v>
      </c>
      <c r="G156" s="2" t="s">
        <v>79</v>
      </c>
      <c r="H156" s="2" t="s">
        <v>47</v>
      </c>
      <c r="I156" s="2" t="s">
        <v>109</v>
      </c>
      <c r="J156" t="s">
        <v>31</v>
      </c>
      <c r="K156">
        <v>5</v>
      </c>
      <c r="L156" s="3"/>
      <c r="M156" s="3"/>
      <c r="N156" s="3"/>
      <c r="O156" s="3">
        <f t="shared" si="7"/>
        <v>0</v>
      </c>
      <c r="P156">
        <v>748.8</v>
      </c>
      <c r="Q156">
        <v>119</v>
      </c>
      <c r="R156">
        <v>13</v>
      </c>
      <c r="S156">
        <v>122</v>
      </c>
      <c r="T156">
        <f t="shared" si="8"/>
        <v>3.2687999999999993</v>
      </c>
    </row>
    <row r="157" spans="1:20" x14ac:dyDescent="0.3">
      <c r="A157" s="1">
        <v>44774</v>
      </c>
      <c r="B157" s="1" t="str">
        <f t="shared" si="6"/>
        <v>Swiggy_Chennai_Product_3_44774</v>
      </c>
      <c r="C157" s="2" t="s">
        <v>82</v>
      </c>
      <c r="D157" s="2" t="s">
        <v>83</v>
      </c>
      <c r="E157" s="2" t="s">
        <v>34</v>
      </c>
      <c r="F157" s="2" t="s">
        <v>35</v>
      </c>
      <c r="G157" s="2" t="s">
        <v>84</v>
      </c>
      <c r="H157" s="2" t="s">
        <v>37</v>
      </c>
      <c r="I157" s="2" t="s">
        <v>43</v>
      </c>
      <c r="J157" t="s">
        <v>31</v>
      </c>
      <c r="K157">
        <v>1</v>
      </c>
      <c r="L157" s="3"/>
      <c r="M157" s="3"/>
      <c r="N157" s="3"/>
      <c r="O157" s="3">
        <f t="shared" si="7"/>
        <v>0</v>
      </c>
      <c r="P157">
        <v>748.8</v>
      </c>
      <c r="Q157">
        <v>228</v>
      </c>
      <c r="R157">
        <v>0</v>
      </c>
      <c r="S157">
        <v>127</v>
      </c>
      <c r="T157">
        <f t="shared" si="8"/>
        <v>0</v>
      </c>
    </row>
    <row r="158" spans="1:20" x14ac:dyDescent="0.3">
      <c r="A158" s="1">
        <v>44774</v>
      </c>
      <c r="B158" s="1" t="str">
        <f t="shared" si="6"/>
        <v>Swiggy_Mundka_Product_2_44774</v>
      </c>
      <c r="C158" s="2" t="s">
        <v>32</v>
      </c>
      <c r="D158" s="2" t="s">
        <v>33</v>
      </c>
      <c r="E158" s="2" t="s">
        <v>34</v>
      </c>
      <c r="F158" s="2" t="s">
        <v>35</v>
      </c>
      <c r="G158" s="2" t="s">
        <v>36</v>
      </c>
      <c r="H158" s="2" t="s">
        <v>37</v>
      </c>
      <c r="I158" s="2" t="s">
        <v>38</v>
      </c>
      <c r="J158" t="s">
        <v>31</v>
      </c>
      <c r="K158">
        <v>8</v>
      </c>
      <c r="L158" s="3"/>
      <c r="M158" s="3"/>
      <c r="N158" s="3"/>
      <c r="O158" s="3">
        <f t="shared" si="7"/>
        <v>0</v>
      </c>
      <c r="P158">
        <v>84</v>
      </c>
      <c r="Q158">
        <v>243</v>
      </c>
      <c r="R158">
        <v>0</v>
      </c>
      <c r="S158">
        <v>134</v>
      </c>
      <c r="T158">
        <f t="shared" si="8"/>
        <v>-6.6479999999999997</v>
      </c>
    </row>
    <row r="159" spans="1:20" x14ac:dyDescent="0.3">
      <c r="A159" s="1">
        <v>44774</v>
      </c>
      <c r="B159" s="1" t="str">
        <f t="shared" si="6"/>
        <v>Swiggy_Kolkata CFA_Product_11_44774</v>
      </c>
      <c r="C159" s="2" t="s">
        <v>119</v>
      </c>
      <c r="D159" s="2" t="s">
        <v>120</v>
      </c>
      <c r="E159" s="2" t="s">
        <v>34</v>
      </c>
      <c r="F159" s="2" t="s">
        <v>35</v>
      </c>
      <c r="G159" s="2" t="s">
        <v>63</v>
      </c>
      <c r="H159" s="2" t="s">
        <v>67</v>
      </c>
      <c r="I159" s="2" t="s">
        <v>89</v>
      </c>
      <c r="J159" t="s">
        <v>31</v>
      </c>
      <c r="K159">
        <v>16</v>
      </c>
      <c r="L159" s="3"/>
      <c r="M159" s="3"/>
      <c r="N159" s="3"/>
      <c r="O159" s="3">
        <f t="shared" si="7"/>
        <v>0</v>
      </c>
      <c r="P159">
        <v>48</v>
      </c>
      <c r="Q159">
        <v>176</v>
      </c>
      <c r="R159">
        <v>0</v>
      </c>
      <c r="S159">
        <v>131</v>
      </c>
      <c r="T159">
        <f t="shared" si="8"/>
        <v>-0.36</v>
      </c>
    </row>
    <row r="160" spans="1:20" x14ac:dyDescent="0.3">
      <c r="A160" s="1">
        <v>44774</v>
      </c>
      <c r="B160" s="1" t="str">
        <f t="shared" si="6"/>
        <v>Reliance_Ahmedabad_Product_18_44774</v>
      </c>
      <c r="C160" s="2" t="s">
        <v>121</v>
      </c>
      <c r="D160" s="2" t="s">
        <v>122</v>
      </c>
      <c r="E160" s="2" t="s">
        <v>34</v>
      </c>
      <c r="F160" s="2" t="s">
        <v>51</v>
      </c>
      <c r="G160" s="2" t="s">
        <v>52</v>
      </c>
      <c r="H160" s="2" t="s">
        <v>29</v>
      </c>
      <c r="I160" s="2" t="s">
        <v>123</v>
      </c>
      <c r="J160" t="s">
        <v>31</v>
      </c>
      <c r="K160">
        <v>17</v>
      </c>
      <c r="L160" s="3"/>
      <c r="M160" s="3"/>
      <c r="N160" s="3"/>
      <c r="O160" s="3">
        <f t="shared" si="7"/>
        <v>0</v>
      </c>
      <c r="P160">
        <v>383.52</v>
      </c>
      <c r="Q160">
        <v>464</v>
      </c>
      <c r="R160">
        <v>4</v>
      </c>
      <c r="S160">
        <v>129</v>
      </c>
      <c r="T160">
        <f t="shared" si="8"/>
        <v>3.3552</v>
      </c>
    </row>
    <row r="161" spans="1:20" x14ac:dyDescent="0.3">
      <c r="A161" s="1">
        <v>44774</v>
      </c>
      <c r="B161" s="1" t="str">
        <f t="shared" si="6"/>
        <v>Reliance_Bhiwandi_Product_10_44774</v>
      </c>
      <c r="C161" s="2" t="s">
        <v>85</v>
      </c>
      <c r="D161" s="2" t="s">
        <v>86</v>
      </c>
      <c r="E161" s="2" t="s">
        <v>34</v>
      </c>
      <c r="F161" s="2" t="s">
        <v>51</v>
      </c>
      <c r="G161" s="2" t="s">
        <v>66</v>
      </c>
      <c r="H161" s="2" t="s">
        <v>67</v>
      </c>
      <c r="I161" s="2" t="s">
        <v>76</v>
      </c>
      <c r="J161" t="s">
        <v>31</v>
      </c>
      <c r="K161">
        <v>4</v>
      </c>
      <c r="L161" s="3"/>
      <c r="M161" s="3"/>
      <c r="N161" s="3"/>
      <c r="O161" s="3">
        <f t="shared" si="7"/>
        <v>0</v>
      </c>
      <c r="P161">
        <v>383.52</v>
      </c>
      <c r="Q161">
        <v>225</v>
      </c>
      <c r="R161">
        <v>6</v>
      </c>
      <c r="S161">
        <v>106</v>
      </c>
      <c r="T161">
        <f t="shared" si="8"/>
        <v>0</v>
      </c>
    </row>
    <row r="162" spans="1:20" x14ac:dyDescent="0.3">
      <c r="A162" s="1">
        <v>44774</v>
      </c>
      <c r="B162" s="1" t="str">
        <f t="shared" si="6"/>
        <v>Maharashtra_MH-Aggregated_Product_3_44774</v>
      </c>
      <c r="C162" s="2" t="s">
        <v>39</v>
      </c>
      <c r="D162" s="2" t="s">
        <v>40</v>
      </c>
      <c r="E162" s="2" t="s">
        <v>26</v>
      </c>
      <c r="F162" s="2" t="s">
        <v>41</v>
      </c>
      <c r="G162" s="2" t="s">
        <v>42</v>
      </c>
      <c r="H162" s="2" t="s">
        <v>37</v>
      </c>
      <c r="I162" s="2" t="s">
        <v>43</v>
      </c>
      <c r="J162" t="s">
        <v>31</v>
      </c>
      <c r="K162">
        <v>6</v>
      </c>
      <c r="L162" s="3"/>
      <c r="M162" s="3"/>
      <c r="N162" s="3"/>
      <c r="O162" s="3">
        <f t="shared" si="7"/>
        <v>0</v>
      </c>
      <c r="P162">
        <v>672</v>
      </c>
      <c r="Q162">
        <v>333</v>
      </c>
      <c r="R162">
        <v>8</v>
      </c>
      <c r="S162">
        <v>127</v>
      </c>
      <c r="T162">
        <f t="shared" si="8"/>
        <v>2.8848000000000003</v>
      </c>
    </row>
    <row r="163" spans="1:20" x14ac:dyDescent="0.3">
      <c r="A163" s="1">
        <v>44774</v>
      </c>
      <c r="B163" s="1" t="str">
        <f t="shared" si="6"/>
        <v>Reliance_Ahmedabad_Product_7_44774</v>
      </c>
      <c r="C163" s="2" t="s">
        <v>99</v>
      </c>
      <c r="D163" s="2" t="s">
        <v>100</v>
      </c>
      <c r="E163" s="2" t="s">
        <v>34</v>
      </c>
      <c r="F163" s="2" t="s">
        <v>51</v>
      </c>
      <c r="G163" s="2" t="s">
        <v>52</v>
      </c>
      <c r="H163" s="2" t="s">
        <v>37</v>
      </c>
      <c r="I163" s="2" t="s">
        <v>60</v>
      </c>
      <c r="J163" t="s">
        <v>31</v>
      </c>
      <c r="K163">
        <v>2</v>
      </c>
      <c r="L163" s="3"/>
      <c r="M163" s="3"/>
      <c r="N163" s="3"/>
      <c r="O163" s="3">
        <f t="shared" si="7"/>
        <v>0</v>
      </c>
      <c r="P163">
        <v>672</v>
      </c>
      <c r="Q163">
        <v>184</v>
      </c>
      <c r="R163">
        <v>0</v>
      </c>
      <c r="S163">
        <v>117</v>
      </c>
      <c r="T163">
        <f t="shared" si="8"/>
        <v>0</v>
      </c>
    </row>
    <row r="164" spans="1:20" x14ac:dyDescent="0.3">
      <c r="A164" s="1">
        <v>44774</v>
      </c>
      <c r="B164" s="1" t="str">
        <f t="shared" si="6"/>
        <v>Zepto_Bangalore_Product_12_44774</v>
      </c>
      <c r="C164" s="2" t="s">
        <v>90</v>
      </c>
      <c r="D164" s="2" t="s">
        <v>91</v>
      </c>
      <c r="E164" s="2" t="s">
        <v>34</v>
      </c>
      <c r="F164" s="2" t="s">
        <v>46</v>
      </c>
      <c r="G164" s="2" t="s">
        <v>79</v>
      </c>
      <c r="H164" s="2" t="s">
        <v>67</v>
      </c>
      <c r="I164" s="2" t="s">
        <v>92</v>
      </c>
      <c r="J164" t="s">
        <v>31</v>
      </c>
      <c r="K164">
        <v>37</v>
      </c>
      <c r="L164" s="3"/>
      <c r="M164" s="3"/>
      <c r="N164" s="3"/>
      <c r="O164" s="3">
        <f t="shared" si="7"/>
        <v>0</v>
      </c>
      <c r="P164">
        <v>421.92</v>
      </c>
      <c r="Q164">
        <v>148</v>
      </c>
      <c r="R164">
        <v>1</v>
      </c>
      <c r="S164">
        <v>94</v>
      </c>
      <c r="T164">
        <f t="shared" si="8"/>
        <v>-2.5007999999999999</v>
      </c>
    </row>
    <row r="165" spans="1:20" x14ac:dyDescent="0.3">
      <c r="A165" s="1">
        <v>44774</v>
      </c>
      <c r="B165" s="1" t="str">
        <f t="shared" si="6"/>
        <v>Maharashtra_MH-Aggregated_Product_9_44774</v>
      </c>
      <c r="C165" s="2" t="s">
        <v>69</v>
      </c>
      <c r="D165" s="2" t="s">
        <v>70</v>
      </c>
      <c r="E165" s="2" t="s">
        <v>26</v>
      </c>
      <c r="F165" s="2" t="s">
        <v>41</v>
      </c>
      <c r="G165" s="2" t="s">
        <v>42</v>
      </c>
      <c r="H165" s="2" t="s">
        <v>37</v>
      </c>
      <c r="I165" s="2" t="s">
        <v>71</v>
      </c>
      <c r="J165" t="s">
        <v>31</v>
      </c>
      <c r="K165">
        <v>7</v>
      </c>
      <c r="L165" s="3"/>
      <c r="M165" s="3"/>
      <c r="N165" s="3"/>
      <c r="O165" s="3">
        <f t="shared" si="7"/>
        <v>0</v>
      </c>
      <c r="P165">
        <v>421.92</v>
      </c>
      <c r="Q165">
        <v>383</v>
      </c>
      <c r="R165">
        <v>9</v>
      </c>
      <c r="S165">
        <v>119</v>
      </c>
      <c r="T165">
        <f t="shared" si="8"/>
        <v>0</v>
      </c>
    </row>
    <row r="166" spans="1:20" x14ac:dyDescent="0.3">
      <c r="A166" s="1">
        <v>44774</v>
      </c>
      <c r="B166" s="1" t="str">
        <f t="shared" si="6"/>
        <v>Reliance_Bangalore_Product_8_44774</v>
      </c>
      <c r="C166" s="2" t="s">
        <v>77</v>
      </c>
      <c r="D166" s="2" t="s">
        <v>78</v>
      </c>
      <c r="E166" s="2" t="s">
        <v>34</v>
      </c>
      <c r="F166" s="2" t="s">
        <v>51</v>
      </c>
      <c r="G166" s="2" t="s">
        <v>79</v>
      </c>
      <c r="H166" s="2" t="s">
        <v>67</v>
      </c>
      <c r="I166" s="2" t="s">
        <v>68</v>
      </c>
      <c r="J166" t="s">
        <v>31</v>
      </c>
      <c r="K166">
        <v>13</v>
      </c>
      <c r="L166" s="3"/>
      <c r="M166" s="3"/>
      <c r="N166" s="3"/>
      <c r="O166" s="3">
        <f t="shared" si="7"/>
        <v>0</v>
      </c>
      <c r="P166">
        <v>748.8</v>
      </c>
      <c r="Q166">
        <v>445</v>
      </c>
      <c r="R166">
        <v>0</v>
      </c>
      <c r="S166">
        <v>126</v>
      </c>
      <c r="T166">
        <f t="shared" si="8"/>
        <v>3.2687999999999993</v>
      </c>
    </row>
    <row r="167" spans="1:20" x14ac:dyDescent="0.3">
      <c r="A167" s="1">
        <v>44774</v>
      </c>
      <c r="B167" s="1" t="str">
        <f t="shared" si="6"/>
        <v>Reliance_Mundka_Product_7_44774</v>
      </c>
      <c r="C167" s="2" t="s">
        <v>58</v>
      </c>
      <c r="D167" s="2" t="s">
        <v>59</v>
      </c>
      <c r="E167" s="2" t="s">
        <v>34</v>
      </c>
      <c r="F167" s="2" t="s">
        <v>51</v>
      </c>
      <c r="G167" s="2" t="s">
        <v>36</v>
      </c>
      <c r="H167" s="2" t="s">
        <v>37</v>
      </c>
      <c r="I167" s="2" t="s">
        <v>60</v>
      </c>
      <c r="J167" t="s">
        <v>31</v>
      </c>
      <c r="K167">
        <v>3</v>
      </c>
      <c r="L167" s="3"/>
      <c r="M167" s="3"/>
      <c r="N167" s="3"/>
      <c r="O167" s="3">
        <f t="shared" si="7"/>
        <v>0</v>
      </c>
      <c r="P167">
        <v>748.8</v>
      </c>
      <c r="Q167">
        <v>284</v>
      </c>
      <c r="R167">
        <v>9</v>
      </c>
      <c r="S167">
        <v>117</v>
      </c>
      <c r="T167">
        <f t="shared" si="8"/>
        <v>0</v>
      </c>
    </row>
    <row r="168" spans="1:20" x14ac:dyDescent="0.3">
      <c r="A168" s="1">
        <v>44774</v>
      </c>
      <c r="B168" s="1" t="str">
        <f t="shared" si="6"/>
        <v>Zepto_Mundka_Product_3_44774</v>
      </c>
      <c r="C168" s="2" t="s">
        <v>72</v>
      </c>
      <c r="D168" s="2" t="s">
        <v>73</v>
      </c>
      <c r="E168" s="2" t="s">
        <v>34</v>
      </c>
      <c r="F168" s="2" t="s">
        <v>46</v>
      </c>
      <c r="G168" s="2" t="s">
        <v>36</v>
      </c>
      <c r="H168" s="2" t="s">
        <v>37</v>
      </c>
      <c r="I168" s="2" t="s">
        <v>43</v>
      </c>
      <c r="J168" t="s">
        <v>31</v>
      </c>
      <c r="K168">
        <v>23</v>
      </c>
      <c r="L168" s="3"/>
      <c r="M168" s="3"/>
      <c r="N168" s="3"/>
      <c r="O168" s="3">
        <f t="shared" si="7"/>
        <v>0</v>
      </c>
      <c r="P168">
        <v>84</v>
      </c>
      <c r="Q168">
        <v>465</v>
      </c>
      <c r="R168">
        <v>10</v>
      </c>
      <c r="S168">
        <v>127</v>
      </c>
      <c r="T168">
        <f t="shared" si="8"/>
        <v>-6.6479999999999997</v>
      </c>
    </row>
    <row r="169" spans="1:20" x14ac:dyDescent="0.3">
      <c r="A169" s="1">
        <v>44774</v>
      </c>
      <c r="B169" s="1" t="str">
        <f t="shared" si="6"/>
        <v>Reliance_Bangalore_Product_13_44774</v>
      </c>
      <c r="C169" s="2" t="s">
        <v>93</v>
      </c>
      <c r="D169" s="2" t="s">
        <v>94</v>
      </c>
      <c r="E169" s="2" t="s">
        <v>34</v>
      </c>
      <c r="F169" s="2" t="s">
        <v>51</v>
      </c>
      <c r="G169" s="2" t="s">
        <v>79</v>
      </c>
      <c r="H169" s="2" t="s">
        <v>67</v>
      </c>
      <c r="I169" s="2" t="s">
        <v>95</v>
      </c>
      <c r="J169" t="s">
        <v>31</v>
      </c>
      <c r="K169">
        <v>50</v>
      </c>
      <c r="L169" s="3"/>
      <c r="M169" s="3"/>
      <c r="N169" s="3"/>
      <c r="O169" s="3">
        <f t="shared" si="7"/>
        <v>0</v>
      </c>
      <c r="P169">
        <v>48</v>
      </c>
      <c r="Q169">
        <v>362</v>
      </c>
      <c r="R169">
        <v>0</v>
      </c>
      <c r="S169">
        <v>113</v>
      </c>
      <c r="T169">
        <f t="shared" si="8"/>
        <v>-0.36</v>
      </c>
    </row>
    <row r="170" spans="1:20" x14ac:dyDescent="0.3">
      <c r="A170" s="1">
        <v>44774</v>
      </c>
      <c r="B170" s="1" t="str">
        <f t="shared" si="6"/>
        <v>Swiggy_Mundka_Product_14_44774</v>
      </c>
      <c r="C170" s="2" t="s">
        <v>96</v>
      </c>
      <c r="D170" s="2" t="s">
        <v>97</v>
      </c>
      <c r="E170" s="2" t="s">
        <v>34</v>
      </c>
      <c r="F170" s="2" t="s">
        <v>35</v>
      </c>
      <c r="G170" s="2" t="s">
        <v>36</v>
      </c>
      <c r="H170" s="2" t="s">
        <v>47</v>
      </c>
      <c r="I170" s="2" t="s">
        <v>98</v>
      </c>
      <c r="J170" t="s">
        <v>31</v>
      </c>
      <c r="K170">
        <v>5</v>
      </c>
      <c r="L170" s="3"/>
      <c r="M170" s="3"/>
      <c r="N170" s="3"/>
      <c r="O170" s="3">
        <f t="shared" si="7"/>
        <v>0</v>
      </c>
      <c r="P170">
        <v>383.52</v>
      </c>
      <c r="Q170">
        <v>223</v>
      </c>
      <c r="R170">
        <v>0</v>
      </c>
      <c r="S170">
        <v>97</v>
      </c>
      <c r="T170">
        <f t="shared" si="8"/>
        <v>3.3552</v>
      </c>
    </row>
    <row r="171" spans="1:20" x14ac:dyDescent="0.3">
      <c r="A171" s="1">
        <v>44774</v>
      </c>
      <c r="B171" s="1" t="str">
        <f t="shared" si="6"/>
        <v>Reliance_Ahmedabad_Product_5_44774</v>
      </c>
      <c r="C171" s="2" t="s">
        <v>49</v>
      </c>
      <c r="D171" s="2" t="s">
        <v>50</v>
      </c>
      <c r="E171" s="2" t="s">
        <v>34</v>
      </c>
      <c r="F171" s="2" t="s">
        <v>51</v>
      </c>
      <c r="G171" s="2" t="s">
        <v>52</v>
      </c>
      <c r="H171" s="2" t="s">
        <v>53</v>
      </c>
      <c r="I171" s="2" t="s">
        <v>54</v>
      </c>
      <c r="J171" t="s">
        <v>31</v>
      </c>
      <c r="K171">
        <v>1</v>
      </c>
      <c r="L171" s="3"/>
      <c r="M171" s="3"/>
      <c r="N171" s="3"/>
      <c r="O171" s="3">
        <f t="shared" si="7"/>
        <v>0</v>
      </c>
      <c r="P171">
        <v>383.52</v>
      </c>
      <c r="Q171">
        <v>254</v>
      </c>
      <c r="R171">
        <v>2</v>
      </c>
      <c r="S171">
        <v>132</v>
      </c>
      <c r="T171">
        <f t="shared" si="8"/>
        <v>0</v>
      </c>
    </row>
    <row r="172" spans="1:20" x14ac:dyDescent="0.3">
      <c r="A172" s="1">
        <v>44774</v>
      </c>
      <c r="B172" s="1" t="str">
        <f t="shared" si="6"/>
        <v>Jharkhand_JH-Aggregated_Product_1_44774</v>
      </c>
      <c r="C172" s="2" t="s">
        <v>24</v>
      </c>
      <c r="D172" s="2" t="s">
        <v>25</v>
      </c>
      <c r="E172" s="2" t="s">
        <v>26</v>
      </c>
      <c r="F172" s="2" t="s">
        <v>27</v>
      </c>
      <c r="G172" s="2" t="s">
        <v>28</v>
      </c>
      <c r="H172" s="2" t="s">
        <v>29</v>
      </c>
      <c r="I172" s="2" t="s">
        <v>30</v>
      </c>
      <c r="J172" t="s">
        <v>31</v>
      </c>
      <c r="K172">
        <v>2</v>
      </c>
      <c r="L172" s="3"/>
      <c r="M172" s="3"/>
      <c r="N172" s="3"/>
      <c r="O172" s="3">
        <f t="shared" si="7"/>
        <v>0</v>
      </c>
      <c r="P172">
        <v>672</v>
      </c>
      <c r="Q172">
        <v>368</v>
      </c>
      <c r="R172">
        <v>7</v>
      </c>
      <c r="S172">
        <v>111</v>
      </c>
      <c r="T172">
        <f t="shared" si="8"/>
        <v>2.8848000000000003</v>
      </c>
    </row>
    <row r="173" spans="1:20" x14ac:dyDescent="0.3">
      <c r="A173" s="1">
        <v>44805</v>
      </c>
      <c r="B173" s="1" t="str">
        <f t="shared" si="6"/>
        <v>Maharashtra_MH-Aggregated_Product_3_44805</v>
      </c>
      <c r="C173" s="2" t="s">
        <v>39</v>
      </c>
      <c r="D173" s="2" t="s">
        <v>40</v>
      </c>
      <c r="E173" s="2" t="s">
        <v>26</v>
      </c>
      <c r="F173" s="2" t="s">
        <v>41</v>
      </c>
      <c r="G173" s="2" t="s">
        <v>42</v>
      </c>
      <c r="H173" s="2" t="s">
        <v>37</v>
      </c>
      <c r="I173" s="2" t="s">
        <v>43</v>
      </c>
      <c r="J173" t="s">
        <v>31</v>
      </c>
      <c r="K173">
        <v>2</v>
      </c>
      <c r="L173" s="4"/>
      <c r="M173" s="3"/>
      <c r="N173" s="3"/>
      <c r="O173" s="3">
        <f t="shared" si="7"/>
        <v>0</v>
      </c>
      <c r="P173">
        <v>672</v>
      </c>
      <c r="Q173">
        <v>117</v>
      </c>
      <c r="R173">
        <v>1</v>
      </c>
      <c r="S173">
        <v>127</v>
      </c>
      <c r="T173">
        <f t="shared" si="8"/>
        <v>0</v>
      </c>
    </row>
    <row r="174" spans="1:20" x14ac:dyDescent="0.3">
      <c r="A174" s="1">
        <v>44805</v>
      </c>
      <c r="B174" s="1" t="str">
        <f t="shared" si="6"/>
        <v>Swiggy_Mundka_Product_14_44805</v>
      </c>
      <c r="C174" s="2" t="s">
        <v>96</v>
      </c>
      <c r="D174" s="2" t="s">
        <v>97</v>
      </c>
      <c r="E174" s="2" t="s">
        <v>34</v>
      </c>
      <c r="F174" s="2" t="s">
        <v>35</v>
      </c>
      <c r="G174" s="2" t="s">
        <v>36</v>
      </c>
      <c r="H174" s="2" t="s">
        <v>47</v>
      </c>
      <c r="I174" s="2" t="s">
        <v>98</v>
      </c>
      <c r="J174" t="s">
        <v>31</v>
      </c>
      <c r="K174">
        <v>9</v>
      </c>
      <c r="L174" s="3"/>
      <c r="M174" s="3"/>
      <c r="N174" s="3"/>
      <c r="O174" s="3">
        <f t="shared" si="7"/>
        <v>0</v>
      </c>
      <c r="P174">
        <v>421.92</v>
      </c>
      <c r="Q174">
        <v>413</v>
      </c>
      <c r="R174">
        <v>0</v>
      </c>
      <c r="S174">
        <v>97</v>
      </c>
      <c r="T174">
        <f t="shared" si="8"/>
        <v>-2.5007999999999999</v>
      </c>
    </row>
    <row r="175" spans="1:20" x14ac:dyDescent="0.3">
      <c r="A175" s="1">
        <v>44805</v>
      </c>
      <c r="B175" s="1" t="str">
        <f t="shared" si="6"/>
        <v>Reliance_Bangalore_Product_8_44805</v>
      </c>
      <c r="C175" s="2" t="s">
        <v>77</v>
      </c>
      <c r="D175" s="2" t="s">
        <v>78</v>
      </c>
      <c r="E175" s="2" t="s">
        <v>34</v>
      </c>
      <c r="F175" s="2" t="s">
        <v>51</v>
      </c>
      <c r="G175" s="2" t="s">
        <v>79</v>
      </c>
      <c r="H175" s="2" t="s">
        <v>67</v>
      </c>
      <c r="I175" s="2" t="s">
        <v>68</v>
      </c>
      <c r="J175" t="s">
        <v>31</v>
      </c>
      <c r="K175">
        <v>2</v>
      </c>
      <c r="L175" s="3"/>
      <c r="M175" s="3"/>
      <c r="N175" s="3"/>
      <c r="O175" s="3">
        <f t="shared" si="7"/>
        <v>0</v>
      </c>
      <c r="P175">
        <v>421.92</v>
      </c>
      <c r="Q175">
        <v>273</v>
      </c>
      <c r="R175">
        <v>11</v>
      </c>
      <c r="S175">
        <v>126</v>
      </c>
      <c r="T175">
        <f t="shared" si="8"/>
        <v>0</v>
      </c>
    </row>
    <row r="176" spans="1:20" x14ac:dyDescent="0.3">
      <c r="A176" s="1">
        <v>44805</v>
      </c>
      <c r="B176" s="1" t="str">
        <f t="shared" si="6"/>
        <v>Maharashtra_MH-Aggregated_Product_9_44805</v>
      </c>
      <c r="C176" s="2" t="s">
        <v>69</v>
      </c>
      <c r="D176" s="2" t="s">
        <v>70</v>
      </c>
      <c r="E176" s="2" t="s">
        <v>26</v>
      </c>
      <c r="F176" s="2" t="s">
        <v>41</v>
      </c>
      <c r="G176" s="2" t="s">
        <v>42</v>
      </c>
      <c r="H176" s="2" t="s">
        <v>37</v>
      </c>
      <c r="I176" s="2" t="s">
        <v>71</v>
      </c>
      <c r="J176" t="s">
        <v>31</v>
      </c>
      <c r="K176">
        <v>4</v>
      </c>
      <c r="L176" s="3"/>
      <c r="M176" s="3"/>
      <c r="N176" s="3"/>
      <c r="O176" s="3">
        <f t="shared" si="7"/>
        <v>0</v>
      </c>
      <c r="P176">
        <v>748.8</v>
      </c>
      <c r="Q176">
        <v>458</v>
      </c>
      <c r="R176">
        <v>0</v>
      </c>
      <c r="S176">
        <v>119</v>
      </c>
      <c r="T176">
        <f t="shared" si="8"/>
        <v>3.2687999999999993</v>
      </c>
    </row>
    <row r="177" spans="1:20" x14ac:dyDescent="0.3">
      <c r="A177" s="1">
        <v>44805</v>
      </c>
      <c r="B177" s="1" t="str">
        <f t="shared" si="6"/>
        <v>Reliance_Mundka_Product_6_44805</v>
      </c>
      <c r="C177" s="2" t="s">
        <v>55</v>
      </c>
      <c r="D177" s="2" t="s">
        <v>56</v>
      </c>
      <c r="E177" s="2" t="s">
        <v>34</v>
      </c>
      <c r="F177" s="2" t="s">
        <v>51</v>
      </c>
      <c r="G177" s="2" t="s">
        <v>36</v>
      </c>
      <c r="H177" s="2" t="s">
        <v>37</v>
      </c>
      <c r="I177" s="2" t="s">
        <v>57</v>
      </c>
      <c r="J177" t="s">
        <v>31</v>
      </c>
      <c r="K177">
        <v>2</v>
      </c>
      <c r="L177" s="3"/>
      <c r="M177" s="3"/>
      <c r="N177" s="3"/>
      <c r="O177" s="3">
        <f t="shared" si="7"/>
        <v>0</v>
      </c>
      <c r="P177">
        <v>748.8</v>
      </c>
      <c r="Q177">
        <v>419</v>
      </c>
      <c r="R177">
        <v>8</v>
      </c>
      <c r="S177">
        <v>135</v>
      </c>
      <c r="T177">
        <f t="shared" si="8"/>
        <v>0</v>
      </c>
    </row>
    <row r="178" spans="1:20" x14ac:dyDescent="0.3">
      <c r="A178" s="1">
        <v>44805</v>
      </c>
      <c r="B178" s="1" t="str">
        <f t="shared" si="6"/>
        <v>Reliance_Mundka_Product_7_44805</v>
      </c>
      <c r="C178" s="2" t="s">
        <v>58</v>
      </c>
      <c r="D178" s="2" t="s">
        <v>59</v>
      </c>
      <c r="E178" s="2" t="s">
        <v>34</v>
      </c>
      <c r="F178" s="2" t="s">
        <v>51</v>
      </c>
      <c r="G178" s="2" t="s">
        <v>36</v>
      </c>
      <c r="H178" s="2" t="s">
        <v>37</v>
      </c>
      <c r="I178" s="2" t="s">
        <v>60</v>
      </c>
      <c r="J178" t="s">
        <v>31</v>
      </c>
      <c r="K178">
        <v>5</v>
      </c>
      <c r="L178" s="3"/>
      <c r="M178" s="3"/>
      <c r="N178" s="3"/>
      <c r="O178" s="3">
        <f t="shared" si="7"/>
        <v>0</v>
      </c>
      <c r="P178">
        <v>84</v>
      </c>
      <c r="Q178">
        <v>331</v>
      </c>
      <c r="R178">
        <v>5</v>
      </c>
      <c r="S178">
        <v>117</v>
      </c>
      <c r="T178">
        <f t="shared" si="8"/>
        <v>-6.6479999999999997</v>
      </c>
    </row>
    <row r="179" spans="1:20" x14ac:dyDescent="0.3">
      <c r="A179" s="1">
        <v>44805</v>
      </c>
      <c r="B179" s="1" t="str">
        <f t="shared" si="6"/>
        <v>Swiggy_Chennai_Product_3_44805</v>
      </c>
      <c r="C179" s="2" t="s">
        <v>82</v>
      </c>
      <c r="D179" s="2" t="s">
        <v>83</v>
      </c>
      <c r="E179" s="2" t="s">
        <v>34</v>
      </c>
      <c r="F179" s="2" t="s">
        <v>35</v>
      </c>
      <c r="G179" s="2" t="s">
        <v>84</v>
      </c>
      <c r="H179" s="2" t="s">
        <v>37</v>
      </c>
      <c r="I179" s="2" t="s">
        <v>43</v>
      </c>
      <c r="J179" t="s">
        <v>31</v>
      </c>
      <c r="K179">
        <v>12</v>
      </c>
      <c r="L179" s="3"/>
      <c r="M179" s="3"/>
      <c r="N179" s="3"/>
      <c r="O179" s="3">
        <f t="shared" si="7"/>
        <v>0</v>
      </c>
      <c r="P179">
        <v>48</v>
      </c>
      <c r="Q179">
        <v>328</v>
      </c>
      <c r="R179">
        <v>3</v>
      </c>
      <c r="S179">
        <v>127</v>
      </c>
      <c r="T179">
        <f t="shared" si="8"/>
        <v>-0.36</v>
      </c>
    </row>
    <row r="180" spans="1:20" x14ac:dyDescent="0.3">
      <c r="A180" s="1">
        <v>44805</v>
      </c>
      <c r="B180" s="1" t="str">
        <f t="shared" si="6"/>
        <v>Reliance_Bhiwandi_Product_8_44805</v>
      </c>
      <c r="C180" s="2" t="s">
        <v>64</v>
      </c>
      <c r="D180" s="2" t="s">
        <v>65</v>
      </c>
      <c r="E180" s="2" t="s">
        <v>34</v>
      </c>
      <c r="F180" s="2" t="s">
        <v>51</v>
      </c>
      <c r="G180" s="2" t="s">
        <v>66</v>
      </c>
      <c r="H180" s="2" t="s">
        <v>67</v>
      </c>
      <c r="I180" s="2" t="s">
        <v>68</v>
      </c>
      <c r="J180" t="s">
        <v>31</v>
      </c>
      <c r="K180">
        <v>14</v>
      </c>
      <c r="L180" s="3"/>
      <c r="M180" s="3"/>
      <c r="N180" s="3"/>
      <c r="O180" s="3">
        <f t="shared" si="7"/>
        <v>0</v>
      </c>
      <c r="P180">
        <v>383.52</v>
      </c>
      <c r="Q180">
        <v>434</v>
      </c>
      <c r="R180">
        <v>1</v>
      </c>
      <c r="S180">
        <v>126</v>
      </c>
      <c r="T180">
        <f t="shared" si="8"/>
        <v>3.3552</v>
      </c>
    </row>
    <row r="181" spans="1:20" x14ac:dyDescent="0.3">
      <c r="A181" s="1">
        <v>44805</v>
      </c>
      <c r="B181" s="1" t="str">
        <f t="shared" si="6"/>
        <v>Reliance_Kolkata CFA_Product_12_44805</v>
      </c>
      <c r="C181" s="2" t="s">
        <v>101</v>
      </c>
      <c r="D181" s="2" t="s">
        <v>102</v>
      </c>
      <c r="E181" s="2" t="s">
        <v>34</v>
      </c>
      <c r="F181" s="2" t="s">
        <v>51</v>
      </c>
      <c r="G181" s="2" t="s">
        <v>63</v>
      </c>
      <c r="H181" s="2" t="s">
        <v>67</v>
      </c>
      <c r="I181" s="2" t="s">
        <v>92</v>
      </c>
      <c r="J181" t="s">
        <v>31</v>
      </c>
      <c r="K181">
        <v>3</v>
      </c>
      <c r="L181" s="3"/>
      <c r="M181" s="3"/>
      <c r="N181" s="3"/>
      <c r="O181" s="3">
        <f t="shared" si="7"/>
        <v>0</v>
      </c>
      <c r="P181">
        <v>383.52</v>
      </c>
      <c r="Q181">
        <v>246</v>
      </c>
      <c r="R181">
        <v>0</v>
      </c>
      <c r="S181">
        <v>94</v>
      </c>
      <c r="T181">
        <f t="shared" si="8"/>
        <v>0</v>
      </c>
    </row>
    <row r="182" spans="1:20" x14ac:dyDescent="0.3">
      <c r="A182" s="1">
        <v>44805</v>
      </c>
      <c r="B182" s="1" t="str">
        <f t="shared" si="6"/>
        <v>Swiggy_Bangalore_Product_16_44805</v>
      </c>
      <c r="C182" s="2" t="s">
        <v>107</v>
      </c>
      <c r="D182" s="2" t="s">
        <v>108</v>
      </c>
      <c r="E182" s="2" t="s">
        <v>34</v>
      </c>
      <c r="F182" s="2" t="s">
        <v>35</v>
      </c>
      <c r="G182" s="2" t="s">
        <v>79</v>
      </c>
      <c r="H182" s="2" t="s">
        <v>47</v>
      </c>
      <c r="I182" s="2" t="s">
        <v>109</v>
      </c>
      <c r="J182" t="s">
        <v>31</v>
      </c>
      <c r="K182">
        <v>6</v>
      </c>
      <c r="L182" s="3"/>
      <c r="M182" s="3"/>
      <c r="N182" s="3"/>
      <c r="O182" s="3">
        <f t="shared" si="7"/>
        <v>0</v>
      </c>
      <c r="P182">
        <v>672</v>
      </c>
      <c r="Q182">
        <v>198</v>
      </c>
      <c r="R182">
        <v>7</v>
      </c>
      <c r="S182">
        <v>122</v>
      </c>
      <c r="T182">
        <f t="shared" si="8"/>
        <v>2.8848000000000003</v>
      </c>
    </row>
    <row r="183" spans="1:20" x14ac:dyDescent="0.3">
      <c r="A183" s="1">
        <v>44805</v>
      </c>
      <c r="B183" s="1" t="str">
        <f t="shared" si="6"/>
        <v>Swiggy_Mundka_Product_2_44805</v>
      </c>
      <c r="C183" s="2" t="s">
        <v>32</v>
      </c>
      <c r="D183" s="2" t="s">
        <v>33</v>
      </c>
      <c r="E183" s="2" t="s">
        <v>34</v>
      </c>
      <c r="F183" s="2" t="s">
        <v>35</v>
      </c>
      <c r="G183" s="2" t="s">
        <v>36</v>
      </c>
      <c r="H183" s="2" t="s">
        <v>37</v>
      </c>
      <c r="I183" s="2" t="s">
        <v>38</v>
      </c>
      <c r="J183" t="s">
        <v>31</v>
      </c>
      <c r="K183">
        <v>2</v>
      </c>
      <c r="L183" s="3"/>
      <c r="M183" s="3"/>
      <c r="N183" s="3"/>
      <c r="O183" s="3">
        <f t="shared" si="7"/>
        <v>0</v>
      </c>
      <c r="P183">
        <v>672</v>
      </c>
      <c r="Q183">
        <v>393</v>
      </c>
      <c r="R183">
        <v>9</v>
      </c>
      <c r="S183">
        <v>134</v>
      </c>
      <c r="T183">
        <f t="shared" si="8"/>
        <v>0</v>
      </c>
    </row>
    <row r="184" spans="1:20" x14ac:dyDescent="0.3">
      <c r="A184" s="1">
        <v>44805</v>
      </c>
      <c r="B184" s="1" t="str">
        <f t="shared" si="6"/>
        <v>Reliance_Ahmedabad_Product_18_44805</v>
      </c>
      <c r="C184" s="2" t="s">
        <v>121</v>
      </c>
      <c r="D184" s="2" t="s">
        <v>122</v>
      </c>
      <c r="E184" s="2" t="s">
        <v>34</v>
      </c>
      <c r="F184" s="2" t="s">
        <v>51</v>
      </c>
      <c r="G184" s="2" t="s">
        <v>52</v>
      </c>
      <c r="H184" s="2" t="s">
        <v>29</v>
      </c>
      <c r="I184" s="2" t="s">
        <v>123</v>
      </c>
      <c r="J184" t="s">
        <v>31</v>
      </c>
      <c r="K184">
        <v>31</v>
      </c>
      <c r="L184" s="3"/>
      <c r="M184" s="3"/>
      <c r="N184" s="3"/>
      <c r="O184" s="3">
        <f t="shared" si="7"/>
        <v>0</v>
      </c>
      <c r="P184">
        <v>421.92</v>
      </c>
      <c r="Q184">
        <v>319</v>
      </c>
      <c r="R184">
        <v>0</v>
      </c>
      <c r="S184">
        <v>129</v>
      </c>
      <c r="T184">
        <f t="shared" si="8"/>
        <v>-2.5007999999999999</v>
      </c>
    </row>
    <row r="185" spans="1:20" x14ac:dyDescent="0.3">
      <c r="A185" s="1">
        <v>44805</v>
      </c>
      <c r="B185" s="1" t="str">
        <f t="shared" si="6"/>
        <v>Reliance_Ahmedabad_Product_7_44805</v>
      </c>
      <c r="C185" s="2" t="s">
        <v>99</v>
      </c>
      <c r="D185" s="2" t="s">
        <v>100</v>
      </c>
      <c r="E185" s="2" t="s">
        <v>34</v>
      </c>
      <c r="F185" s="2" t="s">
        <v>51</v>
      </c>
      <c r="G185" s="2" t="s">
        <v>52</v>
      </c>
      <c r="H185" s="2" t="s">
        <v>37</v>
      </c>
      <c r="I185" s="2" t="s">
        <v>60</v>
      </c>
      <c r="J185" t="s">
        <v>31</v>
      </c>
      <c r="K185">
        <v>6</v>
      </c>
      <c r="L185" s="3"/>
      <c r="M185" s="3"/>
      <c r="N185" s="3"/>
      <c r="O185" s="3">
        <f t="shared" si="7"/>
        <v>0</v>
      </c>
      <c r="P185">
        <v>421.92</v>
      </c>
      <c r="Q185">
        <v>420</v>
      </c>
      <c r="R185">
        <v>1</v>
      </c>
      <c r="S185">
        <v>117</v>
      </c>
      <c r="T185">
        <f t="shared" si="8"/>
        <v>0</v>
      </c>
    </row>
    <row r="186" spans="1:20" x14ac:dyDescent="0.3">
      <c r="A186" s="1">
        <v>44805</v>
      </c>
      <c r="B186" s="1" t="str">
        <f t="shared" si="6"/>
        <v>Reliance_Bhiwandi_Product_10_44805</v>
      </c>
      <c r="C186" s="2" t="s">
        <v>85</v>
      </c>
      <c r="D186" s="2" t="s">
        <v>86</v>
      </c>
      <c r="E186" s="2" t="s">
        <v>34</v>
      </c>
      <c r="F186" s="2" t="s">
        <v>51</v>
      </c>
      <c r="G186" s="2" t="s">
        <v>66</v>
      </c>
      <c r="H186" s="2" t="s">
        <v>67</v>
      </c>
      <c r="I186" s="2" t="s">
        <v>76</v>
      </c>
      <c r="J186" t="s">
        <v>31</v>
      </c>
      <c r="K186">
        <v>11</v>
      </c>
      <c r="L186" s="3"/>
      <c r="M186" s="3"/>
      <c r="N186" s="3"/>
      <c r="O186" s="3">
        <f t="shared" si="7"/>
        <v>0</v>
      </c>
      <c r="P186">
        <v>748.8</v>
      </c>
      <c r="Q186">
        <v>356</v>
      </c>
      <c r="R186">
        <v>0</v>
      </c>
      <c r="S186">
        <v>106</v>
      </c>
      <c r="T186">
        <f t="shared" si="8"/>
        <v>3.2687999999999993</v>
      </c>
    </row>
    <row r="187" spans="1:20" x14ac:dyDescent="0.3">
      <c r="A187" s="1">
        <v>44805</v>
      </c>
      <c r="B187" s="1" t="str">
        <f t="shared" si="6"/>
        <v>Swiggy_Kolkata CFA_Product_3_44805</v>
      </c>
      <c r="C187" s="2" t="s">
        <v>61</v>
      </c>
      <c r="D187" s="2" t="s">
        <v>62</v>
      </c>
      <c r="E187" s="2" t="s">
        <v>34</v>
      </c>
      <c r="F187" s="2" t="s">
        <v>35</v>
      </c>
      <c r="G187" s="2" t="s">
        <v>63</v>
      </c>
      <c r="H187" s="2" t="s">
        <v>37</v>
      </c>
      <c r="I187" s="2" t="s">
        <v>43</v>
      </c>
      <c r="J187" t="s">
        <v>31</v>
      </c>
      <c r="K187">
        <v>2</v>
      </c>
      <c r="L187" s="3"/>
      <c r="M187" s="3"/>
      <c r="N187" s="3"/>
      <c r="O187" s="3">
        <f t="shared" si="7"/>
        <v>0</v>
      </c>
      <c r="P187">
        <v>748.8</v>
      </c>
      <c r="Q187">
        <v>444</v>
      </c>
      <c r="R187">
        <v>0</v>
      </c>
      <c r="S187">
        <v>127</v>
      </c>
      <c r="T187">
        <f t="shared" si="8"/>
        <v>0</v>
      </c>
    </row>
    <row r="188" spans="1:20" x14ac:dyDescent="0.3">
      <c r="A188" s="1">
        <v>44805</v>
      </c>
      <c r="B188" s="1" t="str">
        <f t="shared" si="6"/>
        <v>Reliance_Bangalore_Product_3_44805</v>
      </c>
      <c r="C188" s="2" t="s">
        <v>80</v>
      </c>
      <c r="D188" s="2" t="s">
        <v>81</v>
      </c>
      <c r="E188" s="2" t="s">
        <v>34</v>
      </c>
      <c r="F188" s="2" t="s">
        <v>51</v>
      </c>
      <c r="G188" s="2" t="s">
        <v>79</v>
      </c>
      <c r="H188" s="2" t="s">
        <v>37</v>
      </c>
      <c r="I188" s="2" t="s">
        <v>43</v>
      </c>
      <c r="J188" t="s">
        <v>31</v>
      </c>
      <c r="K188">
        <v>18</v>
      </c>
      <c r="L188" s="3"/>
      <c r="M188" s="3"/>
      <c r="N188" s="3"/>
      <c r="O188" s="3">
        <f t="shared" si="7"/>
        <v>0</v>
      </c>
      <c r="P188">
        <v>84</v>
      </c>
      <c r="Q188">
        <v>339</v>
      </c>
      <c r="R188">
        <v>0</v>
      </c>
      <c r="S188">
        <v>127</v>
      </c>
      <c r="T188">
        <f t="shared" si="8"/>
        <v>-6.6479999999999997</v>
      </c>
    </row>
    <row r="189" spans="1:20" x14ac:dyDescent="0.3">
      <c r="A189" s="1">
        <v>44805</v>
      </c>
      <c r="B189" s="1" t="str">
        <f t="shared" si="6"/>
        <v>Zepto_Bangalore_Product_12_44805</v>
      </c>
      <c r="C189" s="2" t="s">
        <v>90</v>
      </c>
      <c r="D189" s="2" t="s">
        <v>91</v>
      </c>
      <c r="E189" s="2" t="s">
        <v>34</v>
      </c>
      <c r="F189" s="2" t="s">
        <v>46</v>
      </c>
      <c r="G189" s="2" t="s">
        <v>79</v>
      </c>
      <c r="H189" s="2" t="s">
        <v>67</v>
      </c>
      <c r="I189" s="2" t="s">
        <v>92</v>
      </c>
      <c r="J189" t="s">
        <v>31</v>
      </c>
      <c r="K189">
        <v>41</v>
      </c>
      <c r="L189" s="3"/>
      <c r="M189" s="3"/>
      <c r="N189" s="3"/>
      <c r="O189" s="3">
        <f t="shared" si="7"/>
        <v>0</v>
      </c>
      <c r="P189">
        <v>48</v>
      </c>
      <c r="Q189">
        <v>110</v>
      </c>
      <c r="R189">
        <v>0</v>
      </c>
      <c r="S189">
        <v>94</v>
      </c>
      <c r="T189">
        <f t="shared" si="8"/>
        <v>-0.36</v>
      </c>
    </row>
    <row r="190" spans="1:20" x14ac:dyDescent="0.3">
      <c r="A190" s="1">
        <v>44805</v>
      </c>
      <c r="B190" s="1" t="str">
        <f t="shared" si="6"/>
        <v>Reliance_Bangalore_Product_13_44805</v>
      </c>
      <c r="C190" s="2" t="s">
        <v>93</v>
      </c>
      <c r="D190" s="2" t="s">
        <v>94</v>
      </c>
      <c r="E190" s="2" t="s">
        <v>34</v>
      </c>
      <c r="F190" s="2" t="s">
        <v>51</v>
      </c>
      <c r="G190" s="2" t="s">
        <v>79</v>
      </c>
      <c r="H190" s="2" t="s">
        <v>67</v>
      </c>
      <c r="I190" s="2" t="s">
        <v>95</v>
      </c>
      <c r="J190" t="s">
        <v>31</v>
      </c>
      <c r="K190">
        <v>4</v>
      </c>
      <c r="L190" s="3"/>
      <c r="M190" s="3"/>
      <c r="N190" s="3"/>
      <c r="O190" s="3">
        <f t="shared" si="7"/>
        <v>0</v>
      </c>
      <c r="P190">
        <v>383.52</v>
      </c>
      <c r="Q190">
        <v>337</v>
      </c>
      <c r="R190">
        <v>4</v>
      </c>
      <c r="S190">
        <v>113</v>
      </c>
      <c r="T190">
        <f t="shared" si="8"/>
        <v>3.3552</v>
      </c>
    </row>
    <row r="191" spans="1:20" x14ac:dyDescent="0.3">
      <c r="A191" s="1">
        <v>44805</v>
      </c>
      <c r="B191" s="1" t="str">
        <f t="shared" si="6"/>
        <v>Reliance_Ahmedabad_Product_5_44805</v>
      </c>
      <c r="C191" s="2" t="s">
        <v>49</v>
      </c>
      <c r="D191" s="2" t="s">
        <v>50</v>
      </c>
      <c r="E191" s="2" t="s">
        <v>34</v>
      </c>
      <c r="F191" s="2" t="s">
        <v>51</v>
      </c>
      <c r="G191" s="2" t="s">
        <v>52</v>
      </c>
      <c r="H191" s="2" t="s">
        <v>53</v>
      </c>
      <c r="I191" s="2" t="s">
        <v>54</v>
      </c>
      <c r="J191" t="s">
        <v>31</v>
      </c>
      <c r="K191">
        <v>1</v>
      </c>
      <c r="L191" s="3"/>
      <c r="M191" s="3"/>
      <c r="N191" s="3"/>
      <c r="O191" s="3">
        <f t="shared" si="7"/>
        <v>0</v>
      </c>
      <c r="P191">
        <v>383.52</v>
      </c>
      <c r="Q191">
        <v>219</v>
      </c>
      <c r="R191">
        <v>4</v>
      </c>
      <c r="S191">
        <v>132</v>
      </c>
      <c r="T191">
        <f t="shared" si="8"/>
        <v>0</v>
      </c>
    </row>
    <row r="192" spans="1:20" x14ac:dyDescent="0.3">
      <c r="A192" s="1">
        <v>44835</v>
      </c>
      <c r="B192" s="1" t="str">
        <f t="shared" si="6"/>
        <v>Maharashtra_MH-Aggregated_Product_3_44835</v>
      </c>
      <c r="C192" s="2" t="s">
        <v>39</v>
      </c>
      <c r="D192" s="2" t="s">
        <v>40</v>
      </c>
      <c r="E192" s="2" t="s">
        <v>26</v>
      </c>
      <c r="F192" s="2" t="s">
        <v>41</v>
      </c>
      <c r="G192" s="2" t="s">
        <v>42</v>
      </c>
      <c r="H192" s="2" t="s">
        <v>37</v>
      </c>
      <c r="I192" s="2" t="s">
        <v>43</v>
      </c>
      <c r="J192" t="s">
        <v>31</v>
      </c>
      <c r="K192">
        <v>2</v>
      </c>
      <c r="L192" s="4"/>
      <c r="M192" s="3"/>
      <c r="N192" s="3"/>
      <c r="O192" s="3">
        <f t="shared" si="7"/>
        <v>0</v>
      </c>
      <c r="P192">
        <v>672</v>
      </c>
      <c r="Q192">
        <v>498</v>
      </c>
      <c r="R192">
        <v>0</v>
      </c>
      <c r="S192">
        <v>127</v>
      </c>
      <c r="T192">
        <f t="shared" si="8"/>
        <v>2.8848000000000003</v>
      </c>
    </row>
    <row r="193" spans="1:20" x14ac:dyDescent="0.3">
      <c r="A193" s="1">
        <v>44835</v>
      </c>
      <c r="B193" s="1" t="str">
        <f t="shared" si="6"/>
        <v>Reliance_Bhiwandi_Product_8_44835</v>
      </c>
      <c r="C193" s="2" t="s">
        <v>64</v>
      </c>
      <c r="D193" s="2" t="s">
        <v>65</v>
      </c>
      <c r="E193" s="2" t="s">
        <v>34</v>
      </c>
      <c r="F193" s="2" t="s">
        <v>51</v>
      </c>
      <c r="G193" s="2" t="s">
        <v>66</v>
      </c>
      <c r="H193" s="2" t="s">
        <v>67</v>
      </c>
      <c r="I193" s="2" t="s">
        <v>68</v>
      </c>
      <c r="J193" t="s">
        <v>31</v>
      </c>
      <c r="K193">
        <v>2</v>
      </c>
      <c r="L193" s="3"/>
      <c r="M193" s="3"/>
      <c r="N193" s="3"/>
      <c r="O193" s="3">
        <f t="shared" si="7"/>
        <v>0</v>
      </c>
      <c r="P193">
        <v>672</v>
      </c>
      <c r="Q193">
        <v>122</v>
      </c>
      <c r="R193">
        <v>2</v>
      </c>
      <c r="S193">
        <v>126</v>
      </c>
      <c r="T193">
        <f t="shared" si="8"/>
        <v>0</v>
      </c>
    </row>
    <row r="194" spans="1:20" x14ac:dyDescent="0.3">
      <c r="A194" s="1">
        <v>44835</v>
      </c>
      <c r="B194" s="1" t="str">
        <f t="shared" si="6"/>
        <v>Reliance_Bhiwandi_Product_10_44835</v>
      </c>
      <c r="C194" s="2" t="s">
        <v>85</v>
      </c>
      <c r="D194" s="2" t="s">
        <v>86</v>
      </c>
      <c r="E194" s="2" t="s">
        <v>34</v>
      </c>
      <c r="F194" s="2" t="s">
        <v>51</v>
      </c>
      <c r="G194" s="2" t="s">
        <v>66</v>
      </c>
      <c r="H194" s="2" t="s">
        <v>67</v>
      </c>
      <c r="I194" s="2" t="s">
        <v>76</v>
      </c>
      <c r="J194" t="s">
        <v>31</v>
      </c>
      <c r="K194">
        <v>7</v>
      </c>
      <c r="L194" s="3"/>
      <c r="M194" s="3"/>
      <c r="N194" s="3"/>
      <c r="O194" s="3">
        <f t="shared" si="7"/>
        <v>0</v>
      </c>
      <c r="P194">
        <v>421.92</v>
      </c>
      <c r="Q194">
        <v>209</v>
      </c>
      <c r="R194">
        <v>11</v>
      </c>
      <c r="S194">
        <v>106</v>
      </c>
      <c r="T194">
        <f t="shared" si="8"/>
        <v>-2.5007999999999999</v>
      </c>
    </row>
    <row r="195" spans="1:20" x14ac:dyDescent="0.3">
      <c r="A195" s="1">
        <v>44835</v>
      </c>
      <c r="B195" s="1" t="str">
        <f t="shared" ref="B195:B258" si="9">C195&amp;"_"&amp;A195</f>
        <v>Swiggy_Mundka_Product_14_44835</v>
      </c>
      <c r="C195" s="2" t="s">
        <v>96</v>
      </c>
      <c r="D195" s="2" t="s">
        <v>97</v>
      </c>
      <c r="E195" s="2" t="s">
        <v>34</v>
      </c>
      <c r="F195" s="2" t="s">
        <v>35</v>
      </c>
      <c r="G195" s="2" t="s">
        <v>36</v>
      </c>
      <c r="H195" s="2" t="s">
        <v>47</v>
      </c>
      <c r="I195" s="2" t="s">
        <v>98</v>
      </c>
      <c r="J195" t="s">
        <v>31</v>
      </c>
      <c r="K195">
        <v>2</v>
      </c>
      <c r="L195" s="3"/>
      <c r="M195" s="3"/>
      <c r="N195" s="3"/>
      <c r="O195" s="3">
        <f t="shared" ref="O195:O258" si="10">L195</f>
        <v>0</v>
      </c>
      <c r="P195">
        <v>421.92</v>
      </c>
      <c r="Q195">
        <v>346</v>
      </c>
      <c r="R195">
        <v>0</v>
      </c>
      <c r="S195">
        <v>97</v>
      </c>
      <c r="T195">
        <f t="shared" si="8"/>
        <v>0</v>
      </c>
    </row>
    <row r="196" spans="1:20" x14ac:dyDescent="0.3">
      <c r="A196" s="1">
        <v>44835</v>
      </c>
      <c r="B196" s="1" t="str">
        <f t="shared" si="9"/>
        <v>Maharashtra_MH-Aggregated_Product_9_44835</v>
      </c>
      <c r="C196" s="2" t="s">
        <v>69</v>
      </c>
      <c r="D196" s="2" t="s">
        <v>70</v>
      </c>
      <c r="E196" s="2" t="s">
        <v>26</v>
      </c>
      <c r="F196" s="2" t="s">
        <v>41</v>
      </c>
      <c r="G196" s="2" t="s">
        <v>42</v>
      </c>
      <c r="H196" s="2" t="s">
        <v>37</v>
      </c>
      <c r="I196" s="2" t="s">
        <v>71</v>
      </c>
      <c r="J196" t="s">
        <v>31</v>
      </c>
      <c r="K196">
        <v>4</v>
      </c>
      <c r="L196" s="3"/>
      <c r="M196" s="3"/>
      <c r="N196" s="3"/>
      <c r="O196" s="3">
        <f t="shared" si="10"/>
        <v>0</v>
      </c>
      <c r="P196">
        <v>748.8</v>
      </c>
      <c r="Q196">
        <v>224</v>
      </c>
      <c r="R196">
        <v>11</v>
      </c>
      <c r="S196">
        <v>119</v>
      </c>
      <c r="T196">
        <f t="shared" ref="T196:T259" si="11">(P196-P195)/100</f>
        <v>3.2687999999999993</v>
      </c>
    </row>
    <row r="197" spans="1:20" x14ac:dyDescent="0.3">
      <c r="A197" s="1">
        <v>44835</v>
      </c>
      <c r="B197" s="1" t="str">
        <f t="shared" si="9"/>
        <v>Swiggy_Bangalore_Product_16_44835</v>
      </c>
      <c r="C197" s="2" t="s">
        <v>107</v>
      </c>
      <c r="D197" s="2" t="s">
        <v>108</v>
      </c>
      <c r="E197" s="2" t="s">
        <v>34</v>
      </c>
      <c r="F197" s="2" t="s">
        <v>35</v>
      </c>
      <c r="G197" s="2" t="s">
        <v>79</v>
      </c>
      <c r="H197" s="2" t="s">
        <v>47</v>
      </c>
      <c r="I197" s="2" t="s">
        <v>109</v>
      </c>
      <c r="J197" t="s">
        <v>31</v>
      </c>
      <c r="K197">
        <v>2</v>
      </c>
      <c r="L197" s="3"/>
      <c r="M197" s="3"/>
      <c r="N197" s="3"/>
      <c r="O197" s="3">
        <f t="shared" si="10"/>
        <v>0</v>
      </c>
      <c r="P197">
        <v>748.8</v>
      </c>
      <c r="Q197">
        <v>374</v>
      </c>
      <c r="R197">
        <v>9</v>
      </c>
      <c r="S197">
        <v>122</v>
      </c>
      <c r="T197">
        <f t="shared" si="11"/>
        <v>0</v>
      </c>
    </row>
    <row r="198" spans="1:20" x14ac:dyDescent="0.3">
      <c r="A198" s="1">
        <v>44835</v>
      </c>
      <c r="B198" s="1" t="str">
        <f t="shared" si="9"/>
        <v>Jharkhand_JH-Aggregated_Product_19_44835</v>
      </c>
      <c r="C198" s="2" t="s">
        <v>124</v>
      </c>
      <c r="D198" s="2" t="s">
        <v>125</v>
      </c>
      <c r="E198" s="2" t="s">
        <v>26</v>
      </c>
      <c r="F198" s="2" t="s">
        <v>27</v>
      </c>
      <c r="G198" s="2" t="s">
        <v>28</v>
      </c>
      <c r="H198" s="2" t="s">
        <v>126</v>
      </c>
      <c r="I198" s="2" t="s">
        <v>127</v>
      </c>
      <c r="J198" t="s">
        <v>31</v>
      </c>
      <c r="K198">
        <v>4</v>
      </c>
      <c r="L198" s="4"/>
      <c r="M198" s="3"/>
      <c r="N198" s="3"/>
      <c r="O198" s="3">
        <f t="shared" si="10"/>
        <v>0</v>
      </c>
      <c r="P198">
        <v>84</v>
      </c>
      <c r="Q198">
        <v>406</v>
      </c>
      <c r="R198">
        <v>0</v>
      </c>
      <c r="S198">
        <v>94</v>
      </c>
      <c r="T198">
        <f t="shared" si="11"/>
        <v>-6.6479999999999997</v>
      </c>
    </row>
    <row r="199" spans="1:20" x14ac:dyDescent="0.3">
      <c r="A199" s="1">
        <v>44835</v>
      </c>
      <c r="B199" s="1" t="str">
        <f t="shared" si="9"/>
        <v>Swiggy_Mundka_Product_2_44835</v>
      </c>
      <c r="C199" s="2" t="s">
        <v>32</v>
      </c>
      <c r="D199" s="2" t="s">
        <v>33</v>
      </c>
      <c r="E199" s="2" t="s">
        <v>34</v>
      </c>
      <c r="F199" s="2" t="s">
        <v>35</v>
      </c>
      <c r="G199" s="2" t="s">
        <v>36</v>
      </c>
      <c r="H199" s="2" t="s">
        <v>37</v>
      </c>
      <c r="I199" s="2" t="s">
        <v>38</v>
      </c>
      <c r="J199" t="s">
        <v>31</v>
      </c>
      <c r="K199">
        <v>9</v>
      </c>
      <c r="L199" s="3"/>
      <c r="M199" s="3"/>
      <c r="N199" s="3"/>
      <c r="O199" s="3">
        <f t="shared" si="10"/>
        <v>0</v>
      </c>
      <c r="P199">
        <v>48</v>
      </c>
      <c r="Q199">
        <v>443</v>
      </c>
      <c r="R199">
        <v>0</v>
      </c>
      <c r="S199">
        <v>134</v>
      </c>
      <c r="T199">
        <f t="shared" si="11"/>
        <v>-0.36</v>
      </c>
    </row>
    <row r="200" spans="1:20" x14ac:dyDescent="0.3">
      <c r="A200" s="1">
        <v>44835</v>
      </c>
      <c r="B200" s="1" t="str">
        <f t="shared" si="9"/>
        <v>Swiggy_Kolkata CFA_Product_20_44835</v>
      </c>
      <c r="C200" s="2" t="s">
        <v>128</v>
      </c>
      <c r="D200" s="2" t="s">
        <v>129</v>
      </c>
      <c r="E200" s="2" t="s">
        <v>34</v>
      </c>
      <c r="F200" s="2" t="s">
        <v>35</v>
      </c>
      <c r="G200" s="2" t="s">
        <v>63</v>
      </c>
      <c r="H200" s="2" t="s">
        <v>47</v>
      </c>
      <c r="I200" s="2" t="s">
        <v>130</v>
      </c>
      <c r="J200" t="s">
        <v>31</v>
      </c>
      <c r="K200">
        <v>14</v>
      </c>
      <c r="L200" s="3"/>
      <c r="M200" s="3"/>
      <c r="N200" s="3"/>
      <c r="O200" s="3">
        <f t="shared" si="10"/>
        <v>0</v>
      </c>
      <c r="P200">
        <v>383.52</v>
      </c>
      <c r="Q200">
        <v>318</v>
      </c>
      <c r="R200">
        <v>6</v>
      </c>
      <c r="S200">
        <v>125</v>
      </c>
      <c r="T200">
        <f t="shared" si="11"/>
        <v>3.3552</v>
      </c>
    </row>
    <row r="201" spans="1:20" x14ac:dyDescent="0.3">
      <c r="A201" s="1">
        <v>44835</v>
      </c>
      <c r="B201" s="1" t="str">
        <f t="shared" si="9"/>
        <v>Reliance_Ahmedabad_Product_18_44835</v>
      </c>
      <c r="C201" s="2" t="s">
        <v>121</v>
      </c>
      <c r="D201" s="2" t="s">
        <v>122</v>
      </c>
      <c r="E201" s="2" t="s">
        <v>34</v>
      </c>
      <c r="F201" s="2" t="s">
        <v>51</v>
      </c>
      <c r="G201" s="2" t="s">
        <v>52</v>
      </c>
      <c r="H201" s="2" t="s">
        <v>29</v>
      </c>
      <c r="I201" s="2" t="s">
        <v>123</v>
      </c>
      <c r="J201" t="s">
        <v>31</v>
      </c>
      <c r="K201">
        <v>3</v>
      </c>
      <c r="L201" s="3"/>
      <c r="M201" s="3"/>
      <c r="N201" s="3"/>
      <c r="O201" s="3">
        <f t="shared" si="10"/>
        <v>0</v>
      </c>
      <c r="P201">
        <v>383.52</v>
      </c>
      <c r="Q201">
        <v>416</v>
      </c>
      <c r="R201">
        <v>0</v>
      </c>
      <c r="S201">
        <v>129</v>
      </c>
      <c r="T201">
        <f t="shared" si="11"/>
        <v>0</v>
      </c>
    </row>
    <row r="202" spans="1:20" x14ac:dyDescent="0.3">
      <c r="A202" s="1">
        <v>44835</v>
      </c>
      <c r="B202" s="1" t="str">
        <f t="shared" si="9"/>
        <v>Zepto_Bangalore_Product_12_44835</v>
      </c>
      <c r="C202" s="2" t="s">
        <v>90</v>
      </c>
      <c r="D202" s="2" t="s">
        <v>91</v>
      </c>
      <c r="E202" s="2" t="s">
        <v>34</v>
      </c>
      <c r="F202" s="2" t="s">
        <v>46</v>
      </c>
      <c r="G202" s="2" t="s">
        <v>79</v>
      </c>
      <c r="H202" s="2" t="s">
        <v>67</v>
      </c>
      <c r="I202" s="2" t="s">
        <v>92</v>
      </c>
      <c r="J202" t="s">
        <v>31</v>
      </c>
      <c r="K202">
        <v>6</v>
      </c>
      <c r="L202" s="3"/>
      <c r="M202" s="3"/>
      <c r="N202" s="3"/>
      <c r="O202" s="3">
        <f t="shared" si="10"/>
        <v>0</v>
      </c>
      <c r="P202">
        <v>672</v>
      </c>
      <c r="Q202">
        <v>228</v>
      </c>
      <c r="R202">
        <v>0</v>
      </c>
      <c r="S202">
        <v>94</v>
      </c>
      <c r="T202">
        <f t="shared" si="11"/>
        <v>2.8848000000000003</v>
      </c>
    </row>
    <row r="203" spans="1:20" x14ac:dyDescent="0.3">
      <c r="A203" s="1">
        <v>44835</v>
      </c>
      <c r="B203" s="1" t="str">
        <f t="shared" si="9"/>
        <v>Reliance_Kolkata CFA_Product_12_44835</v>
      </c>
      <c r="C203" s="2" t="s">
        <v>101</v>
      </c>
      <c r="D203" s="2" t="s">
        <v>102</v>
      </c>
      <c r="E203" s="2" t="s">
        <v>34</v>
      </c>
      <c r="F203" s="2" t="s">
        <v>51</v>
      </c>
      <c r="G203" s="2" t="s">
        <v>63</v>
      </c>
      <c r="H203" s="2" t="s">
        <v>67</v>
      </c>
      <c r="I203" s="2" t="s">
        <v>92</v>
      </c>
      <c r="J203" t="s">
        <v>31</v>
      </c>
      <c r="K203">
        <v>2</v>
      </c>
      <c r="L203" s="3"/>
      <c r="M203" s="3"/>
      <c r="N203" s="3"/>
      <c r="O203" s="3">
        <f t="shared" si="10"/>
        <v>0</v>
      </c>
      <c r="P203">
        <v>672</v>
      </c>
      <c r="Q203">
        <v>154</v>
      </c>
      <c r="R203">
        <v>0</v>
      </c>
      <c r="S203">
        <v>94</v>
      </c>
      <c r="T203">
        <f t="shared" si="11"/>
        <v>0</v>
      </c>
    </row>
    <row r="204" spans="1:20" x14ac:dyDescent="0.3">
      <c r="A204" s="1">
        <v>44835</v>
      </c>
      <c r="B204" s="1" t="str">
        <f t="shared" si="9"/>
        <v>Reliance_Mundka_Product_7_44835</v>
      </c>
      <c r="C204" s="2" t="s">
        <v>58</v>
      </c>
      <c r="D204" s="2" t="s">
        <v>59</v>
      </c>
      <c r="E204" s="2" t="s">
        <v>34</v>
      </c>
      <c r="F204" s="2" t="s">
        <v>51</v>
      </c>
      <c r="G204" s="2" t="s">
        <v>36</v>
      </c>
      <c r="H204" s="2" t="s">
        <v>37</v>
      </c>
      <c r="I204" s="2" t="s">
        <v>60</v>
      </c>
      <c r="J204" t="s">
        <v>31</v>
      </c>
      <c r="K204">
        <v>31</v>
      </c>
      <c r="L204" s="3"/>
      <c r="M204" s="3"/>
      <c r="N204" s="3"/>
      <c r="O204" s="3">
        <f t="shared" si="10"/>
        <v>0</v>
      </c>
      <c r="P204">
        <v>421.92</v>
      </c>
      <c r="Q204">
        <v>433</v>
      </c>
      <c r="R204">
        <v>1</v>
      </c>
      <c r="S204">
        <v>117</v>
      </c>
      <c r="T204">
        <f t="shared" si="11"/>
        <v>-2.5007999999999999</v>
      </c>
    </row>
    <row r="205" spans="1:20" x14ac:dyDescent="0.3">
      <c r="A205" s="1">
        <v>44835</v>
      </c>
      <c r="B205" s="1" t="str">
        <f t="shared" si="9"/>
        <v>Reliance_Bangalore_Product_8_44835</v>
      </c>
      <c r="C205" s="2" t="s">
        <v>77</v>
      </c>
      <c r="D205" s="2" t="s">
        <v>78</v>
      </c>
      <c r="E205" s="2" t="s">
        <v>34</v>
      </c>
      <c r="F205" s="2" t="s">
        <v>51</v>
      </c>
      <c r="G205" s="2" t="s">
        <v>79</v>
      </c>
      <c r="H205" s="2" t="s">
        <v>67</v>
      </c>
      <c r="I205" s="2" t="s">
        <v>68</v>
      </c>
      <c r="J205" t="s">
        <v>31</v>
      </c>
      <c r="K205">
        <v>6</v>
      </c>
      <c r="L205" s="3"/>
      <c r="M205" s="3"/>
      <c r="N205" s="3"/>
      <c r="O205" s="3">
        <f t="shared" si="10"/>
        <v>0</v>
      </c>
      <c r="P205">
        <v>421.92</v>
      </c>
      <c r="Q205">
        <v>110</v>
      </c>
      <c r="R205">
        <v>0</v>
      </c>
      <c r="S205">
        <v>126</v>
      </c>
      <c r="T205">
        <f t="shared" si="11"/>
        <v>0</v>
      </c>
    </row>
    <row r="206" spans="1:20" x14ac:dyDescent="0.3">
      <c r="A206" s="1">
        <v>44835</v>
      </c>
      <c r="B206" s="1" t="str">
        <f t="shared" si="9"/>
        <v>Reliance_Mundka_Product_6_44835</v>
      </c>
      <c r="C206" s="2" t="s">
        <v>55</v>
      </c>
      <c r="D206" s="2" t="s">
        <v>56</v>
      </c>
      <c r="E206" s="2" t="s">
        <v>34</v>
      </c>
      <c r="F206" s="2" t="s">
        <v>51</v>
      </c>
      <c r="G206" s="2" t="s">
        <v>36</v>
      </c>
      <c r="H206" s="2" t="s">
        <v>37</v>
      </c>
      <c r="I206" s="2" t="s">
        <v>57</v>
      </c>
      <c r="J206" t="s">
        <v>31</v>
      </c>
      <c r="K206">
        <v>11</v>
      </c>
      <c r="L206" s="3"/>
      <c r="M206" s="3"/>
      <c r="N206" s="3"/>
      <c r="O206" s="3">
        <f t="shared" si="10"/>
        <v>0</v>
      </c>
      <c r="P206">
        <v>748.8</v>
      </c>
      <c r="Q206">
        <v>240</v>
      </c>
      <c r="R206">
        <v>0</v>
      </c>
      <c r="S206">
        <v>135</v>
      </c>
      <c r="T206">
        <f t="shared" si="11"/>
        <v>3.2687999999999993</v>
      </c>
    </row>
    <row r="207" spans="1:20" x14ac:dyDescent="0.3">
      <c r="A207" s="1">
        <v>44835</v>
      </c>
      <c r="B207" s="1" t="str">
        <f t="shared" si="9"/>
        <v>Swiggy_Kolkata CFA_Product_11_44835</v>
      </c>
      <c r="C207" s="2" t="s">
        <v>119</v>
      </c>
      <c r="D207" s="2" t="s">
        <v>120</v>
      </c>
      <c r="E207" s="2" t="s">
        <v>34</v>
      </c>
      <c r="F207" s="2" t="s">
        <v>35</v>
      </c>
      <c r="G207" s="2" t="s">
        <v>63</v>
      </c>
      <c r="H207" s="2" t="s">
        <v>67</v>
      </c>
      <c r="I207" s="2" t="s">
        <v>89</v>
      </c>
      <c r="J207" t="s">
        <v>31</v>
      </c>
      <c r="K207">
        <v>2</v>
      </c>
      <c r="L207" s="3"/>
      <c r="M207" s="3"/>
      <c r="N207" s="3"/>
      <c r="O207" s="3">
        <f t="shared" si="10"/>
        <v>0</v>
      </c>
      <c r="P207">
        <v>748.8</v>
      </c>
      <c r="Q207">
        <v>411</v>
      </c>
      <c r="R207">
        <v>0</v>
      </c>
      <c r="S207">
        <v>131</v>
      </c>
      <c r="T207">
        <f t="shared" si="11"/>
        <v>0</v>
      </c>
    </row>
    <row r="208" spans="1:20" x14ac:dyDescent="0.3">
      <c r="A208" s="1">
        <v>44835</v>
      </c>
      <c r="B208" s="1" t="str">
        <f t="shared" si="9"/>
        <v>Swiggy_Kolkata CFA_Product_3_44835</v>
      </c>
      <c r="C208" s="2" t="s">
        <v>61</v>
      </c>
      <c r="D208" s="2" t="s">
        <v>62</v>
      </c>
      <c r="E208" s="2" t="s">
        <v>34</v>
      </c>
      <c r="F208" s="2" t="s">
        <v>35</v>
      </c>
      <c r="G208" s="2" t="s">
        <v>63</v>
      </c>
      <c r="H208" s="2" t="s">
        <v>37</v>
      </c>
      <c r="I208" s="2" t="s">
        <v>43</v>
      </c>
      <c r="J208" t="s">
        <v>31</v>
      </c>
      <c r="K208">
        <v>18</v>
      </c>
      <c r="L208" s="3"/>
      <c r="M208" s="3"/>
      <c r="N208" s="3"/>
      <c r="O208" s="3">
        <f t="shared" si="10"/>
        <v>0</v>
      </c>
      <c r="P208">
        <v>84</v>
      </c>
      <c r="Q208">
        <v>390</v>
      </c>
      <c r="R208">
        <v>5</v>
      </c>
      <c r="S208">
        <v>127</v>
      </c>
      <c r="T208">
        <f t="shared" si="11"/>
        <v>-6.6479999999999997</v>
      </c>
    </row>
    <row r="209" spans="1:20" x14ac:dyDescent="0.3">
      <c r="A209" s="1">
        <v>44835</v>
      </c>
      <c r="B209" s="1" t="str">
        <f t="shared" si="9"/>
        <v>Reliance_Ahmedabad_Product_5_44835</v>
      </c>
      <c r="C209" s="2" t="s">
        <v>49</v>
      </c>
      <c r="D209" s="2" t="s">
        <v>50</v>
      </c>
      <c r="E209" s="2" t="s">
        <v>34</v>
      </c>
      <c r="F209" s="2" t="s">
        <v>51</v>
      </c>
      <c r="G209" s="2" t="s">
        <v>52</v>
      </c>
      <c r="H209" s="2" t="s">
        <v>53</v>
      </c>
      <c r="I209" s="2" t="s">
        <v>54</v>
      </c>
      <c r="J209" t="s">
        <v>31</v>
      </c>
      <c r="K209">
        <v>41</v>
      </c>
      <c r="L209" s="3"/>
      <c r="M209" s="3"/>
      <c r="N209" s="3"/>
      <c r="O209" s="3">
        <f t="shared" si="10"/>
        <v>0</v>
      </c>
      <c r="P209">
        <v>48</v>
      </c>
      <c r="Q209">
        <v>263</v>
      </c>
      <c r="R209">
        <v>13</v>
      </c>
      <c r="S209">
        <v>132</v>
      </c>
      <c r="T209">
        <f t="shared" si="11"/>
        <v>-0.36</v>
      </c>
    </row>
    <row r="210" spans="1:20" x14ac:dyDescent="0.3">
      <c r="A210" s="1">
        <v>44835</v>
      </c>
      <c r="B210" s="1" t="str">
        <f t="shared" si="9"/>
        <v>Reliance_Ahmedabad_Product_7_44835</v>
      </c>
      <c r="C210" s="2" t="s">
        <v>99</v>
      </c>
      <c r="D210" s="2" t="s">
        <v>100</v>
      </c>
      <c r="E210" s="2" t="s">
        <v>34</v>
      </c>
      <c r="F210" s="2" t="s">
        <v>51</v>
      </c>
      <c r="G210" s="2" t="s">
        <v>52</v>
      </c>
      <c r="H210" s="2" t="s">
        <v>37</v>
      </c>
      <c r="I210" s="2" t="s">
        <v>60</v>
      </c>
      <c r="J210" t="s">
        <v>31</v>
      </c>
      <c r="K210">
        <v>29</v>
      </c>
      <c r="L210" s="3"/>
      <c r="M210" s="3"/>
      <c r="N210" s="3"/>
      <c r="O210" s="3">
        <f t="shared" si="10"/>
        <v>0</v>
      </c>
      <c r="P210">
        <v>383.52</v>
      </c>
      <c r="Q210">
        <v>500</v>
      </c>
      <c r="R210">
        <v>0</v>
      </c>
      <c r="S210">
        <v>117</v>
      </c>
      <c r="T210">
        <f t="shared" si="11"/>
        <v>3.3552</v>
      </c>
    </row>
    <row r="211" spans="1:20" x14ac:dyDescent="0.3">
      <c r="A211" s="1">
        <v>44835</v>
      </c>
      <c r="B211" s="1" t="str">
        <f t="shared" si="9"/>
        <v>Reliance_Bangalore_Product_13_44835</v>
      </c>
      <c r="C211" s="2" t="s">
        <v>93</v>
      </c>
      <c r="D211" s="2" t="s">
        <v>94</v>
      </c>
      <c r="E211" s="2" t="s">
        <v>34</v>
      </c>
      <c r="F211" s="2" t="s">
        <v>51</v>
      </c>
      <c r="G211" s="2" t="s">
        <v>79</v>
      </c>
      <c r="H211" s="2" t="s">
        <v>67</v>
      </c>
      <c r="I211" s="2" t="s">
        <v>95</v>
      </c>
      <c r="J211" t="s">
        <v>31</v>
      </c>
      <c r="K211">
        <v>6</v>
      </c>
      <c r="L211" s="3"/>
      <c r="M211" s="3"/>
      <c r="N211" s="3"/>
      <c r="O211" s="3">
        <f t="shared" si="10"/>
        <v>0</v>
      </c>
      <c r="P211">
        <v>383.52</v>
      </c>
      <c r="Q211">
        <v>150</v>
      </c>
      <c r="R211">
        <v>1</v>
      </c>
      <c r="S211">
        <v>113</v>
      </c>
      <c r="T211">
        <f t="shared" si="11"/>
        <v>0</v>
      </c>
    </row>
    <row r="212" spans="1:20" x14ac:dyDescent="0.3">
      <c r="A212" s="1">
        <v>44835</v>
      </c>
      <c r="B212" s="1" t="str">
        <f t="shared" si="9"/>
        <v>Reliance_Bangalore_Product_3_44835</v>
      </c>
      <c r="C212" s="2" t="s">
        <v>80</v>
      </c>
      <c r="D212" s="2" t="s">
        <v>81</v>
      </c>
      <c r="E212" s="2" t="s">
        <v>34</v>
      </c>
      <c r="F212" s="2" t="s">
        <v>51</v>
      </c>
      <c r="G212" s="2" t="s">
        <v>79</v>
      </c>
      <c r="H212" s="2" t="s">
        <v>37</v>
      </c>
      <c r="I212" s="2" t="s">
        <v>43</v>
      </c>
      <c r="J212" t="s">
        <v>31</v>
      </c>
      <c r="K212">
        <v>13</v>
      </c>
      <c r="L212" s="3"/>
      <c r="M212" s="3"/>
      <c r="N212" s="3"/>
      <c r="O212" s="3">
        <f t="shared" si="10"/>
        <v>0</v>
      </c>
      <c r="P212">
        <v>672</v>
      </c>
      <c r="Q212">
        <v>269</v>
      </c>
      <c r="R212">
        <v>0</v>
      </c>
      <c r="S212">
        <v>127</v>
      </c>
      <c r="T212">
        <f t="shared" si="11"/>
        <v>2.8848000000000003</v>
      </c>
    </row>
    <row r="213" spans="1:20" x14ac:dyDescent="0.3">
      <c r="A213" s="1">
        <v>44866</v>
      </c>
      <c r="B213" s="1" t="str">
        <f t="shared" si="9"/>
        <v>Jharkhand_JH-Aggregated_Product_1_44866</v>
      </c>
      <c r="C213" s="2" t="s">
        <v>24</v>
      </c>
      <c r="D213" s="2" t="s">
        <v>25</v>
      </c>
      <c r="E213" s="2" t="s">
        <v>26</v>
      </c>
      <c r="F213" s="2" t="s">
        <v>27</v>
      </c>
      <c r="G213" s="2" t="s">
        <v>28</v>
      </c>
      <c r="H213" s="2" t="s">
        <v>29</v>
      </c>
      <c r="I213" s="2" t="s">
        <v>30</v>
      </c>
      <c r="J213" t="s">
        <v>31</v>
      </c>
      <c r="K213">
        <v>3</v>
      </c>
      <c r="L213" s="3"/>
      <c r="M213" s="3"/>
      <c r="N213" s="3"/>
      <c r="O213" s="3">
        <f t="shared" si="10"/>
        <v>0</v>
      </c>
      <c r="P213">
        <v>672</v>
      </c>
      <c r="Q213">
        <v>197</v>
      </c>
      <c r="R213">
        <v>5</v>
      </c>
      <c r="S213">
        <v>111</v>
      </c>
      <c r="T213">
        <f t="shared" si="11"/>
        <v>0</v>
      </c>
    </row>
    <row r="214" spans="1:20" x14ac:dyDescent="0.3">
      <c r="A214" s="1">
        <v>44866</v>
      </c>
      <c r="B214" s="1" t="str">
        <f t="shared" si="9"/>
        <v>Reliance_Mundka_Product_7_44866</v>
      </c>
      <c r="C214" s="2" t="s">
        <v>58</v>
      </c>
      <c r="D214" s="2" t="s">
        <v>59</v>
      </c>
      <c r="E214" s="2" t="s">
        <v>34</v>
      </c>
      <c r="F214" s="2" t="s">
        <v>51</v>
      </c>
      <c r="G214" s="2" t="s">
        <v>36</v>
      </c>
      <c r="H214" s="2" t="s">
        <v>37</v>
      </c>
      <c r="I214" s="2" t="s">
        <v>60</v>
      </c>
      <c r="J214" t="s">
        <v>31</v>
      </c>
      <c r="K214">
        <v>69</v>
      </c>
      <c r="L214" s="3"/>
      <c r="M214" s="3"/>
      <c r="N214" s="3"/>
      <c r="O214" s="3">
        <f t="shared" si="10"/>
        <v>0</v>
      </c>
      <c r="P214">
        <v>421.92</v>
      </c>
      <c r="Q214">
        <v>412</v>
      </c>
      <c r="R214">
        <v>7</v>
      </c>
      <c r="S214">
        <v>117</v>
      </c>
      <c r="T214">
        <f t="shared" si="11"/>
        <v>-2.5007999999999999</v>
      </c>
    </row>
    <row r="215" spans="1:20" x14ac:dyDescent="0.3">
      <c r="A215" s="1">
        <v>44866</v>
      </c>
      <c r="B215" s="1" t="str">
        <f t="shared" si="9"/>
        <v>Reliance_Mundka_Product_6_44866</v>
      </c>
      <c r="C215" s="2" t="s">
        <v>55</v>
      </c>
      <c r="D215" s="2" t="s">
        <v>56</v>
      </c>
      <c r="E215" s="2" t="s">
        <v>34</v>
      </c>
      <c r="F215" s="2" t="s">
        <v>51</v>
      </c>
      <c r="G215" s="2" t="s">
        <v>36</v>
      </c>
      <c r="H215" s="2" t="s">
        <v>37</v>
      </c>
      <c r="I215" s="2" t="s">
        <v>57</v>
      </c>
      <c r="J215" t="s">
        <v>31</v>
      </c>
      <c r="K215">
        <v>14</v>
      </c>
      <c r="L215" s="3"/>
      <c r="M215" s="3"/>
      <c r="N215" s="3"/>
      <c r="O215" s="3">
        <f t="shared" si="10"/>
        <v>0</v>
      </c>
      <c r="P215">
        <v>421.92</v>
      </c>
      <c r="Q215">
        <v>241</v>
      </c>
      <c r="R215">
        <v>0</v>
      </c>
      <c r="S215">
        <v>135</v>
      </c>
      <c r="T215">
        <f t="shared" si="11"/>
        <v>0</v>
      </c>
    </row>
    <row r="216" spans="1:20" x14ac:dyDescent="0.3">
      <c r="A216" s="1">
        <v>44866</v>
      </c>
      <c r="B216" s="1" t="str">
        <f t="shared" si="9"/>
        <v>Swiggy_Bangalore_Product_16_44866</v>
      </c>
      <c r="C216" s="2" t="s">
        <v>107</v>
      </c>
      <c r="D216" s="2" t="s">
        <v>108</v>
      </c>
      <c r="E216" s="2" t="s">
        <v>34</v>
      </c>
      <c r="F216" s="2" t="s">
        <v>35</v>
      </c>
      <c r="G216" s="2" t="s">
        <v>79</v>
      </c>
      <c r="H216" s="2" t="s">
        <v>47</v>
      </c>
      <c r="I216" s="2" t="s">
        <v>109</v>
      </c>
      <c r="J216" t="s">
        <v>31</v>
      </c>
      <c r="K216">
        <v>23</v>
      </c>
      <c r="L216" s="3"/>
      <c r="M216" s="3"/>
      <c r="N216" s="3"/>
      <c r="O216" s="3">
        <f t="shared" si="10"/>
        <v>0</v>
      </c>
      <c r="P216">
        <v>748.8</v>
      </c>
      <c r="Q216">
        <v>142</v>
      </c>
      <c r="R216">
        <v>0</v>
      </c>
      <c r="S216">
        <v>122</v>
      </c>
      <c r="T216">
        <f t="shared" si="11"/>
        <v>3.2687999999999993</v>
      </c>
    </row>
    <row r="217" spans="1:20" x14ac:dyDescent="0.3">
      <c r="A217" s="1">
        <v>44866</v>
      </c>
      <c r="B217" s="1" t="str">
        <f t="shared" si="9"/>
        <v>Reliance_Bangalore_Product_8_44866</v>
      </c>
      <c r="C217" s="2" t="s">
        <v>77</v>
      </c>
      <c r="D217" s="2" t="s">
        <v>78</v>
      </c>
      <c r="E217" s="2" t="s">
        <v>34</v>
      </c>
      <c r="F217" s="2" t="s">
        <v>51</v>
      </c>
      <c r="G217" s="2" t="s">
        <v>79</v>
      </c>
      <c r="H217" s="2" t="s">
        <v>67</v>
      </c>
      <c r="I217" s="2" t="s">
        <v>68</v>
      </c>
      <c r="J217" t="s">
        <v>31</v>
      </c>
      <c r="K217">
        <v>4</v>
      </c>
      <c r="L217" s="3"/>
      <c r="M217" s="3"/>
      <c r="N217" s="3"/>
      <c r="O217" s="3">
        <f t="shared" si="10"/>
        <v>0</v>
      </c>
      <c r="P217">
        <v>748.8</v>
      </c>
      <c r="Q217">
        <v>440</v>
      </c>
      <c r="R217">
        <v>11</v>
      </c>
      <c r="S217">
        <v>126</v>
      </c>
      <c r="T217">
        <f t="shared" si="11"/>
        <v>0</v>
      </c>
    </row>
    <row r="218" spans="1:20" x14ac:dyDescent="0.3">
      <c r="A218" s="1">
        <v>44866</v>
      </c>
      <c r="B218" s="1" t="str">
        <f t="shared" si="9"/>
        <v>Swiggy_Mundka_Product_14_44866</v>
      </c>
      <c r="C218" s="2" t="s">
        <v>96</v>
      </c>
      <c r="D218" s="2" t="s">
        <v>97</v>
      </c>
      <c r="E218" s="2" t="s">
        <v>34</v>
      </c>
      <c r="F218" s="2" t="s">
        <v>35</v>
      </c>
      <c r="G218" s="2" t="s">
        <v>36</v>
      </c>
      <c r="H218" s="2" t="s">
        <v>47</v>
      </c>
      <c r="I218" s="2" t="s">
        <v>98</v>
      </c>
      <c r="J218" t="s">
        <v>31</v>
      </c>
      <c r="K218">
        <v>41</v>
      </c>
      <c r="L218" s="3"/>
      <c r="M218" s="3"/>
      <c r="N218" s="3"/>
      <c r="O218" s="3">
        <f t="shared" si="10"/>
        <v>0</v>
      </c>
      <c r="P218">
        <v>84</v>
      </c>
      <c r="Q218">
        <v>109</v>
      </c>
      <c r="R218">
        <v>9</v>
      </c>
      <c r="S218">
        <v>97</v>
      </c>
      <c r="T218">
        <f t="shared" si="11"/>
        <v>-6.6479999999999997</v>
      </c>
    </row>
    <row r="219" spans="1:20" x14ac:dyDescent="0.3">
      <c r="A219" s="1">
        <v>44866</v>
      </c>
      <c r="B219" s="1" t="str">
        <f t="shared" si="9"/>
        <v>Reliance_Bhiwandi_Product_11_44866</v>
      </c>
      <c r="C219" s="2" t="s">
        <v>87</v>
      </c>
      <c r="D219" s="2" t="s">
        <v>88</v>
      </c>
      <c r="E219" s="2" t="s">
        <v>34</v>
      </c>
      <c r="F219" s="2" t="s">
        <v>51</v>
      </c>
      <c r="G219" s="2" t="s">
        <v>66</v>
      </c>
      <c r="H219" s="2" t="s">
        <v>67</v>
      </c>
      <c r="I219" s="2" t="s">
        <v>89</v>
      </c>
      <c r="J219" t="s">
        <v>31</v>
      </c>
      <c r="K219">
        <v>92</v>
      </c>
      <c r="L219" s="3"/>
      <c r="M219" s="3"/>
      <c r="N219" s="3"/>
      <c r="O219" s="3">
        <f t="shared" si="10"/>
        <v>0</v>
      </c>
      <c r="P219">
        <v>48</v>
      </c>
      <c r="Q219">
        <v>290</v>
      </c>
      <c r="R219">
        <v>0</v>
      </c>
      <c r="S219">
        <v>131</v>
      </c>
      <c r="T219">
        <f t="shared" si="11"/>
        <v>-0.36</v>
      </c>
    </row>
    <row r="220" spans="1:20" x14ac:dyDescent="0.3">
      <c r="A220" s="1">
        <v>44866</v>
      </c>
      <c r="B220" s="1" t="str">
        <f t="shared" si="9"/>
        <v>Reliance_Bhiwandi_Product_8_44866</v>
      </c>
      <c r="C220" s="2" t="s">
        <v>64</v>
      </c>
      <c r="D220" s="2" t="s">
        <v>65</v>
      </c>
      <c r="E220" s="2" t="s">
        <v>34</v>
      </c>
      <c r="F220" s="2" t="s">
        <v>51</v>
      </c>
      <c r="G220" s="2" t="s">
        <v>66</v>
      </c>
      <c r="H220" s="2" t="s">
        <v>67</v>
      </c>
      <c r="I220" s="2" t="s">
        <v>68</v>
      </c>
      <c r="J220" t="s">
        <v>31</v>
      </c>
      <c r="K220">
        <v>3</v>
      </c>
      <c r="L220" s="3"/>
      <c r="M220" s="3"/>
      <c r="N220" s="3"/>
      <c r="O220" s="3">
        <f t="shared" si="10"/>
        <v>0</v>
      </c>
      <c r="P220">
        <v>383.52</v>
      </c>
      <c r="Q220">
        <v>398</v>
      </c>
      <c r="R220">
        <v>0</v>
      </c>
      <c r="S220">
        <v>126</v>
      </c>
      <c r="T220">
        <f t="shared" si="11"/>
        <v>3.3552</v>
      </c>
    </row>
    <row r="221" spans="1:20" x14ac:dyDescent="0.3">
      <c r="A221" s="1">
        <v>44866</v>
      </c>
      <c r="B221" s="1" t="str">
        <f t="shared" si="9"/>
        <v>Maharashtra_MH-Aggregated_Product_9_44866</v>
      </c>
      <c r="C221" s="2" t="s">
        <v>69</v>
      </c>
      <c r="D221" s="2" t="s">
        <v>70</v>
      </c>
      <c r="E221" s="2" t="s">
        <v>26</v>
      </c>
      <c r="F221" s="2" t="s">
        <v>41</v>
      </c>
      <c r="G221" s="2" t="s">
        <v>42</v>
      </c>
      <c r="H221" s="2" t="s">
        <v>37</v>
      </c>
      <c r="I221" s="2" t="s">
        <v>71</v>
      </c>
      <c r="J221" t="s">
        <v>31</v>
      </c>
      <c r="K221">
        <v>1</v>
      </c>
      <c r="L221" s="3"/>
      <c r="M221" s="3"/>
      <c r="N221" s="3"/>
      <c r="O221" s="3">
        <f t="shared" si="10"/>
        <v>0</v>
      </c>
      <c r="P221">
        <v>383.52</v>
      </c>
      <c r="Q221">
        <v>401</v>
      </c>
      <c r="R221">
        <v>0</v>
      </c>
      <c r="S221">
        <v>119</v>
      </c>
      <c r="T221">
        <f t="shared" si="11"/>
        <v>0</v>
      </c>
    </row>
    <row r="222" spans="1:20" x14ac:dyDescent="0.3">
      <c r="A222" s="1">
        <v>44866</v>
      </c>
      <c r="B222" s="1" t="str">
        <f t="shared" si="9"/>
        <v>Reliance_Chennai_Product_11_44866</v>
      </c>
      <c r="C222" s="2" t="s">
        <v>110</v>
      </c>
      <c r="D222" s="2" t="s">
        <v>111</v>
      </c>
      <c r="E222" s="2" t="s">
        <v>34</v>
      </c>
      <c r="F222" s="2" t="s">
        <v>51</v>
      </c>
      <c r="G222" s="2" t="s">
        <v>84</v>
      </c>
      <c r="H222" s="2" t="s">
        <v>67</v>
      </c>
      <c r="I222" s="2" t="s">
        <v>89</v>
      </c>
      <c r="J222" t="s">
        <v>31</v>
      </c>
      <c r="K222">
        <v>1</v>
      </c>
      <c r="L222" s="3"/>
      <c r="M222" s="3"/>
      <c r="N222" s="3"/>
      <c r="O222" s="3">
        <f t="shared" si="10"/>
        <v>0</v>
      </c>
      <c r="P222">
        <v>672</v>
      </c>
      <c r="Q222">
        <v>130</v>
      </c>
      <c r="R222">
        <v>9</v>
      </c>
      <c r="S222">
        <v>131</v>
      </c>
      <c r="T222">
        <f t="shared" si="11"/>
        <v>2.8848000000000003</v>
      </c>
    </row>
    <row r="223" spans="1:20" x14ac:dyDescent="0.3">
      <c r="A223" s="1">
        <v>44866</v>
      </c>
      <c r="B223" s="1" t="str">
        <f t="shared" si="9"/>
        <v>Zepto_Bhiwandi_Product_10_44866</v>
      </c>
      <c r="C223" s="2" t="s">
        <v>74</v>
      </c>
      <c r="D223" s="2" t="s">
        <v>75</v>
      </c>
      <c r="E223" s="2" t="s">
        <v>34</v>
      </c>
      <c r="F223" s="2" t="s">
        <v>46</v>
      </c>
      <c r="G223" s="2" t="s">
        <v>66</v>
      </c>
      <c r="H223" s="2" t="s">
        <v>67</v>
      </c>
      <c r="I223" s="2" t="s">
        <v>76</v>
      </c>
      <c r="J223" t="s">
        <v>31</v>
      </c>
      <c r="K223">
        <v>2</v>
      </c>
      <c r="L223" s="3"/>
      <c r="M223" s="3"/>
      <c r="N223" s="3"/>
      <c r="O223" s="3">
        <f t="shared" si="10"/>
        <v>0</v>
      </c>
      <c r="P223">
        <v>672</v>
      </c>
      <c r="Q223">
        <v>144</v>
      </c>
      <c r="R223">
        <v>7</v>
      </c>
      <c r="S223">
        <v>106</v>
      </c>
      <c r="T223">
        <f t="shared" si="11"/>
        <v>0</v>
      </c>
    </row>
    <row r="224" spans="1:20" x14ac:dyDescent="0.3">
      <c r="A224" s="1">
        <v>44866</v>
      </c>
      <c r="B224" s="1" t="str">
        <f t="shared" si="9"/>
        <v>Reliance_Kolkata CFA_Product_12_44866</v>
      </c>
      <c r="C224" s="2" t="s">
        <v>101</v>
      </c>
      <c r="D224" s="2" t="s">
        <v>102</v>
      </c>
      <c r="E224" s="2" t="s">
        <v>34</v>
      </c>
      <c r="F224" s="2" t="s">
        <v>51</v>
      </c>
      <c r="G224" s="2" t="s">
        <v>63</v>
      </c>
      <c r="H224" s="2" t="s">
        <v>67</v>
      </c>
      <c r="I224" s="2" t="s">
        <v>92</v>
      </c>
      <c r="J224" t="s">
        <v>31</v>
      </c>
      <c r="K224">
        <v>4</v>
      </c>
      <c r="L224" s="3"/>
      <c r="M224" s="3"/>
      <c r="N224" s="3"/>
      <c r="O224" s="3">
        <f t="shared" si="10"/>
        <v>0</v>
      </c>
      <c r="P224">
        <v>421.92</v>
      </c>
      <c r="Q224">
        <v>487</v>
      </c>
      <c r="R224">
        <v>8</v>
      </c>
      <c r="S224">
        <v>94</v>
      </c>
      <c r="T224">
        <f t="shared" si="11"/>
        <v>-2.5007999999999999</v>
      </c>
    </row>
    <row r="225" spans="1:20" x14ac:dyDescent="0.3">
      <c r="A225" s="1">
        <v>44866</v>
      </c>
      <c r="B225" s="1" t="str">
        <f t="shared" si="9"/>
        <v>Maharashtra_MH-Aggregated_Product_3_44866</v>
      </c>
      <c r="C225" s="2" t="s">
        <v>39</v>
      </c>
      <c r="D225" s="2" t="s">
        <v>40</v>
      </c>
      <c r="E225" s="2" t="s">
        <v>26</v>
      </c>
      <c r="F225" s="2" t="s">
        <v>41</v>
      </c>
      <c r="G225" s="2" t="s">
        <v>42</v>
      </c>
      <c r="H225" s="2" t="s">
        <v>37</v>
      </c>
      <c r="I225" s="2" t="s">
        <v>43</v>
      </c>
      <c r="J225" t="s">
        <v>31</v>
      </c>
      <c r="K225">
        <v>1</v>
      </c>
      <c r="L225" s="3"/>
      <c r="M225" s="3"/>
      <c r="N225" s="3"/>
      <c r="O225" s="3">
        <f t="shared" si="10"/>
        <v>0</v>
      </c>
      <c r="P225">
        <v>421.92</v>
      </c>
      <c r="Q225">
        <v>194</v>
      </c>
      <c r="R225">
        <v>0</v>
      </c>
      <c r="S225">
        <v>127</v>
      </c>
      <c r="T225">
        <f t="shared" si="11"/>
        <v>0</v>
      </c>
    </row>
    <row r="226" spans="1:20" x14ac:dyDescent="0.3">
      <c r="A226" s="1">
        <v>44866</v>
      </c>
      <c r="B226" s="1" t="str">
        <f t="shared" si="9"/>
        <v>Reliance_Ahmedabad_Product_5_44866</v>
      </c>
      <c r="C226" s="2" t="s">
        <v>49</v>
      </c>
      <c r="D226" s="2" t="s">
        <v>50</v>
      </c>
      <c r="E226" s="2" t="s">
        <v>34</v>
      </c>
      <c r="F226" s="2" t="s">
        <v>51</v>
      </c>
      <c r="G226" s="2" t="s">
        <v>52</v>
      </c>
      <c r="H226" s="2" t="s">
        <v>53</v>
      </c>
      <c r="I226" s="2" t="s">
        <v>54</v>
      </c>
      <c r="J226" t="s">
        <v>31</v>
      </c>
      <c r="K226">
        <v>3</v>
      </c>
      <c r="L226" s="3"/>
      <c r="M226" s="3"/>
      <c r="N226" s="3"/>
      <c r="O226" s="3">
        <f t="shared" si="10"/>
        <v>0</v>
      </c>
      <c r="P226">
        <v>748.8</v>
      </c>
      <c r="Q226">
        <v>352</v>
      </c>
      <c r="R226">
        <v>0</v>
      </c>
      <c r="S226">
        <v>132</v>
      </c>
      <c r="T226">
        <f t="shared" si="11"/>
        <v>3.2687999999999993</v>
      </c>
    </row>
    <row r="227" spans="1:20" x14ac:dyDescent="0.3">
      <c r="A227" s="1">
        <v>44866</v>
      </c>
      <c r="B227" s="1" t="str">
        <f t="shared" si="9"/>
        <v>Swiggy_Kolkata CFA_Product_20_44866</v>
      </c>
      <c r="C227" s="2" t="s">
        <v>128</v>
      </c>
      <c r="D227" s="2" t="s">
        <v>129</v>
      </c>
      <c r="E227" s="2" t="s">
        <v>34</v>
      </c>
      <c r="F227" s="2" t="s">
        <v>35</v>
      </c>
      <c r="G227" s="2" t="s">
        <v>63</v>
      </c>
      <c r="H227" s="2" t="s">
        <v>47</v>
      </c>
      <c r="I227" s="2" t="s">
        <v>130</v>
      </c>
      <c r="J227" t="s">
        <v>31</v>
      </c>
      <c r="K227">
        <v>2</v>
      </c>
      <c r="L227" s="3"/>
      <c r="M227" s="3"/>
      <c r="N227" s="3"/>
      <c r="O227" s="3">
        <f t="shared" si="10"/>
        <v>0</v>
      </c>
      <c r="P227">
        <v>748.8</v>
      </c>
      <c r="Q227">
        <v>387</v>
      </c>
      <c r="R227">
        <v>4</v>
      </c>
      <c r="S227">
        <v>125</v>
      </c>
      <c r="T227">
        <f t="shared" si="11"/>
        <v>0</v>
      </c>
    </row>
    <row r="228" spans="1:20" x14ac:dyDescent="0.3">
      <c r="A228" s="1">
        <v>44866</v>
      </c>
      <c r="B228" s="1" t="str">
        <f t="shared" si="9"/>
        <v>Swiggy_Mundka_Product_2_44866</v>
      </c>
      <c r="C228" s="2" t="s">
        <v>32</v>
      </c>
      <c r="D228" s="2" t="s">
        <v>33</v>
      </c>
      <c r="E228" s="2" t="s">
        <v>34</v>
      </c>
      <c r="F228" s="2" t="s">
        <v>35</v>
      </c>
      <c r="G228" s="2" t="s">
        <v>36</v>
      </c>
      <c r="H228" s="2" t="s">
        <v>37</v>
      </c>
      <c r="I228" s="2" t="s">
        <v>38</v>
      </c>
      <c r="J228" t="s">
        <v>31</v>
      </c>
      <c r="K228">
        <v>2</v>
      </c>
      <c r="L228" s="3"/>
      <c r="M228" s="3"/>
      <c r="N228" s="3"/>
      <c r="O228" s="3">
        <f t="shared" si="10"/>
        <v>0</v>
      </c>
      <c r="P228">
        <v>84</v>
      </c>
      <c r="Q228">
        <v>341</v>
      </c>
      <c r="R228">
        <v>0</v>
      </c>
      <c r="S228">
        <v>134</v>
      </c>
      <c r="T228">
        <f t="shared" si="11"/>
        <v>-6.6479999999999997</v>
      </c>
    </row>
    <row r="229" spans="1:20" x14ac:dyDescent="0.3">
      <c r="A229" s="1">
        <v>44866</v>
      </c>
      <c r="B229" s="1" t="str">
        <f t="shared" si="9"/>
        <v>Swiggy_Kolkata CFA_Product_3_44866</v>
      </c>
      <c r="C229" s="2" t="s">
        <v>61</v>
      </c>
      <c r="D229" s="2" t="s">
        <v>62</v>
      </c>
      <c r="E229" s="2" t="s">
        <v>34</v>
      </c>
      <c r="F229" s="2" t="s">
        <v>35</v>
      </c>
      <c r="G229" s="2" t="s">
        <v>63</v>
      </c>
      <c r="H229" s="2" t="s">
        <v>37</v>
      </c>
      <c r="I229" s="2" t="s">
        <v>43</v>
      </c>
      <c r="J229" t="s">
        <v>31</v>
      </c>
      <c r="K229">
        <v>5</v>
      </c>
      <c r="L229" s="3"/>
      <c r="M229" s="3"/>
      <c r="N229" s="3"/>
      <c r="O229" s="3">
        <f t="shared" si="10"/>
        <v>0</v>
      </c>
      <c r="P229">
        <v>48</v>
      </c>
      <c r="Q229">
        <v>280</v>
      </c>
      <c r="R229">
        <v>0</v>
      </c>
      <c r="S229">
        <v>127</v>
      </c>
      <c r="T229">
        <f t="shared" si="11"/>
        <v>-0.36</v>
      </c>
    </row>
    <row r="230" spans="1:20" x14ac:dyDescent="0.3">
      <c r="A230" s="1">
        <v>44866</v>
      </c>
      <c r="B230" s="1" t="str">
        <f t="shared" si="9"/>
        <v>Swiggy_Kolkata CFA_Product_11_44866</v>
      </c>
      <c r="C230" s="2" t="s">
        <v>119</v>
      </c>
      <c r="D230" s="2" t="s">
        <v>120</v>
      </c>
      <c r="E230" s="2" t="s">
        <v>34</v>
      </c>
      <c r="F230" s="2" t="s">
        <v>35</v>
      </c>
      <c r="G230" s="2" t="s">
        <v>63</v>
      </c>
      <c r="H230" s="2" t="s">
        <v>67</v>
      </c>
      <c r="I230" s="2" t="s">
        <v>89</v>
      </c>
      <c r="J230" t="s">
        <v>31</v>
      </c>
      <c r="K230">
        <v>8</v>
      </c>
      <c r="L230" s="3"/>
      <c r="M230" s="3"/>
      <c r="N230" s="3"/>
      <c r="O230" s="3">
        <f t="shared" si="10"/>
        <v>0</v>
      </c>
      <c r="P230">
        <v>383.52</v>
      </c>
      <c r="Q230">
        <v>368</v>
      </c>
      <c r="R230">
        <v>0</v>
      </c>
      <c r="S230">
        <v>131</v>
      </c>
      <c r="T230">
        <f t="shared" si="11"/>
        <v>3.3552</v>
      </c>
    </row>
    <row r="231" spans="1:20" x14ac:dyDescent="0.3">
      <c r="A231" s="1">
        <v>44866</v>
      </c>
      <c r="B231" s="1" t="str">
        <f t="shared" si="9"/>
        <v>Swiggy_Chennai_Product_3_44866</v>
      </c>
      <c r="C231" s="2" t="s">
        <v>82</v>
      </c>
      <c r="D231" s="2" t="s">
        <v>83</v>
      </c>
      <c r="E231" s="2" t="s">
        <v>34</v>
      </c>
      <c r="F231" s="2" t="s">
        <v>35</v>
      </c>
      <c r="G231" s="2" t="s">
        <v>84</v>
      </c>
      <c r="H231" s="2" t="s">
        <v>37</v>
      </c>
      <c r="I231" s="2" t="s">
        <v>43</v>
      </c>
      <c r="J231" t="s">
        <v>31</v>
      </c>
      <c r="K231">
        <v>2</v>
      </c>
      <c r="L231" s="3"/>
      <c r="M231" s="3"/>
      <c r="N231" s="3"/>
      <c r="O231" s="3">
        <f t="shared" si="10"/>
        <v>0</v>
      </c>
      <c r="P231">
        <v>383.52</v>
      </c>
      <c r="Q231">
        <v>101</v>
      </c>
      <c r="R231">
        <v>4</v>
      </c>
      <c r="S231">
        <v>127</v>
      </c>
      <c r="T231">
        <f t="shared" si="11"/>
        <v>0</v>
      </c>
    </row>
    <row r="232" spans="1:20" x14ac:dyDescent="0.3">
      <c r="A232" s="1">
        <v>44866</v>
      </c>
      <c r="B232" s="1" t="str">
        <f t="shared" si="9"/>
        <v>Reliance_Bhiwandi_Product_10_44866</v>
      </c>
      <c r="C232" s="2" t="s">
        <v>85</v>
      </c>
      <c r="D232" s="2" t="s">
        <v>86</v>
      </c>
      <c r="E232" s="2" t="s">
        <v>34</v>
      </c>
      <c r="F232" s="2" t="s">
        <v>51</v>
      </c>
      <c r="G232" s="2" t="s">
        <v>66</v>
      </c>
      <c r="H232" s="2" t="s">
        <v>67</v>
      </c>
      <c r="I232" s="2" t="s">
        <v>76</v>
      </c>
      <c r="J232" t="s">
        <v>31</v>
      </c>
      <c r="K232">
        <v>5</v>
      </c>
      <c r="L232" s="3"/>
      <c r="M232" s="3"/>
      <c r="N232" s="3"/>
      <c r="O232" s="3">
        <f t="shared" si="10"/>
        <v>0</v>
      </c>
      <c r="P232">
        <v>383.52</v>
      </c>
      <c r="Q232">
        <v>315</v>
      </c>
      <c r="R232">
        <v>0</v>
      </c>
      <c r="S232">
        <v>106</v>
      </c>
      <c r="T232">
        <f t="shared" si="11"/>
        <v>0</v>
      </c>
    </row>
    <row r="233" spans="1:20" x14ac:dyDescent="0.3">
      <c r="A233" s="1">
        <v>44866</v>
      </c>
      <c r="B233" s="1" t="str">
        <f t="shared" si="9"/>
        <v>Zepto_Bangalore_Product_12_44866</v>
      </c>
      <c r="C233" s="2" t="s">
        <v>90</v>
      </c>
      <c r="D233" s="2" t="s">
        <v>91</v>
      </c>
      <c r="E233" s="2" t="s">
        <v>34</v>
      </c>
      <c r="F233" s="2" t="s">
        <v>46</v>
      </c>
      <c r="G233" s="2" t="s">
        <v>79</v>
      </c>
      <c r="H233" s="2" t="s">
        <v>67</v>
      </c>
      <c r="I233" s="2" t="s">
        <v>92</v>
      </c>
      <c r="J233" t="s">
        <v>31</v>
      </c>
      <c r="K233">
        <v>1</v>
      </c>
      <c r="L233" s="3"/>
      <c r="M233" s="3"/>
      <c r="N233" s="3"/>
      <c r="O233" s="3">
        <f t="shared" si="10"/>
        <v>0</v>
      </c>
      <c r="P233">
        <v>383.52</v>
      </c>
      <c r="Q233">
        <v>327</v>
      </c>
      <c r="R233">
        <v>0</v>
      </c>
      <c r="S233">
        <v>94</v>
      </c>
      <c r="T233">
        <f t="shared" si="11"/>
        <v>0</v>
      </c>
    </row>
    <row r="234" spans="1:20" x14ac:dyDescent="0.3">
      <c r="A234" s="1">
        <v>44866</v>
      </c>
      <c r="B234" s="1" t="str">
        <f t="shared" si="9"/>
        <v>Reliance_Bangalore_Product_3_44866</v>
      </c>
      <c r="C234" s="2" t="s">
        <v>80</v>
      </c>
      <c r="D234" s="2" t="s">
        <v>81</v>
      </c>
      <c r="E234" s="2" t="s">
        <v>34</v>
      </c>
      <c r="F234" s="2" t="s">
        <v>51</v>
      </c>
      <c r="G234" s="2" t="s">
        <v>79</v>
      </c>
      <c r="H234" s="2" t="s">
        <v>37</v>
      </c>
      <c r="I234" s="2" t="s">
        <v>43</v>
      </c>
      <c r="J234" t="s">
        <v>31</v>
      </c>
      <c r="K234">
        <v>6</v>
      </c>
      <c r="L234" s="3"/>
      <c r="M234" s="3"/>
      <c r="N234" s="3"/>
      <c r="O234" s="3">
        <f t="shared" si="10"/>
        <v>0</v>
      </c>
      <c r="P234">
        <v>383.52</v>
      </c>
      <c r="Q234">
        <v>373</v>
      </c>
      <c r="R234">
        <v>5</v>
      </c>
      <c r="S234">
        <v>127</v>
      </c>
      <c r="T234">
        <f t="shared" si="11"/>
        <v>0</v>
      </c>
    </row>
    <row r="235" spans="1:20" x14ac:dyDescent="0.3">
      <c r="A235" s="1">
        <v>44866</v>
      </c>
      <c r="B235" s="1" t="str">
        <f t="shared" si="9"/>
        <v>Reliance_Ahmedabad_Product_18_44866</v>
      </c>
      <c r="C235" s="2" t="s">
        <v>121</v>
      </c>
      <c r="D235" s="2" t="s">
        <v>122</v>
      </c>
      <c r="E235" s="2" t="s">
        <v>34</v>
      </c>
      <c r="F235" s="2" t="s">
        <v>51</v>
      </c>
      <c r="G235" s="2" t="s">
        <v>52</v>
      </c>
      <c r="H235" s="2" t="s">
        <v>29</v>
      </c>
      <c r="I235" s="2" t="s">
        <v>123</v>
      </c>
      <c r="J235" t="s">
        <v>31</v>
      </c>
      <c r="K235">
        <v>1</v>
      </c>
      <c r="L235" s="3"/>
      <c r="M235" s="3"/>
      <c r="N235" s="3"/>
      <c r="O235" s="3">
        <f t="shared" si="10"/>
        <v>0</v>
      </c>
      <c r="P235">
        <v>383.52</v>
      </c>
      <c r="Q235">
        <v>414</v>
      </c>
      <c r="R235">
        <v>0</v>
      </c>
      <c r="S235">
        <v>129</v>
      </c>
      <c r="T235">
        <f t="shared" si="11"/>
        <v>0</v>
      </c>
    </row>
    <row r="236" spans="1:20" x14ac:dyDescent="0.3">
      <c r="A236" s="1">
        <v>44866</v>
      </c>
      <c r="B236" s="1" t="str">
        <f t="shared" si="9"/>
        <v>Reliance_Bangalore_Product_13_44866</v>
      </c>
      <c r="C236" s="2" t="s">
        <v>93</v>
      </c>
      <c r="D236" s="2" t="s">
        <v>94</v>
      </c>
      <c r="E236" s="2" t="s">
        <v>34</v>
      </c>
      <c r="F236" s="2" t="s">
        <v>51</v>
      </c>
      <c r="G236" s="2" t="s">
        <v>79</v>
      </c>
      <c r="H236" s="2" t="s">
        <v>67</v>
      </c>
      <c r="I236" s="2" t="s">
        <v>95</v>
      </c>
      <c r="J236" t="s">
        <v>31</v>
      </c>
      <c r="K236">
        <v>3</v>
      </c>
      <c r="L236" s="3"/>
      <c r="M236" s="3"/>
      <c r="N236" s="3"/>
      <c r="O236" s="3">
        <f t="shared" si="10"/>
        <v>0</v>
      </c>
      <c r="P236">
        <v>672</v>
      </c>
      <c r="Q236">
        <v>271</v>
      </c>
      <c r="R236">
        <v>13</v>
      </c>
      <c r="S236">
        <v>113</v>
      </c>
      <c r="T236">
        <f t="shared" si="11"/>
        <v>2.8848000000000003</v>
      </c>
    </row>
    <row r="237" spans="1:20" x14ac:dyDescent="0.3">
      <c r="A237" s="1">
        <v>44866</v>
      </c>
      <c r="B237" s="1" t="str">
        <f t="shared" si="9"/>
        <v>Jharkhand_JH-Aggregated_Product_19_44866</v>
      </c>
      <c r="C237" s="2" t="s">
        <v>124</v>
      </c>
      <c r="D237" s="2" t="s">
        <v>125</v>
      </c>
      <c r="E237" s="2" t="s">
        <v>26</v>
      </c>
      <c r="F237" s="2" t="s">
        <v>27</v>
      </c>
      <c r="G237" s="2" t="s">
        <v>28</v>
      </c>
      <c r="H237" s="2" t="s">
        <v>126</v>
      </c>
      <c r="I237" s="2" t="s">
        <v>127</v>
      </c>
      <c r="J237" t="s">
        <v>31</v>
      </c>
      <c r="K237">
        <v>2</v>
      </c>
      <c r="L237" s="3"/>
      <c r="M237" s="3"/>
      <c r="N237" s="3"/>
      <c r="O237" s="3">
        <f t="shared" si="10"/>
        <v>0</v>
      </c>
      <c r="P237">
        <v>672</v>
      </c>
      <c r="Q237">
        <v>428</v>
      </c>
      <c r="R237">
        <v>0</v>
      </c>
      <c r="S237">
        <v>94</v>
      </c>
      <c r="T237">
        <f t="shared" si="11"/>
        <v>0</v>
      </c>
    </row>
    <row r="238" spans="1:20" x14ac:dyDescent="0.3">
      <c r="A238" s="1">
        <v>44866</v>
      </c>
      <c r="B238" s="1" t="str">
        <f t="shared" si="9"/>
        <v>Reliance_Ahmedabad_Product_7_44866</v>
      </c>
      <c r="C238" s="2" t="s">
        <v>99</v>
      </c>
      <c r="D238" s="2" t="s">
        <v>100</v>
      </c>
      <c r="E238" s="2" t="s">
        <v>34</v>
      </c>
      <c r="F238" s="2" t="s">
        <v>51</v>
      </c>
      <c r="G238" s="2" t="s">
        <v>52</v>
      </c>
      <c r="H238" s="2" t="s">
        <v>37</v>
      </c>
      <c r="I238" s="2" t="s">
        <v>60</v>
      </c>
      <c r="J238" t="s">
        <v>31</v>
      </c>
      <c r="K238">
        <v>13</v>
      </c>
      <c r="L238" s="3"/>
      <c r="M238" s="3"/>
      <c r="N238" s="3"/>
      <c r="O238" s="3">
        <f t="shared" si="10"/>
        <v>0</v>
      </c>
      <c r="P238">
        <v>421.92</v>
      </c>
      <c r="Q238">
        <v>381</v>
      </c>
      <c r="R238">
        <v>5</v>
      </c>
      <c r="S238">
        <v>117</v>
      </c>
      <c r="T238">
        <f t="shared" si="11"/>
        <v>-2.5007999999999999</v>
      </c>
    </row>
    <row r="239" spans="1:20" x14ac:dyDescent="0.3">
      <c r="A239" s="1">
        <v>44896</v>
      </c>
      <c r="B239" s="1" t="str">
        <f t="shared" si="9"/>
        <v>Swiggy_Kolkata CFA_Product_20_44896</v>
      </c>
      <c r="C239" s="2" t="s">
        <v>128</v>
      </c>
      <c r="D239" s="2" t="s">
        <v>129</v>
      </c>
      <c r="E239" s="2" t="s">
        <v>34</v>
      </c>
      <c r="F239" s="2" t="s">
        <v>35</v>
      </c>
      <c r="G239" s="2" t="s">
        <v>63</v>
      </c>
      <c r="H239" s="2" t="s">
        <v>47</v>
      </c>
      <c r="I239" s="2" t="s">
        <v>130</v>
      </c>
      <c r="J239" t="s">
        <v>31</v>
      </c>
      <c r="K239">
        <v>3</v>
      </c>
      <c r="L239" s="3"/>
      <c r="M239" s="3"/>
      <c r="N239" s="3"/>
      <c r="O239" s="3">
        <f t="shared" si="10"/>
        <v>0</v>
      </c>
      <c r="P239">
        <v>421.92</v>
      </c>
      <c r="Q239">
        <v>148</v>
      </c>
      <c r="R239">
        <v>7</v>
      </c>
      <c r="S239">
        <v>125</v>
      </c>
      <c r="T239">
        <f t="shared" si="11"/>
        <v>0</v>
      </c>
    </row>
    <row r="240" spans="1:20" x14ac:dyDescent="0.3">
      <c r="A240" s="1">
        <v>44896</v>
      </c>
      <c r="B240" s="1" t="str">
        <f t="shared" si="9"/>
        <v>Reliance_Bangalore_Product_3_44896</v>
      </c>
      <c r="C240" s="2" t="s">
        <v>80</v>
      </c>
      <c r="D240" s="2" t="s">
        <v>81</v>
      </c>
      <c r="E240" s="2" t="s">
        <v>34</v>
      </c>
      <c r="F240" s="2" t="s">
        <v>51</v>
      </c>
      <c r="G240" s="2" t="s">
        <v>79</v>
      </c>
      <c r="H240" s="2" t="s">
        <v>37</v>
      </c>
      <c r="I240" s="2" t="s">
        <v>43</v>
      </c>
      <c r="J240" t="s">
        <v>31</v>
      </c>
      <c r="K240">
        <v>6</v>
      </c>
      <c r="L240" s="4"/>
      <c r="M240" s="3"/>
      <c r="N240" s="3"/>
      <c r="O240" s="3">
        <f t="shared" si="10"/>
        <v>0</v>
      </c>
      <c r="P240">
        <v>748.8</v>
      </c>
      <c r="Q240">
        <v>400</v>
      </c>
      <c r="R240">
        <v>0</v>
      </c>
      <c r="S240">
        <v>127</v>
      </c>
      <c r="T240">
        <f t="shared" si="11"/>
        <v>3.2687999999999993</v>
      </c>
    </row>
    <row r="241" spans="1:20" x14ac:dyDescent="0.3">
      <c r="A241" s="1">
        <v>44896</v>
      </c>
      <c r="B241" s="1" t="str">
        <f t="shared" si="9"/>
        <v>Reliance_Mundka_Product_6_44896</v>
      </c>
      <c r="C241" s="2" t="s">
        <v>55</v>
      </c>
      <c r="D241" s="2" t="s">
        <v>56</v>
      </c>
      <c r="E241" s="2" t="s">
        <v>34</v>
      </c>
      <c r="F241" s="2" t="s">
        <v>51</v>
      </c>
      <c r="G241" s="2" t="s">
        <v>36</v>
      </c>
      <c r="H241" s="2" t="s">
        <v>37</v>
      </c>
      <c r="I241" s="2" t="s">
        <v>57</v>
      </c>
      <c r="J241" t="s">
        <v>31</v>
      </c>
      <c r="K241">
        <v>2</v>
      </c>
      <c r="L241" s="3"/>
      <c r="M241" s="3"/>
      <c r="N241" s="3"/>
      <c r="O241" s="3">
        <f t="shared" si="10"/>
        <v>0</v>
      </c>
      <c r="P241">
        <v>748.8</v>
      </c>
      <c r="Q241">
        <v>498</v>
      </c>
      <c r="R241">
        <v>0</v>
      </c>
      <c r="S241">
        <v>135</v>
      </c>
      <c r="T241">
        <f t="shared" si="11"/>
        <v>0</v>
      </c>
    </row>
    <row r="242" spans="1:20" x14ac:dyDescent="0.3">
      <c r="A242" s="1">
        <v>44896</v>
      </c>
      <c r="B242" s="1" t="str">
        <f t="shared" si="9"/>
        <v>Maharashtra_MH-Aggregated_Product_3_44896</v>
      </c>
      <c r="C242" s="2" t="s">
        <v>39</v>
      </c>
      <c r="D242" s="2" t="s">
        <v>40</v>
      </c>
      <c r="E242" s="2" t="s">
        <v>26</v>
      </c>
      <c r="F242" s="2" t="s">
        <v>41</v>
      </c>
      <c r="G242" s="2" t="s">
        <v>42</v>
      </c>
      <c r="H242" s="2" t="s">
        <v>37</v>
      </c>
      <c r="I242" s="2" t="s">
        <v>43</v>
      </c>
      <c r="J242" t="s">
        <v>31</v>
      </c>
      <c r="K242">
        <v>8</v>
      </c>
      <c r="L242" s="3"/>
      <c r="M242" s="3"/>
      <c r="N242" s="3"/>
      <c r="O242" s="3">
        <f t="shared" si="10"/>
        <v>0</v>
      </c>
      <c r="P242">
        <v>84</v>
      </c>
      <c r="Q242">
        <v>367</v>
      </c>
      <c r="R242">
        <v>4</v>
      </c>
      <c r="S242">
        <v>127</v>
      </c>
      <c r="T242">
        <f t="shared" si="11"/>
        <v>-6.6479999999999997</v>
      </c>
    </row>
    <row r="243" spans="1:20" x14ac:dyDescent="0.3">
      <c r="A243" s="1">
        <v>44896</v>
      </c>
      <c r="B243" s="1" t="str">
        <f t="shared" si="9"/>
        <v>Zepto_Bhiwandi_Product_10_44896</v>
      </c>
      <c r="C243" s="2" t="s">
        <v>74</v>
      </c>
      <c r="D243" s="2" t="s">
        <v>75</v>
      </c>
      <c r="E243" s="2" t="s">
        <v>34</v>
      </c>
      <c r="F243" s="2" t="s">
        <v>46</v>
      </c>
      <c r="G243" s="2" t="s">
        <v>66</v>
      </c>
      <c r="H243" s="2" t="s">
        <v>67</v>
      </c>
      <c r="I243" s="2" t="s">
        <v>76</v>
      </c>
      <c r="J243" t="s">
        <v>31</v>
      </c>
      <c r="K243">
        <v>16</v>
      </c>
      <c r="L243" s="3"/>
      <c r="M243" s="3"/>
      <c r="N243" s="3"/>
      <c r="O243" s="3">
        <f t="shared" si="10"/>
        <v>0</v>
      </c>
      <c r="P243">
        <v>48</v>
      </c>
      <c r="Q243">
        <v>398</v>
      </c>
      <c r="R243">
        <v>6</v>
      </c>
      <c r="S243">
        <v>106</v>
      </c>
      <c r="T243">
        <f t="shared" si="11"/>
        <v>-0.36</v>
      </c>
    </row>
    <row r="244" spans="1:20" x14ac:dyDescent="0.3">
      <c r="A244" s="1">
        <v>44896</v>
      </c>
      <c r="B244" s="1" t="str">
        <f t="shared" si="9"/>
        <v>Maharashtra_MH-Aggregated_Product_9_44896</v>
      </c>
      <c r="C244" s="2" t="s">
        <v>69</v>
      </c>
      <c r="D244" s="2" t="s">
        <v>70</v>
      </c>
      <c r="E244" s="2" t="s">
        <v>26</v>
      </c>
      <c r="F244" s="2" t="s">
        <v>41</v>
      </c>
      <c r="G244" s="2" t="s">
        <v>42</v>
      </c>
      <c r="H244" s="2" t="s">
        <v>37</v>
      </c>
      <c r="I244" s="2" t="s">
        <v>71</v>
      </c>
      <c r="J244" t="s">
        <v>31</v>
      </c>
      <c r="K244">
        <v>17</v>
      </c>
      <c r="L244" s="3"/>
      <c r="M244" s="3"/>
      <c r="N244" s="3"/>
      <c r="O244" s="3">
        <f t="shared" si="10"/>
        <v>0</v>
      </c>
      <c r="P244">
        <v>383.52</v>
      </c>
      <c r="Q244">
        <v>473</v>
      </c>
      <c r="R244">
        <v>8</v>
      </c>
      <c r="S244">
        <v>119</v>
      </c>
      <c r="T244">
        <f t="shared" si="11"/>
        <v>3.3552</v>
      </c>
    </row>
    <row r="245" spans="1:20" x14ac:dyDescent="0.3">
      <c r="A245" s="1">
        <v>44896</v>
      </c>
      <c r="B245" s="1" t="str">
        <f t="shared" si="9"/>
        <v>Swiggy_Chennai_Product_3_44896</v>
      </c>
      <c r="C245" s="2" t="s">
        <v>82</v>
      </c>
      <c r="D245" s="2" t="s">
        <v>83</v>
      </c>
      <c r="E245" s="2" t="s">
        <v>34</v>
      </c>
      <c r="F245" s="2" t="s">
        <v>35</v>
      </c>
      <c r="G245" s="2" t="s">
        <v>84</v>
      </c>
      <c r="H245" s="2" t="s">
        <v>37</v>
      </c>
      <c r="I245" s="2" t="s">
        <v>43</v>
      </c>
      <c r="J245" t="s">
        <v>31</v>
      </c>
      <c r="K245">
        <v>4</v>
      </c>
      <c r="L245" s="3"/>
      <c r="M245" s="3"/>
      <c r="N245" s="3"/>
      <c r="O245" s="3">
        <f t="shared" si="10"/>
        <v>0</v>
      </c>
      <c r="P245">
        <v>383.52</v>
      </c>
      <c r="Q245">
        <v>234</v>
      </c>
      <c r="R245">
        <v>8</v>
      </c>
      <c r="S245">
        <v>127</v>
      </c>
      <c r="T245">
        <f t="shared" si="11"/>
        <v>0</v>
      </c>
    </row>
    <row r="246" spans="1:20" x14ac:dyDescent="0.3">
      <c r="A246" s="1">
        <v>44896</v>
      </c>
      <c r="B246" s="1" t="str">
        <f t="shared" si="9"/>
        <v>Swiggy_Bangalore_Product_16_44896</v>
      </c>
      <c r="C246" s="2" t="s">
        <v>107</v>
      </c>
      <c r="D246" s="2" t="s">
        <v>108</v>
      </c>
      <c r="E246" s="2" t="s">
        <v>34</v>
      </c>
      <c r="F246" s="2" t="s">
        <v>35</v>
      </c>
      <c r="G246" s="2" t="s">
        <v>79</v>
      </c>
      <c r="H246" s="2" t="s">
        <v>47</v>
      </c>
      <c r="I246" s="2" t="s">
        <v>109</v>
      </c>
      <c r="J246" t="s">
        <v>31</v>
      </c>
      <c r="K246">
        <v>8</v>
      </c>
      <c r="L246" s="3"/>
      <c r="M246" s="3"/>
      <c r="N246" s="3"/>
      <c r="O246" s="3">
        <f t="shared" si="10"/>
        <v>0</v>
      </c>
      <c r="P246">
        <v>672</v>
      </c>
      <c r="Q246">
        <v>265</v>
      </c>
      <c r="R246">
        <v>0</v>
      </c>
      <c r="S246">
        <v>122</v>
      </c>
      <c r="T246">
        <f t="shared" si="11"/>
        <v>2.8848000000000003</v>
      </c>
    </row>
    <row r="247" spans="1:20" x14ac:dyDescent="0.3">
      <c r="A247" s="1">
        <v>44896</v>
      </c>
      <c r="B247" s="1" t="str">
        <f t="shared" si="9"/>
        <v>Reliance_Mundka_Product_7_44896</v>
      </c>
      <c r="C247" s="2" t="s">
        <v>58</v>
      </c>
      <c r="D247" s="2" t="s">
        <v>59</v>
      </c>
      <c r="E247" s="2" t="s">
        <v>34</v>
      </c>
      <c r="F247" s="2" t="s">
        <v>51</v>
      </c>
      <c r="G247" s="2" t="s">
        <v>36</v>
      </c>
      <c r="H247" s="2" t="s">
        <v>37</v>
      </c>
      <c r="I247" s="2" t="s">
        <v>60</v>
      </c>
      <c r="J247" t="s">
        <v>31</v>
      </c>
      <c r="K247">
        <v>2</v>
      </c>
      <c r="L247" s="3"/>
      <c r="M247" s="3"/>
      <c r="N247" s="3"/>
      <c r="O247" s="3">
        <f t="shared" si="10"/>
        <v>0</v>
      </c>
      <c r="P247">
        <v>672</v>
      </c>
      <c r="Q247">
        <v>427</v>
      </c>
      <c r="R247">
        <v>0</v>
      </c>
      <c r="S247">
        <v>117</v>
      </c>
      <c r="T247">
        <f t="shared" si="11"/>
        <v>0</v>
      </c>
    </row>
    <row r="248" spans="1:20" x14ac:dyDescent="0.3">
      <c r="A248" s="1">
        <v>44896</v>
      </c>
      <c r="B248" s="1" t="str">
        <f t="shared" si="9"/>
        <v>Reliance_Bhiwandi_Product_11_44896</v>
      </c>
      <c r="C248" s="2" t="s">
        <v>87</v>
      </c>
      <c r="D248" s="2" t="s">
        <v>88</v>
      </c>
      <c r="E248" s="2" t="s">
        <v>34</v>
      </c>
      <c r="F248" s="2" t="s">
        <v>51</v>
      </c>
      <c r="G248" s="2" t="s">
        <v>66</v>
      </c>
      <c r="H248" s="2" t="s">
        <v>67</v>
      </c>
      <c r="I248" s="2" t="s">
        <v>89</v>
      </c>
      <c r="J248" t="s">
        <v>31</v>
      </c>
      <c r="K248">
        <v>38</v>
      </c>
      <c r="L248" s="3"/>
      <c r="M248" s="3"/>
      <c r="N248" s="3"/>
      <c r="O248" s="3">
        <f t="shared" si="10"/>
        <v>0</v>
      </c>
      <c r="P248">
        <v>421.92</v>
      </c>
      <c r="Q248">
        <v>427</v>
      </c>
      <c r="R248">
        <v>0</v>
      </c>
      <c r="S248">
        <v>131</v>
      </c>
      <c r="T248">
        <f t="shared" si="11"/>
        <v>-2.5007999999999999</v>
      </c>
    </row>
    <row r="249" spans="1:20" x14ac:dyDescent="0.3">
      <c r="A249" s="1">
        <v>44896</v>
      </c>
      <c r="B249" s="1" t="str">
        <f t="shared" si="9"/>
        <v>Reliance_Bangalore_Product_8_44896</v>
      </c>
      <c r="C249" s="2" t="s">
        <v>77</v>
      </c>
      <c r="D249" s="2" t="s">
        <v>78</v>
      </c>
      <c r="E249" s="2" t="s">
        <v>34</v>
      </c>
      <c r="F249" s="2" t="s">
        <v>51</v>
      </c>
      <c r="G249" s="2" t="s">
        <v>79</v>
      </c>
      <c r="H249" s="2" t="s">
        <v>67</v>
      </c>
      <c r="I249" s="2" t="s">
        <v>68</v>
      </c>
      <c r="J249" t="s">
        <v>31</v>
      </c>
      <c r="K249">
        <v>8</v>
      </c>
      <c r="L249" s="3"/>
      <c r="M249" s="3"/>
      <c r="N249" s="3"/>
      <c r="O249" s="3">
        <f t="shared" si="10"/>
        <v>0</v>
      </c>
      <c r="P249">
        <v>421.92</v>
      </c>
      <c r="Q249">
        <v>250</v>
      </c>
      <c r="R249">
        <v>7</v>
      </c>
      <c r="S249">
        <v>126</v>
      </c>
      <c r="T249">
        <f t="shared" si="11"/>
        <v>0</v>
      </c>
    </row>
    <row r="250" spans="1:20" x14ac:dyDescent="0.3">
      <c r="A250" s="1">
        <v>44896</v>
      </c>
      <c r="B250" s="1" t="str">
        <f t="shared" si="9"/>
        <v>Reliance_Chennai_Product_11_44896</v>
      </c>
      <c r="C250" s="2" t="s">
        <v>110</v>
      </c>
      <c r="D250" s="2" t="s">
        <v>111</v>
      </c>
      <c r="E250" s="2" t="s">
        <v>34</v>
      </c>
      <c r="F250" s="2" t="s">
        <v>51</v>
      </c>
      <c r="G250" s="2" t="s">
        <v>84</v>
      </c>
      <c r="H250" s="2" t="s">
        <v>67</v>
      </c>
      <c r="I250" s="2" t="s">
        <v>89</v>
      </c>
      <c r="J250" t="s">
        <v>31</v>
      </c>
      <c r="K250">
        <v>14</v>
      </c>
      <c r="L250" s="3"/>
      <c r="M250" s="3"/>
      <c r="N250" s="3"/>
      <c r="O250" s="3">
        <f t="shared" si="10"/>
        <v>0</v>
      </c>
      <c r="P250">
        <v>748.8</v>
      </c>
      <c r="Q250">
        <v>468</v>
      </c>
      <c r="R250">
        <v>8</v>
      </c>
      <c r="S250">
        <v>131</v>
      </c>
      <c r="T250">
        <f t="shared" si="11"/>
        <v>3.2687999999999993</v>
      </c>
    </row>
    <row r="251" spans="1:20" x14ac:dyDescent="0.3">
      <c r="A251" s="1">
        <v>44896</v>
      </c>
      <c r="B251" s="1" t="str">
        <f t="shared" si="9"/>
        <v>Swiggy_Mundka_Product_2_44896</v>
      </c>
      <c r="C251" s="2" t="s">
        <v>32</v>
      </c>
      <c r="D251" s="2" t="s">
        <v>33</v>
      </c>
      <c r="E251" s="2" t="s">
        <v>34</v>
      </c>
      <c r="F251" s="2" t="s">
        <v>35</v>
      </c>
      <c r="G251" s="2" t="s">
        <v>36</v>
      </c>
      <c r="H251" s="2" t="s">
        <v>37</v>
      </c>
      <c r="I251" s="2" t="s">
        <v>38</v>
      </c>
      <c r="J251" t="s">
        <v>31</v>
      </c>
      <c r="K251">
        <v>3</v>
      </c>
      <c r="L251" s="3"/>
      <c r="M251" s="3"/>
      <c r="N251" s="3"/>
      <c r="O251" s="3">
        <f t="shared" si="10"/>
        <v>0</v>
      </c>
      <c r="P251">
        <v>748.8</v>
      </c>
      <c r="Q251">
        <v>388</v>
      </c>
      <c r="R251">
        <v>3</v>
      </c>
      <c r="S251">
        <v>134</v>
      </c>
      <c r="T251">
        <f t="shared" si="11"/>
        <v>0</v>
      </c>
    </row>
    <row r="252" spans="1:20" x14ac:dyDescent="0.3">
      <c r="A252" s="1">
        <v>44896</v>
      </c>
      <c r="B252" s="1" t="str">
        <f t="shared" si="9"/>
        <v>Reliance_Bhiwandi_Product_8_44896</v>
      </c>
      <c r="C252" s="2" t="s">
        <v>64</v>
      </c>
      <c r="D252" s="2" t="s">
        <v>65</v>
      </c>
      <c r="E252" s="2" t="s">
        <v>34</v>
      </c>
      <c r="F252" s="2" t="s">
        <v>51</v>
      </c>
      <c r="G252" s="2" t="s">
        <v>66</v>
      </c>
      <c r="H252" s="2" t="s">
        <v>67</v>
      </c>
      <c r="I252" s="2" t="s">
        <v>68</v>
      </c>
      <c r="J252" t="s">
        <v>31</v>
      </c>
      <c r="K252">
        <v>23</v>
      </c>
      <c r="L252" s="3"/>
      <c r="M252" s="3"/>
      <c r="N252" s="3"/>
      <c r="O252" s="3">
        <f t="shared" si="10"/>
        <v>0</v>
      </c>
      <c r="P252">
        <v>84</v>
      </c>
      <c r="Q252">
        <v>178</v>
      </c>
      <c r="R252">
        <v>12</v>
      </c>
      <c r="S252">
        <v>126</v>
      </c>
      <c r="T252">
        <f t="shared" si="11"/>
        <v>-6.6479999999999997</v>
      </c>
    </row>
    <row r="253" spans="1:20" x14ac:dyDescent="0.3">
      <c r="A253" s="1">
        <v>44896</v>
      </c>
      <c r="B253" s="1" t="str">
        <f t="shared" si="9"/>
        <v>Reliance_Kolkata CFA_Product_12_44896</v>
      </c>
      <c r="C253" s="2" t="s">
        <v>101</v>
      </c>
      <c r="D253" s="2" t="s">
        <v>102</v>
      </c>
      <c r="E253" s="2" t="s">
        <v>34</v>
      </c>
      <c r="F253" s="2" t="s">
        <v>51</v>
      </c>
      <c r="G253" s="2" t="s">
        <v>63</v>
      </c>
      <c r="H253" s="2" t="s">
        <v>67</v>
      </c>
      <c r="I253" s="2" t="s">
        <v>92</v>
      </c>
      <c r="J253" t="s">
        <v>31</v>
      </c>
      <c r="K253">
        <v>51</v>
      </c>
      <c r="L253" s="3"/>
      <c r="M253" s="3"/>
      <c r="N253" s="3"/>
      <c r="O253" s="3">
        <f t="shared" si="10"/>
        <v>0</v>
      </c>
      <c r="P253">
        <v>48</v>
      </c>
      <c r="Q253">
        <v>483</v>
      </c>
      <c r="R253">
        <v>0</v>
      </c>
      <c r="S253">
        <v>94</v>
      </c>
      <c r="T253">
        <f t="shared" si="11"/>
        <v>-0.36</v>
      </c>
    </row>
    <row r="254" spans="1:20" x14ac:dyDescent="0.3">
      <c r="A254" s="1">
        <v>44896</v>
      </c>
      <c r="B254" s="1" t="str">
        <f t="shared" si="9"/>
        <v>Swiggy_Kolkata CFA_Product_3_44896</v>
      </c>
      <c r="C254" s="2" t="s">
        <v>61</v>
      </c>
      <c r="D254" s="2" t="s">
        <v>62</v>
      </c>
      <c r="E254" s="2" t="s">
        <v>34</v>
      </c>
      <c r="F254" s="2" t="s">
        <v>35</v>
      </c>
      <c r="G254" s="2" t="s">
        <v>63</v>
      </c>
      <c r="H254" s="2" t="s">
        <v>37</v>
      </c>
      <c r="I254" s="2" t="s">
        <v>43</v>
      </c>
      <c r="J254" t="s">
        <v>31</v>
      </c>
      <c r="K254">
        <v>4</v>
      </c>
      <c r="L254" s="3"/>
      <c r="M254" s="3"/>
      <c r="N254" s="3"/>
      <c r="O254" s="3">
        <f t="shared" si="10"/>
        <v>0</v>
      </c>
      <c r="P254">
        <v>383.52</v>
      </c>
      <c r="Q254">
        <v>419</v>
      </c>
      <c r="R254">
        <v>13</v>
      </c>
      <c r="S254">
        <v>127</v>
      </c>
      <c r="T254">
        <f t="shared" si="11"/>
        <v>3.3552</v>
      </c>
    </row>
    <row r="255" spans="1:20" x14ac:dyDescent="0.3">
      <c r="A255" s="1">
        <v>44896</v>
      </c>
      <c r="B255" s="1" t="str">
        <f t="shared" si="9"/>
        <v>Zepto_Bangalore_Product_12_44896</v>
      </c>
      <c r="C255" s="2" t="s">
        <v>90</v>
      </c>
      <c r="D255" s="2" t="s">
        <v>91</v>
      </c>
      <c r="E255" s="2" t="s">
        <v>34</v>
      </c>
      <c r="F255" s="2" t="s">
        <v>46</v>
      </c>
      <c r="G255" s="2" t="s">
        <v>79</v>
      </c>
      <c r="H255" s="2" t="s">
        <v>67</v>
      </c>
      <c r="I255" s="2" t="s">
        <v>92</v>
      </c>
      <c r="J255" t="s">
        <v>31</v>
      </c>
      <c r="K255">
        <v>2</v>
      </c>
      <c r="L255" s="3"/>
      <c r="M255" s="3"/>
      <c r="N255" s="3"/>
      <c r="O255" s="3">
        <f t="shared" si="10"/>
        <v>0</v>
      </c>
      <c r="P255">
        <v>383.52</v>
      </c>
      <c r="Q255">
        <v>326</v>
      </c>
      <c r="R255">
        <v>0</v>
      </c>
      <c r="S255">
        <v>94</v>
      </c>
      <c r="T255">
        <f t="shared" si="11"/>
        <v>0</v>
      </c>
    </row>
    <row r="256" spans="1:20" x14ac:dyDescent="0.3">
      <c r="A256" s="1">
        <v>44896</v>
      </c>
      <c r="B256" s="1" t="str">
        <f t="shared" si="9"/>
        <v>Grofers_Mundka_Product_21_44896</v>
      </c>
      <c r="C256" s="2" t="s">
        <v>131</v>
      </c>
      <c r="D256" s="2" t="s">
        <v>132</v>
      </c>
      <c r="E256" s="2" t="s">
        <v>34</v>
      </c>
      <c r="F256" s="2" t="s">
        <v>114</v>
      </c>
      <c r="G256" s="2" t="s">
        <v>36</v>
      </c>
      <c r="H256" s="2" t="s">
        <v>133</v>
      </c>
      <c r="I256" s="2" t="s">
        <v>134</v>
      </c>
      <c r="J256" t="s">
        <v>31</v>
      </c>
      <c r="K256">
        <v>2</v>
      </c>
      <c r="L256" s="3"/>
      <c r="M256" s="3"/>
      <c r="N256" s="3"/>
      <c r="O256" s="3">
        <f t="shared" si="10"/>
        <v>0</v>
      </c>
      <c r="P256">
        <v>672</v>
      </c>
      <c r="Q256">
        <v>165</v>
      </c>
      <c r="R256">
        <v>0</v>
      </c>
      <c r="S256">
        <v>115</v>
      </c>
      <c r="T256">
        <f t="shared" si="11"/>
        <v>2.8848000000000003</v>
      </c>
    </row>
    <row r="257" spans="1:20" x14ac:dyDescent="0.3">
      <c r="A257" s="1">
        <v>44896</v>
      </c>
      <c r="B257" s="1" t="str">
        <f t="shared" si="9"/>
        <v>Reliance_Bhiwandi_Product_10_44896</v>
      </c>
      <c r="C257" s="2" t="s">
        <v>85</v>
      </c>
      <c r="D257" s="2" t="s">
        <v>86</v>
      </c>
      <c r="E257" s="2" t="s">
        <v>34</v>
      </c>
      <c r="F257" s="2" t="s">
        <v>51</v>
      </c>
      <c r="G257" s="2" t="s">
        <v>66</v>
      </c>
      <c r="H257" s="2" t="s">
        <v>67</v>
      </c>
      <c r="I257" s="2" t="s">
        <v>76</v>
      </c>
      <c r="J257" t="s">
        <v>31</v>
      </c>
      <c r="K257">
        <v>1</v>
      </c>
      <c r="L257" s="3"/>
      <c r="M257" s="3"/>
      <c r="N257" s="3"/>
      <c r="O257" s="3">
        <f t="shared" si="10"/>
        <v>0</v>
      </c>
      <c r="P257">
        <v>672</v>
      </c>
      <c r="Q257">
        <v>454</v>
      </c>
      <c r="R257">
        <v>12</v>
      </c>
      <c r="S257">
        <v>106</v>
      </c>
      <c r="T257">
        <f t="shared" si="11"/>
        <v>0</v>
      </c>
    </row>
    <row r="258" spans="1:20" x14ac:dyDescent="0.3">
      <c r="A258" s="1">
        <v>44896</v>
      </c>
      <c r="B258" s="1" t="str">
        <f t="shared" si="9"/>
        <v>Reliance_Ahmedabad_Product_5_44896</v>
      </c>
      <c r="C258" s="2" t="s">
        <v>49</v>
      </c>
      <c r="D258" s="2" t="s">
        <v>50</v>
      </c>
      <c r="E258" s="2" t="s">
        <v>34</v>
      </c>
      <c r="F258" s="2" t="s">
        <v>51</v>
      </c>
      <c r="G258" s="2" t="s">
        <v>52</v>
      </c>
      <c r="H258" s="2" t="s">
        <v>53</v>
      </c>
      <c r="I258" s="2" t="s">
        <v>54</v>
      </c>
      <c r="J258" t="s">
        <v>31</v>
      </c>
      <c r="K258">
        <v>9</v>
      </c>
      <c r="L258" s="3"/>
      <c r="M258" s="3"/>
      <c r="N258" s="3"/>
      <c r="O258" s="3">
        <f t="shared" si="10"/>
        <v>0</v>
      </c>
      <c r="P258">
        <v>421.92</v>
      </c>
      <c r="Q258">
        <v>292</v>
      </c>
      <c r="R258">
        <v>0</v>
      </c>
      <c r="S258">
        <v>132</v>
      </c>
      <c r="T258">
        <f t="shared" si="11"/>
        <v>-2.5007999999999999</v>
      </c>
    </row>
    <row r="259" spans="1:20" x14ac:dyDescent="0.3">
      <c r="A259" s="1">
        <v>44896</v>
      </c>
      <c r="B259" s="1" t="str">
        <f t="shared" ref="B259:B322" si="12">C259&amp;"_"&amp;A259</f>
        <v>Reliance_Ahmedabad_Product_7_44896</v>
      </c>
      <c r="C259" s="2" t="s">
        <v>99</v>
      </c>
      <c r="D259" s="2" t="s">
        <v>100</v>
      </c>
      <c r="E259" s="2" t="s">
        <v>34</v>
      </c>
      <c r="F259" s="2" t="s">
        <v>51</v>
      </c>
      <c r="G259" s="2" t="s">
        <v>52</v>
      </c>
      <c r="H259" s="2" t="s">
        <v>37</v>
      </c>
      <c r="I259" s="2" t="s">
        <v>60</v>
      </c>
      <c r="J259" t="s">
        <v>31</v>
      </c>
      <c r="K259">
        <v>2</v>
      </c>
      <c r="L259" s="3"/>
      <c r="M259" s="3"/>
      <c r="N259" s="3"/>
      <c r="O259" s="3">
        <f t="shared" ref="O259:O322" si="13">L259</f>
        <v>0</v>
      </c>
      <c r="P259">
        <v>421.92</v>
      </c>
      <c r="Q259">
        <v>244</v>
      </c>
      <c r="R259">
        <v>0</v>
      </c>
      <c r="S259">
        <v>117</v>
      </c>
      <c r="T259">
        <f t="shared" si="11"/>
        <v>0</v>
      </c>
    </row>
    <row r="260" spans="1:20" x14ac:dyDescent="0.3">
      <c r="A260" s="1">
        <v>44896</v>
      </c>
      <c r="B260" s="1" t="str">
        <f t="shared" si="12"/>
        <v>Jharkhand_JH-Aggregated_Product_19_44896</v>
      </c>
      <c r="C260" s="2" t="s">
        <v>124</v>
      </c>
      <c r="D260" s="2" t="s">
        <v>125</v>
      </c>
      <c r="E260" s="2" t="s">
        <v>26</v>
      </c>
      <c r="F260" s="2" t="s">
        <v>27</v>
      </c>
      <c r="G260" s="2" t="s">
        <v>28</v>
      </c>
      <c r="H260" s="2" t="s">
        <v>126</v>
      </c>
      <c r="I260" s="2" t="s">
        <v>127</v>
      </c>
      <c r="J260" t="s">
        <v>31</v>
      </c>
      <c r="K260">
        <v>4</v>
      </c>
      <c r="L260" s="3"/>
      <c r="M260" s="3"/>
      <c r="N260" s="3"/>
      <c r="O260" s="3">
        <f t="shared" si="13"/>
        <v>0</v>
      </c>
      <c r="P260">
        <v>748.8</v>
      </c>
      <c r="Q260">
        <v>340</v>
      </c>
      <c r="R260">
        <v>12</v>
      </c>
      <c r="S260">
        <v>94</v>
      </c>
      <c r="T260">
        <f t="shared" ref="T260:T323" si="14">(P260-P259)/100</f>
        <v>3.2687999999999993</v>
      </c>
    </row>
    <row r="261" spans="1:20" x14ac:dyDescent="0.3">
      <c r="A261" s="1">
        <v>44896</v>
      </c>
      <c r="B261" s="1" t="str">
        <f t="shared" si="12"/>
        <v>Swiggy_Mundka_Product_14_44896</v>
      </c>
      <c r="C261" s="2" t="s">
        <v>96</v>
      </c>
      <c r="D261" s="2" t="s">
        <v>97</v>
      </c>
      <c r="E261" s="2" t="s">
        <v>34</v>
      </c>
      <c r="F261" s="2" t="s">
        <v>35</v>
      </c>
      <c r="G261" s="2" t="s">
        <v>36</v>
      </c>
      <c r="H261" s="2" t="s">
        <v>47</v>
      </c>
      <c r="I261" s="2" t="s">
        <v>98</v>
      </c>
      <c r="J261" t="s">
        <v>31</v>
      </c>
      <c r="K261">
        <v>2</v>
      </c>
      <c r="L261" s="3"/>
      <c r="M261" s="3"/>
      <c r="N261" s="3"/>
      <c r="O261" s="3">
        <f t="shared" si="13"/>
        <v>0</v>
      </c>
      <c r="P261">
        <v>748.8</v>
      </c>
      <c r="Q261">
        <v>385</v>
      </c>
      <c r="R261">
        <v>11</v>
      </c>
      <c r="S261">
        <v>97</v>
      </c>
      <c r="T261">
        <f t="shared" si="14"/>
        <v>0</v>
      </c>
    </row>
    <row r="262" spans="1:20" x14ac:dyDescent="0.3">
      <c r="A262" s="1">
        <v>44896</v>
      </c>
      <c r="B262" s="1" t="str">
        <f t="shared" si="12"/>
        <v>Grofers_Hyderabad_Product_21_44896</v>
      </c>
      <c r="C262" s="2" t="s">
        <v>135</v>
      </c>
      <c r="D262" s="2" t="s">
        <v>136</v>
      </c>
      <c r="E262" s="2" t="s">
        <v>34</v>
      </c>
      <c r="F262" s="2" t="s">
        <v>114</v>
      </c>
      <c r="G262" s="2" t="s">
        <v>137</v>
      </c>
      <c r="H262" s="2" t="s">
        <v>133</v>
      </c>
      <c r="I262" s="2" t="s">
        <v>134</v>
      </c>
      <c r="J262" t="s">
        <v>31</v>
      </c>
      <c r="K262">
        <v>5</v>
      </c>
      <c r="L262" s="3"/>
      <c r="M262" s="3"/>
      <c r="N262" s="3"/>
      <c r="O262" s="3">
        <f t="shared" si="13"/>
        <v>0</v>
      </c>
      <c r="P262">
        <v>84</v>
      </c>
      <c r="Q262">
        <v>461</v>
      </c>
      <c r="R262">
        <v>0</v>
      </c>
      <c r="S262">
        <v>115</v>
      </c>
      <c r="T262">
        <f t="shared" si="14"/>
        <v>-6.6479999999999997</v>
      </c>
    </row>
    <row r="263" spans="1:20" x14ac:dyDescent="0.3">
      <c r="A263" s="1">
        <v>44896</v>
      </c>
      <c r="B263" s="1" t="str">
        <f t="shared" si="12"/>
        <v>Reliance_Ahmedabad_Product_18_44896</v>
      </c>
      <c r="C263" s="2" t="s">
        <v>121</v>
      </c>
      <c r="D263" s="2" t="s">
        <v>122</v>
      </c>
      <c r="E263" s="2" t="s">
        <v>34</v>
      </c>
      <c r="F263" s="2" t="s">
        <v>51</v>
      </c>
      <c r="G263" s="2" t="s">
        <v>52</v>
      </c>
      <c r="H263" s="2" t="s">
        <v>29</v>
      </c>
      <c r="I263" s="2" t="s">
        <v>123</v>
      </c>
      <c r="J263" t="s">
        <v>31</v>
      </c>
      <c r="K263">
        <v>12</v>
      </c>
      <c r="L263" s="3"/>
      <c r="M263" s="3"/>
      <c r="N263" s="3"/>
      <c r="O263" s="3">
        <f t="shared" si="13"/>
        <v>0</v>
      </c>
      <c r="P263">
        <v>48</v>
      </c>
      <c r="Q263">
        <v>334</v>
      </c>
      <c r="R263">
        <v>4</v>
      </c>
      <c r="S263">
        <v>129</v>
      </c>
      <c r="T263">
        <f t="shared" si="14"/>
        <v>-0.36</v>
      </c>
    </row>
    <row r="264" spans="1:20" x14ac:dyDescent="0.3">
      <c r="A264" s="1">
        <v>44896</v>
      </c>
      <c r="B264" s="1" t="str">
        <f t="shared" si="12"/>
        <v>Jharkhand_JH-Aggregated_Product_1_44896</v>
      </c>
      <c r="C264" s="2" t="s">
        <v>24</v>
      </c>
      <c r="D264" s="2" t="s">
        <v>25</v>
      </c>
      <c r="E264" s="2" t="s">
        <v>26</v>
      </c>
      <c r="F264" s="2" t="s">
        <v>27</v>
      </c>
      <c r="G264" s="2" t="s">
        <v>28</v>
      </c>
      <c r="H264" s="2" t="s">
        <v>29</v>
      </c>
      <c r="I264" s="2" t="s">
        <v>30</v>
      </c>
      <c r="J264" t="s">
        <v>31</v>
      </c>
      <c r="K264">
        <v>13</v>
      </c>
      <c r="L264" s="3"/>
      <c r="M264" s="3"/>
      <c r="N264" s="3"/>
      <c r="O264" s="3">
        <f t="shared" si="13"/>
        <v>0</v>
      </c>
      <c r="P264">
        <v>383.52</v>
      </c>
      <c r="Q264">
        <v>105</v>
      </c>
      <c r="R264">
        <v>0</v>
      </c>
      <c r="S264">
        <v>111</v>
      </c>
      <c r="T264">
        <f t="shared" si="14"/>
        <v>3.3552</v>
      </c>
    </row>
    <row r="265" spans="1:20" x14ac:dyDescent="0.3">
      <c r="A265" s="1">
        <v>44896</v>
      </c>
      <c r="B265" s="1" t="str">
        <f t="shared" si="12"/>
        <v>Reliance_Bangalore_Product_13_44896</v>
      </c>
      <c r="C265" s="2" t="s">
        <v>93</v>
      </c>
      <c r="D265" s="2" t="s">
        <v>94</v>
      </c>
      <c r="E265" s="2" t="s">
        <v>34</v>
      </c>
      <c r="F265" s="2" t="s">
        <v>51</v>
      </c>
      <c r="G265" s="2" t="s">
        <v>79</v>
      </c>
      <c r="H265" s="2" t="s">
        <v>67</v>
      </c>
      <c r="I265" s="2" t="s">
        <v>95</v>
      </c>
      <c r="J265" t="s">
        <v>31</v>
      </c>
      <c r="K265">
        <v>3</v>
      </c>
      <c r="L265" s="4"/>
      <c r="M265" s="3"/>
      <c r="N265" s="3"/>
      <c r="O265" s="3">
        <f t="shared" si="13"/>
        <v>0</v>
      </c>
      <c r="P265">
        <v>383.52</v>
      </c>
      <c r="Q265">
        <v>335</v>
      </c>
      <c r="R265">
        <v>7</v>
      </c>
      <c r="S265">
        <v>113</v>
      </c>
      <c r="T265">
        <f t="shared" si="14"/>
        <v>0</v>
      </c>
    </row>
    <row r="266" spans="1:20" x14ac:dyDescent="0.3">
      <c r="A266" s="1">
        <v>44927</v>
      </c>
      <c r="B266" s="1" t="str">
        <f t="shared" si="12"/>
        <v>Reliance_Ahmedabad_Product_7_44927</v>
      </c>
      <c r="C266" s="2" t="s">
        <v>99</v>
      </c>
      <c r="D266" s="2" t="s">
        <v>100</v>
      </c>
      <c r="E266" s="2" t="s">
        <v>34</v>
      </c>
      <c r="F266" s="2" t="s">
        <v>51</v>
      </c>
      <c r="G266" s="2" t="s">
        <v>52</v>
      </c>
      <c r="H266" s="2" t="s">
        <v>37</v>
      </c>
      <c r="I266" s="2" t="s">
        <v>60</v>
      </c>
      <c r="J266" t="s">
        <v>31</v>
      </c>
      <c r="K266">
        <v>6</v>
      </c>
      <c r="L266" s="3"/>
      <c r="M266" s="3"/>
      <c r="N266" s="3"/>
      <c r="O266" s="3">
        <f t="shared" si="13"/>
        <v>0</v>
      </c>
      <c r="P266">
        <v>672</v>
      </c>
      <c r="Q266">
        <v>115</v>
      </c>
      <c r="R266">
        <v>1</v>
      </c>
      <c r="S266">
        <v>117</v>
      </c>
      <c r="T266">
        <f t="shared" si="14"/>
        <v>2.8848000000000003</v>
      </c>
    </row>
    <row r="267" spans="1:20" x14ac:dyDescent="0.3">
      <c r="A267" s="1">
        <v>44927</v>
      </c>
      <c r="B267" s="1" t="str">
        <f t="shared" si="12"/>
        <v>Reliance_Bangalore_Product_13_44927</v>
      </c>
      <c r="C267" s="2" t="s">
        <v>93</v>
      </c>
      <c r="D267" s="2" t="s">
        <v>94</v>
      </c>
      <c r="E267" s="2" t="s">
        <v>34</v>
      </c>
      <c r="F267" s="2" t="s">
        <v>51</v>
      </c>
      <c r="G267" s="2" t="s">
        <v>79</v>
      </c>
      <c r="H267" s="2" t="s">
        <v>67</v>
      </c>
      <c r="I267" s="2" t="s">
        <v>95</v>
      </c>
      <c r="J267" t="s">
        <v>31</v>
      </c>
      <c r="K267">
        <v>1</v>
      </c>
      <c r="L267" s="3"/>
      <c r="M267" s="3"/>
      <c r="N267" s="3"/>
      <c r="O267" s="3">
        <f t="shared" si="13"/>
        <v>0</v>
      </c>
      <c r="P267">
        <v>672</v>
      </c>
      <c r="Q267">
        <v>427</v>
      </c>
      <c r="R267">
        <v>0</v>
      </c>
      <c r="S267">
        <v>113</v>
      </c>
      <c r="T267">
        <f t="shared" si="14"/>
        <v>0</v>
      </c>
    </row>
    <row r="268" spans="1:20" x14ac:dyDescent="0.3">
      <c r="A268" s="1">
        <v>44927</v>
      </c>
      <c r="B268" s="1" t="str">
        <f t="shared" si="12"/>
        <v>Maharashtra_MH-Aggregated_Product_3_44927</v>
      </c>
      <c r="C268" s="2" t="s">
        <v>39</v>
      </c>
      <c r="D268" s="2" t="s">
        <v>40</v>
      </c>
      <c r="E268" s="2" t="s">
        <v>26</v>
      </c>
      <c r="F268" s="2" t="s">
        <v>41</v>
      </c>
      <c r="G268" s="2" t="s">
        <v>42</v>
      </c>
      <c r="H268" s="2" t="s">
        <v>37</v>
      </c>
      <c r="I268" s="2" t="s">
        <v>43</v>
      </c>
      <c r="J268" t="s">
        <v>31</v>
      </c>
      <c r="K268">
        <v>29</v>
      </c>
      <c r="L268" s="3"/>
      <c r="M268" s="3"/>
      <c r="N268" s="3"/>
      <c r="O268" s="3">
        <f t="shared" si="13"/>
        <v>0</v>
      </c>
      <c r="P268">
        <v>421.92</v>
      </c>
      <c r="Q268">
        <v>137</v>
      </c>
      <c r="R268">
        <v>4</v>
      </c>
      <c r="S268">
        <v>127</v>
      </c>
      <c r="T268">
        <f t="shared" si="14"/>
        <v>-2.5007999999999999</v>
      </c>
    </row>
    <row r="269" spans="1:20" x14ac:dyDescent="0.3">
      <c r="A269" s="1">
        <v>44927</v>
      </c>
      <c r="B269" s="1" t="str">
        <f t="shared" si="12"/>
        <v>Jharkhand_JH-Aggregated_Product_1_44927</v>
      </c>
      <c r="C269" s="2" t="s">
        <v>24</v>
      </c>
      <c r="D269" s="2" t="s">
        <v>25</v>
      </c>
      <c r="E269" s="2" t="s">
        <v>26</v>
      </c>
      <c r="F269" s="2" t="s">
        <v>27</v>
      </c>
      <c r="G269" s="2" t="s">
        <v>28</v>
      </c>
      <c r="H269" s="2" t="s">
        <v>29</v>
      </c>
      <c r="I269" s="2" t="s">
        <v>30</v>
      </c>
      <c r="J269" t="s">
        <v>31</v>
      </c>
      <c r="K269">
        <v>6</v>
      </c>
      <c r="L269" s="3"/>
      <c r="M269" s="3"/>
      <c r="N269" s="3"/>
      <c r="O269" s="3">
        <f t="shared" si="13"/>
        <v>0</v>
      </c>
      <c r="P269">
        <v>421.92</v>
      </c>
      <c r="Q269">
        <v>374</v>
      </c>
      <c r="R269">
        <v>0</v>
      </c>
      <c r="S269">
        <v>111</v>
      </c>
      <c r="T269">
        <f t="shared" si="14"/>
        <v>0</v>
      </c>
    </row>
    <row r="270" spans="1:20" x14ac:dyDescent="0.3">
      <c r="A270" s="1">
        <v>44927</v>
      </c>
      <c r="B270" s="1" t="str">
        <f t="shared" si="12"/>
        <v>Grofers_Hyderabad_Product_21_44927</v>
      </c>
      <c r="C270" s="2" t="s">
        <v>135</v>
      </c>
      <c r="D270" s="2" t="s">
        <v>136</v>
      </c>
      <c r="E270" s="2" t="s">
        <v>34</v>
      </c>
      <c r="F270" s="2" t="s">
        <v>114</v>
      </c>
      <c r="G270" s="2" t="s">
        <v>137</v>
      </c>
      <c r="H270" s="2" t="s">
        <v>133</v>
      </c>
      <c r="I270" s="2" t="s">
        <v>134</v>
      </c>
      <c r="J270" t="s">
        <v>31</v>
      </c>
      <c r="K270">
        <v>10</v>
      </c>
      <c r="L270" s="3"/>
      <c r="M270" s="3"/>
      <c r="N270" s="3"/>
      <c r="O270" s="3">
        <f t="shared" si="13"/>
        <v>0</v>
      </c>
      <c r="P270">
        <v>748.8</v>
      </c>
      <c r="Q270">
        <v>400</v>
      </c>
      <c r="R270">
        <v>5</v>
      </c>
      <c r="S270">
        <v>115</v>
      </c>
      <c r="T270">
        <f t="shared" si="14"/>
        <v>3.2687999999999993</v>
      </c>
    </row>
    <row r="271" spans="1:20" x14ac:dyDescent="0.3">
      <c r="A271" s="1">
        <v>44927</v>
      </c>
      <c r="B271" s="1" t="str">
        <f t="shared" si="12"/>
        <v>Jharkhand_JH-Aggregated_Product_19_44927</v>
      </c>
      <c r="C271" s="2" t="s">
        <v>124</v>
      </c>
      <c r="D271" s="2" t="s">
        <v>125</v>
      </c>
      <c r="E271" s="2" t="s">
        <v>26</v>
      </c>
      <c r="F271" s="2" t="s">
        <v>27</v>
      </c>
      <c r="G271" s="2" t="s">
        <v>28</v>
      </c>
      <c r="H271" s="2" t="s">
        <v>126</v>
      </c>
      <c r="I271" s="2" t="s">
        <v>127</v>
      </c>
      <c r="J271" t="s">
        <v>31</v>
      </c>
      <c r="K271">
        <v>2</v>
      </c>
      <c r="L271" s="3"/>
      <c r="M271" s="3"/>
      <c r="N271" s="3"/>
      <c r="O271" s="3">
        <f t="shared" si="13"/>
        <v>0</v>
      </c>
      <c r="P271">
        <v>748.8</v>
      </c>
      <c r="Q271">
        <v>474</v>
      </c>
      <c r="R271">
        <v>14</v>
      </c>
      <c r="S271">
        <v>94</v>
      </c>
      <c r="T271">
        <f t="shared" si="14"/>
        <v>0</v>
      </c>
    </row>
    <row r="272" spans="1:20" x14ac:dyDescent="0.3">
      <c r="A272" s="1">
        <v>44927</v>
      </c>
      <c r="B272" s="1" t="str">
        <f t="shared" si="12"/>
        <v>Zepto_Bhiwandi_Product_10_44927</v>
      </c>
      <c r="C272" s="2" t="s">
        <v>74</v>
      </c>
      <c r="D272" s="2" t="s">
        <v>75</v>
      </c>
      <c r="E272" s="2" t="s">
        <v>34</v>
      </c>
      <c r="F272" s="2" t="s">
        <v>46</v>
      </c>
      <c r="G272" s="2" t="s">
        <v>66</v>
      </c>
      <c r="H272" s="2" t="s">
        <v>67</v>
      </c>
      <c r="I272" s="2" t="s">
        <v>76</v>
      </c>
      <c r="J272" t="s">
        <v>31</v>
      </c>
      <c r="K272">
        <v>17</v>
      </c>
      <c r="L272" s="3"/>
      <c r="M272" s="3"/>
      <c r="N272" s="3"/>
      <c r="O272" s="3">
        <f t="shared" si="13"/>
        <v>0</v>
      </c>
      <c r="P272">
        <v>84</v>
      </c>
      <c r="Q272">
        <v>227</v>
      </c>
      <c r="R272">
        <v>0</v>
      </c>
      <c r="S272">
        <v>106</v>
      </c>
      <c r="T272">
        <f t="shared" si="14"/>
        <v>-6.6479999999999997</v>
      </c>
    </row>
    <row r="273" spans="1:20" x14ac:dyDescent="0.3">
      <c r="A273" s="1">
        <v>44927</v>
      </c>
      <c r="B273" s="1" t="str">
        <f t="shared" si="12"/>
        <v>Reliance_Bhiwandi_Product_11_44927</v>
      </c>
      <c r="C273" s="2" t="s">
        <v>87</v>
      </c>
      <c r="D273" s="2" t="s">
        <v>88</v>
      </c>
      <c r="E273" s="2" t="s">
        <v>34</v>
      </c>
      <c r="F273" s="2" t="s">
        <v>51</v>
      </c>
      <c r="G273" s="2" t="s">
        <v>66</v>
      </c>
      <c r="H273" s="2" t="s">
        <v>67</v>
      </c>
      <c r="I273" s="2" t="s">
        <v>89</v>
      </c>
      <c r="J273" t="s">
        <v>31</v>
      </c>
      <c r="K273">
        <v>39</v>
      </c>
      <c r="L273" s="3"/>
      <c r="M273" s="3"/>
      <c r="N273" s="3"/>
      <c r="O273" s="3">
        <f t="shared" si="13"/>
        <v>0</v>
      </c>
      <c r="P273">
        <v>48</v>
      </c>
      <c r="Q273">
        <v>214</v>
      </c>
      <c r="R273">
        <v>10</v>
      </c>
      <c r="S273">
        <v>131</v>
      </c>
      <c r="T273">
        <f t="shared" si="14"/>
        <v>-0.36</v>
      </c>
    </row>
    <row r="274" spans="1:20" x14ac:dyDescent="0.3">
      <c r="A274" s="1">
        <v>44927</v>
      </c>
      <c r="B274" s="1" t="str">
        <f t="shared" si="12"/>
        <v>Swiggy_Mundka_Product_14_44927</v>
      </c>
      <c r="C274" s="2" t="s">
        <v>96</v>
      </c>
      <c r="D274" s="2" t="s">
        <v>97</v>
      </c>
      <c r="E274" s="2" t="s">
        <v>34</v>
      </c>
      <c r="F274" s="2" t="s">
        <v>35</v>
      </c>
      <c r="G274" s="2" t="s">
        <v>36</v>
      </c>
      <c r="H274" s="2" t="s">
        <v>47</v>
      </c>
      <c r="I274" s="2" t="s">
        <v>98</v>
      </c>
      <c r="J274" t="s">
        <v>31</v>
      </c>
      <c r="K274">
        <v>4</v>
      </c>
      <c r="L274" s="3"/>
      <c r="M274" s="3"/>
      <c r="N274" s="3"/>
      <c r="O274" s="3">
        <f t="shared" si="13"/>
        <v>0</v>
      </c>
      <c r="P274">
        <v>383.52</v>
      </c>
      <c r="Q274">
        <v>193</v>
      </c>
      <c r="R274">
        <v>0</v>
      </c>
      <c r="S274">
        <v>97</v>
      </c>
      <c r="T274">
        <f t="shared" si="14"/>
        <v>3.3552</v>
      </c>
    </row>
    <row r="275" spans="1:20" x14ac:dyDescent="0.3">
      <c r="A275" s="1">
        <v>44927</v>
      </c>
      <c r="B275" s="1" t="str">
        <f t="shared" si="12"/>
        <v>Reliance_Bangalore_Product_3_44927</v>
      </c>
      <c r="C275" s="2" t="s">
        <v>80</v>
      </c>
      <c r="D275" s="2" t="s">
        <v>81</v>
      </c>
      <c r="E275" s="2" t="s">
        <v>34</v>
      </c>
      <c r="F275" s="2" t="s">
        <v>51</v>
      </c>
      <c r="G275" s="2" t="s">
        <v>79</v>
      </c>
      <c r="H275" s="2" t="s">
        <v>37</v>
      </c>
      <c r="I275" s="2" t="s">
        <v>43</v>
      </c>
      <c r="J275" t="s">
        <v>31</v>
      </c>
      <c r="K275">
        <v>2</v>
      </c>
      <c r="L275" s="3"/>
      <c r="M275" s="3"/>
      <c r="N275" s="3"/>
      <c r="O275" s="3">
        <f t="shared" si="13"/>
        <v>0</v>
      </c>
      <c r="P275">
        <v>383.52</v>
      </c>
      <c r="Q275">
        <v>171</v>
      </c>
      <c r="R275">
        <v>0</v>
      </c>
      <c r="S275">
        <v>127</v>
      </c>
      <c r="T275">
        <f t="shared" si="14"/>
        <v>0</v>
      </c>
    </row>
    <row r="276" spans="1:20" x14ac:dyDescent="0.3">
      <c r="A276" s="1">
        <v>44927</v>
      </c>
      <c r="B276" s="1" t="str">
        <f t="shared" si="12"/>
        <v>Reliance_Bangalore_Product_8_44927</v>
      </c>
      <c r="C276" s="2" t="s">
        <v>77</v>
      </c>
      <c r="D276" s="2" t="s">
        <v>78</v>
      </c>
      <c r="E276" s="2" t="s">
        <v>34</v>
      </c>
      <c r="F276" s="2" t="s">
        <v>51</v>
      </c>
      <c r="G276" s="2" t="s">
        <v>79</v>
      </c>
      <c r="H276" s="2" t="s">
        <v>67</v>
      </c>
      <c r="I276" s="2" t="s">
        <v>68</v>
      </c>
      <c r="J276" t="s">
        <v>31</v>
      </c>
      <c r="K276">
        <v>2</v>
      </c>
      <c r="L276" s="3"/>
      <c r="M276" s="3"/>
      <c r="N276" s="3"/>
      <c r="O276" s="3">
        <f t="shared" si="13"/>
        <v>0</v>
      </c>
      <c r="P276">
        <v>672</v>
      </c>
      <c r="Q276">
        <v>468</v>
      </c>
      <c r="R276">
        <v>14</v>
      </c>
      <c r="S276">
        <v>126</v>
      </c>
      <c r="T276">
        <f t="shared" si="14"/>
        <v>2.8848000000000003</v>
      </c>
    </row>
    <row r="277" spans="1:20" x14ac:dyDescent="0.3">
      <c r="A277" s="1">
        <v>44927</v>
      </c>
      <c r="B277" s="1" t="str">
        <f t="shared" si="12"/>
        <v>Swiggy_Mundka_Product_2_44927</v>
      </c>
      <c r="C277" s="2" t="s">
        <v>32</v>
      </c>
      <c r="D277" s="2" t="s">
        <v>33</v>
      </c>
      <c r="E277" s="2" t="s">
        <v>34</v>
      </c>
      <c r="F277" s="2" t="s">
        <v>35</v>
      </c>
      <c r="G277" s="2" t="s">
        <v>36</v>
      </c>
      <c r="H277" s="2" t="s">
        <v>37</v>
      </c>
      <c r="I277" s="2" t="s">
        <v>38</v>
      </c>
      <c r="J277" t="s">
        <v>31</v>
      </c>
      <c r="K277">
        <v>1</v>
      </c>
      <c r="L277" s="3"/>
      <c r="M277" s="3"/>
      <c r="N277" s="3"/>
      <c r="O277" s="3">
        <f t="shared" si="13"/>
        <v>0</v>
      </c>
      <c r="P277">
        <v>672</v>
      </c>
      <c r="Q277">
        <v>466</v>
      </c>
      <c r="R277">
        <v>6</v>
      </c>
      <c r="S277">
        <v>134</v>
      </c>
      <c r="T277">
        <f t="shared" si="14"/>
        <v>0</v>
      </c>
    </row>
    <row r="278" spans="1:20" x14ac:dyDescent="0.3">
      <c r="A278" s="1">
        <v>44927</v>
      </c>
      <c r="B278" s="1" t="str">
        <f t="shared" si="12"/>
        <v>Reliance_Ahmedabad_Product_18_44927</v>
      </c>
      <c r="C278" s="2" t="s">
        <v>121</v>
      </c>
      <c r="D278" s="2" t="s">
        <v>122</v>
      </c>
      <c r="E278" s="2" t="s">
        <v>34</v>
      </c>
      <c r="F278" s="2" t="s">
        <v>51</v>
      </c>
      <c r="G278" s="2" t="s">
        <v>52</v>
      </c>
      <c r="H278" s="2" t="s">
        <v>29</v>
      </c>
      <c r="I278" s="2" t="s">
        <v>123</v>
      </c>
      <c r="J278" t="s">
        <v>31</v>
      </c>
      <c r="K278">
        <v>6</v>
      </c>
      <c r="L278" s="3"/>
      <c r="M278" s="3"/>
      <c r="N278" s="3"/>
      <c r="O278" s="3">
        <f t="shared" si="13"/>
        <v>0</v>
      </c>
      <c r="P278">
        <v>421.92</v>
      </c>
      <c r="Q278">
        <v>353</v>
      </c>
      <c r="R278">
        <v>4</v>
      </c>
      <c r="S278">
        <v>129</v>
      </c>
      <c r="T278">
        <f t="shared" si="14"/>
        <v>-2.5007999999999999</v>
      </c>
    </row>
    <row r="279" spans="1:20" x14ac:dyDescent="0.3">
      <c r="A279" s="1">
        <v>44927</v>
      </c>
      <c r="B279" s="1" t="str">
        <f t="shared" si="12"/>
        <v>Maharashtra_MH-Aggregated_Product_9_44927</v>
      </c>
      <c r="C279" s="2" t="s">
        <v>69</v>
      </c>
      <c r="D279" s="2" t="s">
        <v>70</v>
      </c>
      <c r="E279" s="2" t="s">
        <v>26</v>
      </c>
      <c r="F279" s="2" t="s">
        <v>41</v>
      </c>
      <c r="G279" s="2" t="s">
        <v>42</v>
      </c>
      <c r="H279" s="2" t="s">
        <v>37</v>
      </c>
      <c r="I279" s="2" t="s">
        <v>71</v>
      </c>
      <c r="J279" t="s">
        <v>31</v>
      </c>
      <c r="K279">
        <v>2</v>
      </c>
      <c r="L279" s="3"/>
      <c r="M279" s="3"/>
      <c r="N279" s="3"/>
      <c r="O279" s="3">
        <f t="shared" si="13"/>
        <v>0</v>
      </c>
      <c r="P279">
        <v>421.92</v>
      </c>
      <c r="Q279">
        <v>127</v>
      </c>
      <c r="R279">
        <v>11</v>
      </c>
      <c r="S279">
        <v>119</v>
      </c>
      <c r="T279">
        <f t="shared" si="14"/>
        <v>0</v>
      </c>
    </row>
    <row r="280" spans="1:20" x14ac:dyDescent="0.3">
      <c r="A280" s="1">
        <v>44927</v>
      </c>
      <c r="B280" s="1" t="str">
        <f t="shared" si="12"/>
        <v>Reliance_Mundka_Product_7_44927</v>
      </c>
      <c r="C280" s="2" t="s">
        <v>58</v>
      </c>
      <c r="D280" s="2" t="s">
        <v>59</v>
      </c>
      <c r="E280" s="2" t="s">
        <v>34</v>
      </c>
      <c r="F280" s="2" t="s">
        <v>51</v>
      </c>
      <c r="G280" s="2" t="s">
        <v>36</v>
      </c>
      <c r="H280" s="2" t="s">
        <v>37</v>
      </c>
      <c r="I280" s="2" t="s">
        <v>60</v>
      </c>
      <c r="J280" t="s">
        <v>31</v>
      </c>
      <c r="K280">
        <v>4</v>
      </c>
      <c r="L280" s="3"/>
      <c r="M280" s="3"/>
      <c r="N280" s="3"/>
      <c r="O280" s="3">
        <f t="shared" si="13"/>
        <v>0</v>
      </c>
      <c r="P280">
        <v>748.8</v>
      </c>
      <c r="Q280">
        <v>224</v>
      </c>
      <c r="R280">
        <v>0</v>
      </c>
      <c r="S280">
        <v>117</v>
      </c>
      <c r="T280">
        <f t="shared" si="14"/>
        <v>3.2687999999999993</v>
      </c>
    </row>
    <row r="281" spans="1:20" x14ac:dyDescent="0.3">
      <c r="A281" s="1">
        <v>44927</v>
      </c>
      <c r="B281" s="1" t="str">
        <f t="shared" si="12"/>
        <v>Reliance_Mundka_Product_6_44927</v>
      </c>
      <c r="C281" s="2" t="s">
        <v>55</v>
      </c>
      <c r="D281" s="2" t="s">
        <v>56</v>
      </c>
      <c r="E281" s="2" t="s">
        <v>34</v>
      </c>
      <c r="F281" s="2" t="s">
        <v>51</v>
      </c>
      <c r="G281" s="2" t="s">
        <v>36</v>
      </c>
      <c r="H281" s="2" t="s">
        <v>37</v>
      </c>
      <c r="I281" s="2" t="s">
        <v>57</v>
      </c>
      <c r="J281" t="s">
        <v>31</v>
      </c>
      <c r="K281">
        <v>2</v>
      </c>
      <c r="L281" s="3"/>
      <c r="M281" s="3"/>
      <c r="N281" s="3"/>
      <c r="O281" s="3">
        <f t="shared" si="13"/>
        <v>0</v>
      </c>
      <c r="P281">
        <v>748.8</v>
      </c>
      <c r="Q281">
        <v>420</v>
      </c>
      <c r="R281">
        <v>1</v>
      </c>
      <c r="S281">
        <v>135</v>
      </c>
      <c r="T281">
        <f t="shared" si="14"/>
        <v>0</v>
      </c>
    </row>
    <row r="282" spans="1:20" x14ac:dyDescent="0.3">
      <c r="A282" s="1">
        <v>44927</v>
      </c>
      <c r="B282" s="1" t="str">
        <f t="shared" si="12"/>
        <v>Reliance_Bhiwandi_Product_8_44927</v>
      </c>
      <c r="C282" s="2" t="s">
        <v>64</v>
      </c>
      <c r="D282" s="2" t="s">
        <v>65</v>
      </c>
      <c r="E282" s="2" t="s">
        <v>34</v>
      </c>
      <c r="F282" s="2" t="s">
        <v>51</v>
      </c>
      <c r="G282" s="2" t="s">
        <v>66</v>
      </c>
      <c r="H282" s="2" t="s">
        <v>67</v>
      </c>
      <c r="I282" s="2" t="s">
        <v>68</v>
      </c>
      <c r="J282" t="s">
        <v>31</v>
      </c>
      <c r="K282">
        <v>5</v>
      </c>
      <c r="L282" s="3"/>
      <c r="M282" s="3"/>
      <c r="N282" s="3"/>
      <c r="O282" s="3">
        <f t="shared" si="13"/>
        <v>0</v>
      </c>
      <c r="P282">
        <v>84</v>
      </c>
      <c r="Q282">
        <v>157</v>
      </c>
      <c r="R282">
        <v>8</v>
      </c>
      <c r="S282">
        <v>126</v>
      </c>
      <c r="T282">
        <f t="shared" si="14"/>
        <v>-6.6479999999999997</v>
      </c>
    </row>
    <row r="283" spans="1:20" x14ac:dyDescent="0.3">
      <c r="A283" s="1">
        <v>44927</v>
      </c>
      <c r="B283" s="1" t="str">
        <f t="shared" si="12"/>
        <v>Swiggy_Kolkata CFA_Product_11_44927</v>
      </c>
      <c r="C283" s="2" t="s">
        <v>119</v>
      </c>
      <c r="D283" s="2" t="s">
        <v>120</v>
      </c>
      <c r="E283" s="2" t="s">
        <v>34</v>
      </c>
      <c r="F283" s="2" t="s">
        <v>35</v>
      </c>
      <c r="G283" s="2" t="s">
        <v>63</v>
      </c>
      <c r="H283" s="2" t="s">
        <v>67</v>
      </c>
      <c r="I283" s="2" t="s">
        <v>89</v>
      </c>
      <c r="J283" t="s">
        <v>31</v>
      </c>
      <c r="K283">
        <v>8</v>
      </c>
      <c r="L283" s="3"/>
      <c r="M283" s="3"/>
      <c r="N283" s="3"/>
      <c r="O283" s="3">
        <f t="shared" si="13"/>
        <v>0</v>
      </c>
      <c r="P283">
        <v>48</v>
      </c>
      <c r="Q283">
        <v>469</v>
      </c>
      <c r="R283">
        <v>2</v>
      </c>
      <c r="S283">
        <v>131</v>
      </c>
      <c r="T283">
        <f t="shared" si="14"/>
        <v>-0.36</v>
      </c>
    </row>
    <row r="284" spans="1:20" x14ac:dyDescent="0.3">
      <c r="A284" s="1">
        <v>44927</v>
      </c>
      <c r="B284" s="1" t="str">
        <f t="shared" si="12"/>
        <v>Grofers_Mundka_Product_21_44927</v>
      </c>
      <c r="C284" s="2" t="s">
        <v>131</v>
      </c>
      <c r="D284" s="2" t="s">
        <v>132</v>
      </c>
      <c r="E284" s="2" t="s">
        <v>34</v>
      </c>
      <c r="F284" s="2" t="s">
        <v>114</v>
      </c>
      <c r="G284" s="2" t="s">
        <v>36</v>
      </c>
      <c r="H284" s="2" t="s">
        <v>133</v>
      </c>
      <c r="I284" s="2" t="s">
        <v>134</v>
      </c>
      <c r="J284" t="s">
        <v>31</v>
      </c>
      <c r="K284">
        <v>13</v>
      </c>
      <c r="L284" s="3"/>
      <c r="M284" s="3"/>
      <c r="N284" s="3"/>
      <c r="O284" s="3">
        <f t="shared" si="13"/>
        <v>0</v>
      </c>
      <c r="P284">
        <v>383.52</v>
      </c>
      <c r="Q284">
        <v>341</v>
      </c>
      <c r="R284">
        <v>0</v>
      </c>
      <c r="S284">
        <v>115</v>
      </c>
      <c r="T284">
        <f t="shared" si="14"/>
        <v>3.3552</v>
      </c>
    </row>
    <row r="285" spans="1:20" x14ac:dyDescent="0.3">
      <c r="A285" s="1">
        <v>44927</v>
      </c>
      <c r="B285" s="1" t="str">
        <f t="shared" si="12"/>
        <v>Reliance_Chennai_Product_11_44927</v>
      </c>
      <c r="C285" s="2" t="s">
        <v>110</v>
      </c>
      <c r="D285" s="2" t="s">
        <v>111</v>
      </c>
      <c r="E285" s="2" t="s">
        <v>34</v>
      </c>
      <c r="F285" s="2" t="s">
        <v>51</v>
      </c>
      <c r="G285" s="2" t="s">
        <v>84</v>
      </c>
      <c r="H285" s="2" t="s">
        <v>67</v>
      </c>
      <c r="I285" s="2" t="s">
        <v>89</v>
      </c>
      <c r="J285" t="s">
        <v>31</v>
      </c>
      <c r="K285">
        <v>3</v>
      </c>
      <c r="L285" s="3"/>
      <c r="M285" s="3"/>
      <c r="N285" s="3"/>
      <c r="O285" s="3">
        <f t="shared" si="13"/>
        <v>0</v>
      </c>
      <c r="P285">
        <v>383.52</v>
      </c>
      <c r="Q285">
        <v>409</v>
      </c>
      <c r="R285">
        <v>0</v>
      </c>
      <c r="S285">
        <v>131</v>
      </c>
      <c r="T285">
        <f t="shared" si="14"/>
        <v>0</v>
      </c>
    </row>
    <row r="286" spans="1:20" x14ac:dyDescent="0.3">
      <c r="A286" s="1">
        <v>44927</v>
      </c>
      <c r="B286" s="1" t="str">
        <f t="shared" si="12"/>
        <v>Reliance_Bhiwandi_Product_10_44927</v>
      </c>
      <c r="C286" s="2" t="s">
        <v>85</v>
      </c>
      <c r="D286" s="2" t="s">
        <v>86</v>
      </c>
      <c r="E286" s="2" t="s">
        <v>34</v>
      </c>
      <c r="F286" s="2" t="s">
        <v>51</v>
      </c>
      <c r="G286" s="2" t="s">
        <v>66</v>
      </c>
      <c r="H286" s="2" t="s">
        <v>67</v>
      </c>
      <c r="I286" s="2" t="s">
        <v>76</v>
      </c>
      <c r="J286" t="s">
        <v>31</v>
      </c>
      <c r="K286">
        <v>6</v>
      </c>
      <c r="L286" s="3"/>
      <c r="M286" s="3"/>
      <c r="N286" s="3"/>
      <c r="O286" s="3">
        <f t="shared" si="13"/>
        <v>0</v>
      </c>
      <c r="P286">
        <v>672</v>
      </c>
      <c r="Q286">
        <v>458</v>
      </c>
      <c r="R286">
        <v>0</v>
      </c>
      <c r="S286">
        <v>106</v>
      </c>
      <c r="T286">
        <f t="shared" si="14"/>
        <v>2.8848000000000003</v>
      </c>
    </row>
    <row r="287" spans="1:20" x14ac:dyDescent="0.3">
      <c r="A287" s="1">
        <v>44927</v>
      </c>
      <c r="B287" s="1" t="str">
        <f t="shared" si="12"/>
        <v>Reliance_Kolkata CFA_Product_12_44927</v>
      </c>
      <c r="C287" s="2" t="s">
        <v>101</v>
      </c>
      <c r="D287" s="2" t="s">
        <v>102</v>
      </c>
      <c r="E287" s="2" t="s">
        <v>34</v>
      </c>
      <c r="F287" s="2" t="s">
        <v>51</v>
      </c>
      <c r="G287" s="2" t="s">
        <v>63</v>
      </c>
      <c r="H287" s="2" t="s">
        <v>67</v>
      </c>
      <c r="I287" s="2" t="s">
        <v>92</v>
      </c>
      <c r="J287" t="s">
        <v>31</v>
      </c>
      <c r="K287">
        <v>1</v>
      </c>
      <c r="L287" s="3"/>
      <c r="M287" s="3"/>
      <c r="N287" s="3"/>
      <c r="O287" s="3">
        <f t="shared" si="13"/>
        <v>0</v>
      </c>
      <c r="P287">
        <v>672</v>
      </c>
      <c r="Q287">
        <v>438</v>
      </c>
      <c r="R287">
        <v>1</v>
      </c>
      <c r="S287">
        <v>94</v>
      </c>
      <c r="T287">
        <f t="shared" si="14"/>
        <v>0</v>
      </c>
    </row>
    <row r="288" spans="1:20" x14ac:dyDescent="0.3">
      <c r="A288" s="1">
        <v>44927</v>
      </c>
      <c r="B288" s="1" t="str">
        <f t="shared" si="12"/>
        <v>Reliance_Ahmedabad_Product_5_44927</v>
      </c>
      <c r="C288" s="2" t="s">
        <v>49</v>
      </c>
      <c r="D288" s="2" t="s">
        <v>50</v>
      </c>
      <c r="E288" s="2" t="s">
        <v>34</v>
      </c>
      <c r="F288" s="2" t="s">
        <v>51</v>
      </c>
      <c r="G288" s="2" t="s">
        <v>52</v>
      </c>
      <c r="H288" s="2" t="s">
        <v>53</v>
      </c>
      <c r="I288" s="2" t="s">
        <v>54</v>
      </c>
      <c r="J288" t="s">
        <v>31</v>
      </c>
      <c r="K288">
        <v>29</v>
      </c>
      <c r="L288" s="3"/>
      <c r="M288" s="3"/>
      <c r="N288" s="3"/>
      <c r="O288" s="3">
        <f t="shared" si="13"/>
        <v>0</v>
      </c>
      <c r="P288">
        <v>421.92</v>
      </c>
      <c r="Q288">
        <v>357</v>
      </c>
      <c r="R288">
        <v>2</v>
      </c>
      <c r="S288">
        <v>132</v>
      </c>
      <c r="T288">
        <f t="shared" si="14"/>
        <v>-2.5007999999999999</v>
      </c>
    </row>
    <row r="289" spans="1:20" x14ac:dyDescent="0.3">
      <c r="A289" s="1">
        <v>44927</v>
      </c>
      <c r="B289" s="1" t="str">
        <f t="shared" si="12"/>
        <v>Swiggy_Bangalore_Product_16_44927</v>
      </c>
      <c r="C289" s="2" t="s">
        <v>107</v>
      </c>
      <c r="D289" s="2" t="s">
        <v>108</v>
      </c>
      <c r="E289" s="2" t="s">
        <v>34</v>
      </c>
      <c r="F289" s="2" t="s">
        <v>35</v>
      </c>
      <c r="G289" s="2" t="s">
        <v>79</v>
      </c>
      <c r="H289" s="2" t="s">
        <v>47</v>
      </c>
      <c r="I289" s="2" t="s">
        <v>109</v>
      </c>
      <c r="J289" t="s">
        <v>31</v>
      </c>
      <c r="K289">
        <v>6</v>
      </c>
      <c r="L289" s="3"/>
      <c r="M289" s="3"/>
      <c r="N289" s="3"/>
      <c r="O289" s="3">
        <f t="shared" si="13"/>
        <v>0</v>
      </c>
      <c r="P289">
        <v>421.92</v>
      </c>
      <c r="Q289">
        <v>451</v>
      </c>
      <c r="R289">
        <v>9</v>
      </c>
      <c r="S289">
        <v>122</v>
      </c>
      <c r="T289">
        <f t="shared" si="14"/>
        <v>0</v>
      </c>
    </row>
    <row r="290" spans="1:20" x14ac:dyDescent="0.3">
      <c r="A290" s="1">
        <v>44927</v>
      </c>
      <c r="B290" s="1" t="str">
        <f t="shared" si="12"/>
        <v>Swiggy_Kolkata CFA_Product_3_44927</v>
      </c>
      <c r="C290" s="2" t="s">
        <v>61</v>
      </c>
      <c r="D290" s="2" t="s">
        <v>62</v>
      </c>
      <c r="E290" s="2" t="s">
        <v>34</v>
      </c>
      <c r="F290" s="2" t="s">
        <v>35</v>
      </c>
      <c r="G290" s="2" t="s">
        <v>63</v>
      </c>
      <c r="H290" s="2" t="s">
        <v>37</v>
      </c>
      <c r="I290" s="2" t="s">
        <v>43</v>
      </c>
      <c r="J290" t="s">
        <v>31</v>
      </c>
      <c r="K290">
        <v>10</v>
      </c>
      <c r="L290" s="3"/>
      <c r="M290" s="3"/>
      <c r="N290" s="3"/>
      <c r="O290" s="3">
        <f t="shared" si="13"/>
        <v>0</v>
      </c>
      <c r="P290">
        <v>748.8</v>
      </c>
      <c r="Q290">
        <v>406</v>
      </c>
      <c r="R290">
        <v>0</v>
      </c>
      <c r="S290">
        <v>127</v>
      </c>
      <c r="T290">
        <f t="shared" si="14"/>
        <v>3.2687999999999993</v>
      </c>
    </row>
    <row r="291" spans="1:20" x14ac:dyDescent="0.3">
      <c r="A291" s="1">
        <v>44927</v>
      </c>
      <c r="B291" s="1" t="str">
        <f t="shared" si="12"/>
        <v>Zepto_Bangalore_Product_12_44927</v>
      </c>
      <c r="C291" s="2" t="s">
        <v>90</v>
      </c>
      <c r="D291" s="2" t="s">
        <v>91</v>
      </c>
      <c r="E291" s="2" t="s">
        <v>34</v>
      </c>
      <c r="F291" s="2" t="s">
        <v>46</v>
      </c>
      <c r="G291" s="2" t="s">
        <v>79</v>
      </c>
      <c r="H291" s="2" t="s">
        <v>67</v>
      </c>
      <c r="I291" s="2" t="s">
        <v>92</v>
      </c>
      <c r="J291" t="s">
        <v>31</v>
      </c>
      <c r="K291">
        <v>2</v>
      </c>
      <c r="L291" s="3"/>
      <c r="M291" s="3"/>
      <c r="N291" s="3"/>
      <c r="O291" s="3">
        <f t="shared" si="13"/>
        <v>0</v>
      </c>
      <c r="P291">
        <v>748.8</v>
      </c>
      <c r="Q291">
        <v>414</v>
      </c>
      <c r="R291">
        <v>0</v>
      </c>
      <c r="S291">
        <v>94</v>
      </c>
      <c r="T291">
        <f t="shared" si="14"/>
        <v>0</v>
      </c>
    </row>
    <row r="292" spans="1:20" x14ac:dyDescent="0.3">
      <c r="A292" s="1">
        <v>44958</v>
      </c>
      <c r="B292" s="1" t="str">
        <f t="shared" si="12"/>
        <v>Reliance_Ahmedabad_Product_7_44958</v>
      </c>
      <c r="C292" s="2" t="s">
        <v>99</v>
      </c>
      <c r="D292" s="2" t="s">
        <v>100</v>
      </c>
      <c r="E292" s="2" t="s">
        <v>34</v>
      </c>
      <c r="F292" s="2" t="s">
        <v>51</v>
      </c>
      <c r="G292" s="2" t="s">
        <v>52</v>
      </c>
      <c r="H292" s="2" t="s">
        <v>37</v>
      </c>
      <c r="I292" s="2" t="s">
        <v>60</v>
      </c>
      <c r="J292" t="s">
        <v>31</v>
      </c>
      <c r="K292">
        <v>17</v>
      </c>
      <c r="L292" s="3"/>
      <c r="M292" s="3"/>
      <c r="N292" s="3"/>
      <c r="O292" s="3">
        <f t="shared" si="13"/>
        <v>0</v>
      </c>
      <c r="P292">
        <v>84</v>
      </c>
      <c r="Q292">
        <v>365</v>
      </c>
      <c r="R292">
        <v>2</v>
      </c>
      <c r="S292">
        <v>117</v>
      </c>
      <c r="T292">
        <f t="shared" si="14"/>
        <v>-6.6479999999999997</v>
      </c>
    </row>
    <row r="293" spans="1:20" x14ac:dyDescent="0.3">
      <c r="A293" s="1">
        <v>44958</v>
      </c>
      <c r="B293" s="1" t="str">
        <f t="shared" si="12"/>
        <v>Jharkhand_JH-Aggregated_Product_19_44958</v>
      </c>
      <c r="C293" s="2" t="s">
        <v>124</v>
      </c>
      <c r="D293" s="2" t="s">
        <v>125</v>
      </c>
      <c r="E293" s="2" t="s">
        <v>26</v>
      </c>
      <c r="F293" s="2" t="s">
        <v>27</v>
      </c>
      <c r="G293" s="2" t="s">
        <v>28</v>
      </c>
      <c r="H293" s="2" t="s">
        <v>126</v>
      </c>
      <c r="I293" s="2" t="s">
        <v>127</v>
      </c>
      <c r="J293" t="s">
        <v>31</v>
      </c>
      <c r="K293">
        <v>39</v>
      </c>
      <c r="L293" s="3"/>
      <c r="M293" s="3"/>
      <c r="N293" s="3"/>
      <c r="O293" s="3">
        <f t="shared" si="13"/>
        <v>0</v>
      </c>
      <c r="P293">
        <v>48</v>
      </c>
      <c r="Q293">
        <v>397</v>
      </c>
      <c r="R293">
        <v>6</v>
      </c>
      <c r="S293">
        <v>94</v>
      </c>
      <c r="T293">
        <f t="shared" si="14"/>
        <v>-0.36</v>
      </c>
    </row>
    <row r="294" spans="1:20" x14ac:dyDescent="0.3">
      <c r="A294" s="1">
        <v>44958</v>
      </c>
      <c r="B294" s="1" t="str">
        <f t="shared" si="12"/>
        <v>Reliance_Kolkata CFA_Product_12_44958</v>
      </c>
      <c r="C294" s="2" t="s">
        <v>101</v>
      </c>
      <c r="D294" s="2" t="s">
        <v>102</v>
      </c>
      <c r="E294" s="2" t="s">
        <v>34</v>
      </c>
      <c r="F294" s="2" t="s">
        <v>51</v>
      </c>
      <c r="G294" s="2" t="s">
        <v>63</v>
      </c>
      <c r="H294" s="2" t="s">
        <v>67</v>
      </c>
      <c r="I294" s="2" t="s">
        <v>92</v>
      </c>
      <c r="J294" t="s">
        <v>31</v>
      </c>
      <c r="K294">
        <v>28</v>
      </c>
      <c r="L294" s="3"/>
      <c r="M294" s="3"/>
      <c r="N294" s="3"/>
      <c r="O294" s="3">
        <f t="shared" si="13"/>
        <v>0</v>
      </c>
      <c r="P294">
        <v>383.52</v>
      </c>
      <c r="Q294">
        <v>231</v>
      </c>
      <c r="R294">
        <v>0</v>
      </c>
      <c r="S294">
        <v>94</v>
      </c>
      <c r="T294">
        <f t="shared" si="14"/>
        <v>3.3552</v>
      </c>
    </row>
    <row r="295" spans="1:20" x14ac:dyDescent="0.3">
      <c r="A295" s="1">
        <v>44958</v>
      </c>
      <c r="B295" s="1" t="str">
        <f t="shared" si="12"/>
        <v>Reliance_Bangalore_Product_3_44958</v>
      </c>
      <c r="C295" s="2" t="s">
        <v>80</v>
      </c>
      <c r="D295" s="2" t="s">
        <v>81</v>
      </c>
      <c r="E295" s="2" t="s">
        <v>34</v>
      </c>
      <c r="F295" s="2" t="s">
        <v>51</v>
      </c>
      <c r="G295" s="2" t="s">
        <v>79</v>
      </c>
      <c r="H295" s="2" t="s">
        <v>37</v>
      </c>
      <c r="I295" s="2" t="s">
        <v>43</v>
      </c>
      <c r="J295" t="s">
        <v>31</v>
      </c>
      <c r="K295">
        <v>5</v>
      </c>
      <c r="L295" s="3"/>
      <c r="M295" s="3"/>
      <c r="N295" s="3"/>
      <c r="O295" s="3">
        <f t="shared" si="13"/>
        <v>0</v>
      </c>
      <c r="P295">
        <v>383.52</v>
      </c>
      <c r="Q295">
        <v>230</v>
      </c>
      <c r="R295">
        <v>6</v>
      </c>
      <c r="S295">
        <v>127</v>
      </c>
      <c r="T295">
        <f t="shared" si="14"/>
        <v>0</v>
      </c>
    </row>
    <row r="296" spans="1:20" x14ac:dyDescent="0.3">
      <c r="A296" s="1">
        <v>44958</v>
      </c>
      <c r="B296" s="1" t="str">
        <f t="shared" si="12"/>
        <v>Maharashtra_MH-Aggregated_Product_3_44958</v>
      </c>
      <c r="C296" s="2" t="s">
        <v>39</v>
      </c>
      <c r="D296" s="2" t="s">
        <v>40</v>
      </c>
      <c r="E296" s="2" t="s">
        <v>26</v>
      </c>
      <c r="F296" s="2" t="s">
        <v>41</v>
      </c>
      <c r="G296" s="2" t="s">
        <v>42</v>
      </c>
      <c r="H296" s="2" t="s">
        <v>37</v>
      </c>
      <c r="I296" s="2" t="s">
        <v>43</v>
      </c>
      <c r="J296" t="s">
        <v>31</v>
      </c>
      <c r="K296">
        <v>12</v>
      </c>
      <c r="L296" s="3"/>
      <c r="M296" s="3"/>
      <c r="N296" s="3"/>
      <c r="O296" s="3">
        <f t="shared" si="13"/>
        <v>0</v>
      </c>
      <c r="P296">
        <v>672</v>
      </c>
      <c r="Q296">
        <v>369</v>
      </c>
      <c r="R296">
        <v>0</v>
      </c>
      <c r="S296">
        <v>127</v>
      </c>
      <c r="T296">
        <f t="shared" si="14"/>
        <v>2.8848000000000003</v>
      </c>
    </row>
    <row r="297" spans="1:20" x14ac:dyDescent="0.3">
      <c r="A297" s="1">
        <v>44958</v>
      </c>
      <c r="B297" s="1" t="str">
        <f t="shared" si="12"/>
        <v>Reliance_Chennai_Product_11_44958</v>
      </c>
      <c r="C297" s="2" t="s">
        <v>110</v>
      </c>
      <c r="D297" s="2" t="s">
        <v>111</v>
      </c>
      <c r="E297" s="2" t="s">
        <v>34</v>
      </c>
      <c r="F297" s="2" t="s">
        <v>51</v>
      </c>
      <c r="G297" s="2" t="s">
        <v>84</v>
      </c>
      <c r="H297" s="2" t="s">
        <v>67</v>
      </c>
      <c r="I297" s="2" t="s">
        <v>89</v>
      </c>
      <c r="J297" t="s">
        <v>31</v>
      </c>
      <c r="K297">
        <v>3</v>
      </c>
      <c r="L297" s="3"/>
      <c r="M297" s="3"/>
      <c r="N297" s="3"/>
      <c r="O297" s="3">
        <f t="shared" si="13"/>
        <v>0</v>
      </c>
      <c r="P297">
        <v>672</v>
      </c>
      <c r="Q297">
        <v>332</v>
      </c>
      <c r="R297">
        <v>0</v>
      </c>
      <c r="S297">
        <v>131</v>
      </c>
      <c r="T297">
        <f t="shared" si="14"/>
        <v>0</v>
      </c>
    </row>
    <row r="298" spans="1:20" x14ac:dyDescent="0.3">
      <c r="A298" s="1">
        <v>44958</v>
      </c>
      <c r="B298" s="1" t="str">
        <f t="shared" si="12"/>
        <v>Zepto_Bhiwandi_Product_10_44958</v>
      </c>
      <c r="C298" s="2" t="s">
        <v>74</v>
      </c>
      <c r="D298" s="2" t="s">
        <v>75</v>
      </c>
      <c r="E298" s="2" t="s">
        <v>34</v>
      </c>
      <c r="F298" s="2" t="s">
        <v>46</v>
      </c>
      <c r="G298" s="2" t="s">
        <v>66</v>
      </c>
      <c r="H298" s="2" t="s">
        <v>67</v>
      </c>
      <c r="I298" s="2" t="s">
        <v>76</v>
      </c>
      <c r="J298" t="s">
        <v>31</v>
      </c>
      <c r="K298">
        <v>67</v>
      </c>
      <c r="L298" s="4"/>
      <c r="M298" s="3"/>
      <c r="N298" s="3"/>
      <c r="O298" s="3">
        <f t="shared" si="13"/>
        <v>0</v>
      </c>
      <c r="P298">
        <v>421.92</v>
      </c>
      <c r="Q298">
        <v>149</v>
      </c>
      <c r="R298">
        <v>6</v>
      </c>
      <c r="S298">
        <v>106</v>
      </c>
      <c r="T298">
        <f t="shared" si="14"/>
        <v>-2.5007999999999999</v>
      </c>
    </row>
    <row r="299" spans="1:20" x14ac:dyDescent="0.3">
      <c r="A299" s="1">
        <v>44958</v>
      </c>
      <c r="B299" s="1" t="str">
        <f t="shared" si="12"/>
        <v>Maharashtra_MH-Aggregated_Product_22_44958</v>
      </c>
      <c r="C299" s="2" t="s">
        <v>138</v>
      </c>
      <c r="D299" s="2" t="s">
        <v>139</v>
      </c>
      <c r="E299" s="2" t="s">
        <v>26</v>
      </c>
      <c r="F299" s="2" t="s">
        <v>41</v>
      </c>
      <c r="G299" s="2" t="s">
        <v>42</v>
      </c>
      <c r="H299" s="2" t="s">
        <v>140</v>
      </c>
      <c r="I299" s="2" t="s">
        <v>141</v>
      </c>
      <c r="J299" t="s">
        <v>31</v>
      </c>
      <c r="K299">
        <v>12</v>
      </c>
      <c r="L299" s="3"/>
      <c r="M299" s="3"/>
      <c r="N299" s="3"/>
      <c r="O299" s="3">
        <f t="shared" si="13"/>
        <v>0</v>
      </c>
      <c r="P299">
        <v>421.92</v>
      </c>
      <c r="Q299">
        <v>318</v>
      </c>
      <c r="R299">
        <v>2</v>
      </c>
      <c r="S299">
        <v>126</v>
      </c>
      <c r="T299">
        <f t="shared" si="14"/>
        <v>0</v>
      </c>
    </row>
    <row r="300" spans="1:20" x14ac:dyDescent="0.3">
      <c r="A300" s="1">
        <v>44958</v>
      </c>
      <c r="B300" s="1" t="str">
        <f t="shared" si="12"/>
        <v>Maharashtra_MH-Aggregated_Product_23_44958</v>
      </c>
      <c r="C300" s="2" t="s">
        <v>142</v>
      </c>
      <c r="D300" s="2" t="s">
        <v>143</v>
      </c>
      <c r="E300" s="2" t="s">
        <v>26</v>
      </c>
      <c r="F300" s="2" t="s">
        <v>41</v>
      </c>
      <c r="G300" s="2" t="s">
        <v>42</v>
      </c>
      <c r="H300" s="2" t="s">
        <v>140</v>
      </c>
      <c r="I300" s="2" t="s">
        <v>144</v>
      </c>
      <c r="J300" t="s">
        <v>31</v>
      </c>
      <c r="K300">
        <v>21</v>
      </c>
      <c r="L300" s="3"/>
      <c r="M300" s="3"/>
      <c r="N300" s="3"/>
      <c r="O300" s="3">
        <f t="shared" si="13"/>
        <v>0</v>
      </c>
      <c r="P300">
        <v>748.8</v>
      </c>
      <c r="Q300">
        <v>433</v>
      </c>
      <c r="R300">
        <v>0</v>
      </c>
      <c r="S300">
        <v>144</v>
      </c>
      <c r="T300">
        <f t="shared" si="14"/>
        <v>3.2687999999999993</v>
      </c>
    </row>
    <row r="301" spans="1:20" x14ac:dyDescent="0.3">
      <c r="A301" s="1">
        <v>44958</v>
      </c>
      <c r="B301" s="1" t="str">
        <f t="shared" si="12"/>
        <v>Reliance_Bangalore_Product_8_44958</v>
      </c>
      <c r="C301" s="2" t="s">
        <v>77</v>
      </c>
      <c r="D301" s="2" t="s">
        <v>78</v>
      </c>
      <c r="E301" s="2" t="s">
        <v>34</v>
      </c>
      <c r="F301" s="2" t="s">
        <v>51</v>
      </c>
      <c r="G301" s="2" t="s">
        <v>79</v>
      </c>
      <c r="H301" s="2" t="s">
        <v>67</v>
      </c>
      <c r="I301" s="2" t="s">
        <v>68</v>
      </c>
      <c r="J301" t="s">
        <v>31</v>
      </c>
      <c r="K301">
        <v>4</v>
      </c>
      <c r="L301" s="3"/>
      <c r="M301" s="3"/>
      <c r="N301" s="3"/>
      <c r="O301" s="3">
        <f t="shared" si="13"/>
        <v>0</v>
      </c>
      <c r="P301">
        <v>748.8</v>
      </c>
      <c r="Q301">
        <v>116</v>
      </c>
      <c r="R301">
        <v>0</v>
      </c>
      <c r="S301">
        <v>126</v>
      </c>
      <c r="T301">
        <f t="shared" si="14"/>
        <v>0</v>
      </c>
    </row>
    <row r="302" spans="1:20" x14ac:dyDescent="0.3">
      <c r="A302" s="1">
        <v>44958</v>
      </c>
      <c r="B302" s="1" t="str">
        <f t="shared" si="12"/>
        <v>Swiggy_Mundka_Product_14_44958</v>
      </c>
      <c r="C302" s="2" t="s">
        <v>96</v>
      </c>
      <c r="D302" s="2" t="s">
        <v>97</v>
      </c>
      <c r="E302" s="2" t="s">
        <v>34</v>
      </c>
      <c r="F302" s="2" t="s">
        <v>35</v>
      </c>
      <c r="G302" s="2" t="s">
        <v>36</v>
      </c>
      <c r="H302" s="2" t="s">
        <v>47</v>
      </c>
      <c r="I302" s="2" t="s">
        <v>98</v>
      </c>
      <c r="J302" t="s">
        <v>31</v>
      </c>
      <c r="K302">
        <v>39</v>
      </c>
      <c r="L302" s="3"/>
      <c r="M302" s="3"/>
      <c r="N302" s="3"/>
      <c r="O302" s="3">
        <f t="shared" si="13"/>
        <v>0</v>
      </c>
      <c r="P302">
        <v>84</v>
      </c>
      <c r="Q302">
        <v>136</v>
      </c>
      <c r="R302">
        <v>9</v>
      </c>
      <c r="S302">
        <v>97</v>
      </c>
      <c r="T302">
        <f t="shared" si="14"/>
        <v>-6.6479999999999997</v>
      </c>
    </row>
    <row r="303" spans="1:20" x14ac:dyDescent="0.3">
      <c r="A303" s="1">
        <v>44958</v>
      </c>
      <c r="B303" s="1" t="str">
        <f t="shared" si="12"/>
        <v>Reliance_Bhiwandi_Product_11_44958</v>
      </c>
      <c r="C303" s="2" t="s">
        <v>87</v>
      </c>
      <c r="D303" s="2" t="s">
        <v>88</v>
      </c>
      <c r="E303" s="2" t="s">
        <v>34</v>
      </c>
      <c r="F303" s="2" t="s">
        <v>51</v>
      </c>
      <c r="G303" s="2" t="s">
        <v>66</v>
      </c>
      <c r="H303" s="2" t="s">
        <v>67</v>
      </c>
      <c r="I303" s="2" t="s">
        <v>89</v>
      </c>
      <c r="J303" t="s">
        <v>31</v>
      </c>
      <c r="K303">
        <v>88</v>
      </c>
      <c r="L303" s="3"/>
      <c r="M303" s="3"/>
      <c r="N303" s="3"/>
      <c r="O303" s="3">
        <f t="shared" si="13"/>
        <v>0</v>
      </c>
      <c r="P303">
        <v>48</v>
      </c>
      <c r="Q303">
        <v>396</v>
      </c>
      <c r="R303">
        <v>0</v>
      </c>
      <c r="S303">
        <v>131</v>
      </c>
      <c r="T303">
        <f t="shared" si="14"/>
        <v>-0.36</v>
      </c>
    </row>
    <row r="304" spans="1:20" x14ac:dyDescent="0.3">
      <c r="A304" s="1">
        <v>44958</v>
      </c>
      <c r="B304" s="1" t="str">
        <f t="shared" si="12"/>
        <v>Grofers_Hyderabad_Product_21_44958</v>
      </c>
      <c r="C304" s="2" t="s">
        <v>135</v>
      </c>
      <c r="D304" s="2" t="s">
        <v>136</v>
      </c>
      <c r="E304" s="2" t="s">
        <v>34</v>
      </c>
      <c r="F304" s="2" t="s">
        <v>114</v>
      </c>
      <c r="G304" s="2" t="s">
        <v>137</v>
      </c>
      <c r="H304" s="2" t="s">
        <v>133</v>
      </c>
      <c r="I304" s="2" t="s">
        <v>134</v>
      </c>
      <c r="J304" t="s">
        <v>31</v>
      </c>
      <c r="K304">
        <v>3</v>
      </c>
      <c r="L304" s="3"/>
      <c r="M304" s="3"/>
      <c r="N304" s="3"/>
      <c r="O304" s="3">
        <f t="shared" si="13"/>
        <v>0</v>
      </c>
      <c r="P304">
        <v>383.52</v>
      </c>
      <c r="Q304">
        <v>108</v>
      </c>
      <c r="R304">
        <v>8</v>
      </c>
      <c r="S304">
        <v>115</v>
      </c>
      <c r="T304">
        <f t="shared" si="14"/>
        <v>3.3552</v>
      </c>
    </row>
    <row r="305" spans="1:20" x14ac:dyDescent="0.3">
      <c r="A305" s="1">
        <v>44958</v>
      </c>
      <c r="B305" s="1" t="str">
        <f t="shared" si="12"/>
        <v>Reliance_Bhiwandi_Product_8_44958</v>
      </c>
      <c r="C305" s="2" t="s">
        <v>64</v>
      </c>
      <c r="D305" s="2" t="s">
        <v>65</v>
      </c>
      <c r="E305" s="2" t="s">
        <v>34</v>
      </c>
      <c r="F305" s="2" t="s">
        <v>51</v>
      </c>
      <c r="G305" s="2" t="s">
        <v>66</v>
      </c>
      <c r="H305" s="2" t="s">
        <v>67</v>
      </c>
      <c r="I305" s="2" t="s">
        <v>68</v>
      </c>
      <c r="J305" t="s">
        <v>31</v>
      </c>
      <c r="K305">
        <v>2</v>
      </c>
      <c r="L305" s="3"/>
      <c r="M305" s="3"/>
      <c r="N305" s="3"/>
      <c r="O305" s="3">
        <f t="shared" si="13"/>
        <v>0</v>
      </c>
      <c r="P305">
        <v>383.52</v>
      </c>
      <c r="Q305">
        <v>246</v>
      </c>
      <c r="R305">
        <v>5</v>
      </c>
      <c r="S305">
        <v>126</v>
      </c>
      <c r="T305">
        <f t="shared" si="14"/>
        <v>0</v>
      </c>
    </row>
    <row r="306" spans="1:20" x14ac:dyDescent="0.3">
      <c r="A306" s="1">
        <v>44958</v>
      </c>
      <c r="B306" s="1" t="str">
        <f t="shared" si="12"/>
        <v>Reliance_Mundka_Product_7_44958</v>
      </c>
      <c r="C306" s="2" t="s">
        <v>58</v>
      </c>
      <c r="D306" s="2" t="s">
        <v>59</v>
      </c>
      <c r="E306" s="2" t="s">
        <v>34</v>
      </c>
      <c r="F306" s="2" t="s">
        <v>51</v>
      </c>
      <c r="G306" s="2" t="s">
        <v>36</v>
      </c>
      <c r="H306" s="2" t="s">
        <v>37</v>
      </c>
      <c r="I306" s="2" t="s">
        <v>60</v>
      </c>
      <c r="J306" t="s">
        <v>31</v>
      </c>
      <c r="K306">
        <v>1</v>
      </c>
      <c r="L306" s="3"/>
      <c r="M306" s="3"/>
      <c r="N306" s="3"/>
      <c r="O306" s="3">
        <f t="shared" si="13"/>
        <v>0</v>
      </c>
      <c r="P306">
        <v>672</v>
      </c>
      <c r="Q306">
        <v>339</v>
      </c>
      <c r="R306">
        <v>0</v>
      </c>
      <c r="S306">
        <v>117</v>
      </c>
      <c r="T306">
        <f t="shared" si="14"/>
        <v>2.8848000000000003</v>
      </c>
    </row>
    <row r="307" spans="1:20" x14ac:dyDescent="0.3">
      <c r="A307" s="1">
        <v>44958</v>
      </c>
      <c r="B307" s="1" t="str">
        <f t="shared" si="12"/>
        <v>Swiggy_Kolkata CFA_Product_20_44958</v>
      </c>
      <c r="C307" s="2" t="s">
        <v>128</v>
      </c>
      <c r="D307" s="2" t="s">
        <v>129</v>
      </c>
      <c r="E307" s="2" t="s">
        <v>34</v>
      </c>
      <c r="F307" s="2" t="s">
        <v>35</v>
      </c>
      <c r="G307" s="2" t="s">
        <v>63</v>
      </c>
      <c r="H307" s="2" t="s">
        <v>47</v>
      </c>
      <c r="I307" s="2" t="s">
        <v>130</v>
      </c>
      <c r="J307" t="s">
        <v>31</v>
      </c>
      <c r="K307">
        <v>1</v>
      </c>
      <c r="L307" s="3"/>
      <c r="M307" s="3"/>
      <c r="N307" s="3"/>
      <c r="O307" s="3">
        <f t="shared" si="13"/>
        <v>0</v>
      </c>
      <c r="P307">
        <v>672</v>
      </c>
      <c r="Q307">
        <v>287</v>
      </c>
      <c r="R307">
        <v>2</v>
      </c>
      <c r="S307">
        <v>125</v>
      </c>
      <c r="T307">
        <f t="shared" si="14"/>
        <v>0</v>
      </c>
    </row>
    <row r="308" spans="1:20" x14ac:dyDescent="0.3">
      <c r="A308" s="1">
        <v>44958</v>
      </c>
      <c r="B308" s="1" t="str">
        <f t="shared" si="12"/>
        <v>Swiggy_Bangalore_Product_16_44958</v>
      </c>
      <c r="C308" s="2" t="s">
        <v>107</v>
      </c>
      <c r="D308" s="2" t="s">
        <v>108</v>
      </c>
      <c r="E308" s="2" t="s">
        <v>34</v>
      </c>
      <c r="F308" s="2" t="s">
        <v>35</v>
      </c>
      <c r="G308" s="2" t="s">
        <v>79</v>
      </c>
      <c r="H308" s="2" t="s">
        <v>47</v>
      </c>
      <c r="I308" s="2" t="s">
        <v>109</v>
      </c>
      <c r="J308" t="s">
        <v>31</v>
      </c>
      <c r="K308">
        <v>5</v>
      </c>
      <c r="L308" s="3"/>
      <c r="M308" s="3"/>
      <c r="N308" s="3"/>
      <c r="O308" s="3">
        <f t="shared" si="13"/>
        <v>0</v>
      </c>
      <c r="P308">
        <v>421.92</v>
      </c>
      <c r="Q308">
        <v>107</v>
      </c>
      <c r="R308">
        <v>0</v>
      </c>
      <c r="S308">
        <v>122</v>
      </c>
      <c r="T308">
        <f t="shared" si="14"/>
        <v>-2.5007999999999999</v>
      </c>
    </row>
    <row r="309" spans="1:20" x14ac:dyDescent="0.3">
      <c r="A309" s="1">
        <v>44958</v>
      </c>
      <c r="B309" s="1" t="str">
        <f t="shared" si="12"/>
        <v>Maharashtra_MH-Aggregated_Product_9_44958</v>
      </c>
      <c r="C309" s="2" t="s">
        <v>69</v>
      </c>
      <c r="D309" s="2" t="s">
        <v>70</v>
      </c>
      <c r="E309" s="2" t="s">
        <v>26</v>
      </c>
      <c r="F309" s="2" t="s">
        <v>41</v>
      </c>
      <c r="G309" s="2" t="s">
        <v>42</v>
      </c>
      <c r="H309" s="2" t="s">
        <v>37</v>
      </c>
      <c r="I309" s="2" t="s">
        <v>71</v>
      </c>
      <c r="J309" t="s">
        <v>31</v>
      </c>
      <c r="K309">
        <v>1</v>
      </c>
      <c r="L309" s="3"/>
      <c r="M309" s="3"/>
      <c r="N309" s="3"/>
      <c r="O309" s="3">
        <f t="shared" si="13"/>
        <v>0</v>
      </c>
      <c r="P309">
        <v>421.92</v>
      </c>
      <c r="Q309">
        <v>209</v>
      </c>
      <c r="R309">
        <v>0</v>
      </c>
      <c r="S309">
        <v>119</v>
      </c>
      <c r="T309">
        <f t="shared" si="14"/>
        <v>0</v>
      </c>
    </row>
    <row r="310" spans="1:20" x14ac:dyDescent="0.3">
      <c r="A310" s="1">
        <v>44958</v>
      </c>
      <c r="B310" s="1" t="str">
        <f t="shared" si="12"/>
        <v>Grofers_Mundka_Product_21_44958</v>
      </c>
      <c r="C310" s="2" t="s">
        <v>131</v>
      </c>
      <c r="D310" s="2" t="s">
        <v>132</v>
      </c>
      <c r="E310" s="2" t="s">
        <v>34</v>
      </c>
      <c r="F310" s="2" t="s">
        <v>114</v>
      </c>
      <c r="G310" s="2" t="s">
        <v>36</v>
      </c>
      <c r="H310" s="2" t="s">
        <v>133</v>
      </c>
      <c r="I310" s="2" t="s">
        <v>134</v>
      </c>
      <c r="J310" t="s">
        <v>31</v>
      </c>
      <c r="K310">
        <v>3</v>
      </c>
      <c r="L310" s="3"/>
      <c r="M310" s="3"/>
      <c r="N310" s="3"/>
      <c r="O310" s="3">
        <f t="shared" si="13"/>
        <v>0</v>
      </c>
      <c r="P310">
        <v>748.8</v>
      </c>
      <c r="Q310">
        <v>112</v>
      </c>
      <c r="R310">
        <v>0</v>
      </c>
      <c r="S310">
        <v>115</v>
      </c>
      <c r="T310">
        <f t="shared" si="14"/>
        <v>3.2687999999999993</v>
      </c>
    </row>
    <row r="311" spans="1:20" x14ac:dyDescent="0.3">
      <c r="A311" s="1">
        <v>44958</v>
      </c>
      <c r="B311" s="1" t="str">
        <f t="shared" si="12"/>
        <v>Swiggy_Mundka_Product_2_44958</v>
      </c>
      <c r="C311" s="2" t="s">
        <v>32</v>
      </c>
      <c r="D311" s="2" t="s">
        <v>33</v>
      </c>
      <c r="E311" s="2" t="s">
        <v>34</v>
      </c>
      <c r="F311" s="2" t="s">
        <v>35</v>
      </c>
      <c r="G311" s="2" t="s">
        <v>36</v>
      </c>
      <c r="H311" s="2" t="s">
        <v>37</v>
      </c>
      <c r="I311" s="2" t="s">
        <v>38</v>
      </c>
      <c r="J311" t="s">
        <v>31</v>
      </c>
      <c r="K311">
        <v>2</v>
      </c>
      <c r="L311" s="3"/>
      <c r="M311" s="3"/>
      <c r="N311" s="3"/>
      <c r="O311" s="3">
        <f t="shared" si="13"/>
        <v>0</v>
      </c>
      <c r="P311">
        <v>748.8</v>
      </c>
      <c r="Q311">
        <v>251</v>
      </c>
      <c r="R311">
        <v>0</v>
      </c>
      <c r="S311">
        <v>134</v>
      </c>
      <c r="T311">
        <f t="shared" si="14"/>
        <v>0</v>
      </c>
    </row>
    <row r="312" spans="1:20" x14ac:dyDescent="0.3">
      <c r="A312" s="1">
        <v>44958</v>
      </c>
      <c r="B312" s="1" t="str">
        <f t="shared" si="12"/>
        <v>Swiggy_Kolkata CFA_Product_3_44958</v>
      </c>
      <c r="C312" s="2" t="s">
        <v>61</v>
      </c>
      <c r="D312" s="2" t="s">
        <v>62</v>
      </c>
      <c r="E312" s="2" t="s">
        <v>34</v>
      </c>
      <c r="F312" s="2" t="s">
        <v>35</v>
      </c>
      <c r="G312" s="2" t="s">
        <v>63</v>
      </c>
      <c r="H312" s="2" t="s">
        <v>37</v>
      </c>
      <c r="I312" s="2" t="s">
        <v>43</v>
      </c>
      <c r="J312" t="s">
        <v>31</v>
      </c>
      <c r="K312">
        <v>3</v>
      </c>
      <c r="L312" s="3"/>
      <c r="M312" s="3"/>
      <c r="N312" s="3"/>
      <c r="O312" s="3">
        <f t="shared" si="13"/>
        <v>0</v>
      </c>
      <c r="P312">
        <v>84</v>
      </c>
      <c r="Q312">
        <v>255</v>
      </c>
      <c r="R312">
        <v>3</v>
      </c>
      <c r="S312">
        <v>127</v>
      </c>
      <c r="T312">
        <f t="shared" si="14"/>
        <v>-6.6479999999999997</v>
      </c>
    </row>
    <row r="313" spans="1:20" x14ac:dyDescent="0.3">
      <c r="A313" s="1">
        <v>44958</v>
      </c>
      <c r="B313" s="1" t="str">
        <f t="shared" si="12"/>
        <v>Jharkhand_JH-Aggregated_Product_1_44958</v>
      </c>
      <c r="C313" s="2" t="s">
        <v>24</v>
      </c>
      <c r="D313" s="2" t="s">
        <v>25</v>
      </c>
      <c r="E313" s="2" t="s">
        <v>26</v>
      </c>
      <c r="F313" s="2" t="s">
        <v>27</v>
      </c>
      <c r="G313" s="2" t="s">
        <v>28</v>
      </c>
      <c r="H313" s="2" t="s">
        <v>29</v>
      </c>
      <c r="I313" s="2" t="s">
        <v>30</v>
      </c>
      <c r="J313" t="s">
        <v>31</v>
      </c>
      <c r="K313">
        <v>5</v>
      </c>
      <c r="L313" s="3"/>
      <c r="M313" s="3"/>
      <c r="N313" s="3"/>
      <c r="O313" s="3">
        <f t="shared" si="13"/>
        <v>0</v>
      </c>
      <c r="P313">
        <v>48</v>
      </c>
      <c r="Q313">
        <v>216</v>
      </c>
      <c r="R313">
        <v>11</v>
      </c>
      <c r="S313">
        <v>111</v>
      </c>
      <c r="T313">
        <f t="shared" si="14"/>
        <v>-0.36</v>
      </c>
    </row>
    <row r="314" spans="1:20" x14ac:dyDescent="0.3">
      <c r="A314" s="1">
        <v>44958</v>
      </c>
      <c r="B314" s="1" t="str">
        <f t="shared" si="12"/>
        <v>Swiggy_Kolkata CFA_Product_11_44958</v>
      </c>
      <c r="C314" s="2" t="s">
        <v>119</v>
      </c>
      <c r="D314" s="2" t="s">
        <v>120</v>
      </c>
      <c r="E314" s="2" t="s">
        <v>34</v>
      </c>
      <c r="F314" s="2" t="s">
        <v>35</v>
      </c>
      <c r="G314" s="2" t="s">
        <v>63</v>
      </c>
      <c r="H314" s="2" t="s">
        <v>67</v>
      </c>
      <c r="I314" s="2" t="s">
        <v>89</v>
      </c>
      <c r="J314" t="s">
        <v>31</v>
      </c>
      <c r="K314">
        <v>8</v>
      </c>
      <c r="L314" s="3"/>
      <c r="M314" s="3"/>
      <c r="N314" s="3"/>
      <c r="O314" s="3">
        <f t="shared" si="13"/>
        <v>0</v>
      </c>
      <c r="P314">
        <v>383.52</v>
      </c>
      <c r="Q314">
        <v>104</v>
      </c>
      <c r="R314">
        <v>0</v>
      </c>
      <c r="S314">
        <v>131</v>
      </c>
      <c r="T314">
        <f t="shared" si="14"/>
        <v>3.3552</v>
      </c>
    </row>
    <row r="315" spans="1:20" x14ac:dyDescent="0.3">
      <c r="A315" s="1">
        <v>44958</v>
      </c>
      <c r="B315" s="1" t="str">
        <f t="shared" si="12"/>
        <v>Zepto_Bangalore_Product_12_44958</v>
      </c>
      <c r="C315" s="2" t="s">
        <v>90</v>
      </c>
      <c r="D315" s="2" t="s">
        <v>91</v>
      </c>
      <c r="E315" s="2" t="s">
        <v>34</v>
      </c>
      <c r="F315" s="2" t="s">
        <v>46</v>
      </c>
      <c r="G315" s="2" t="s">
        <v>79</v>
      </c>
      <c r="H315" s="2" t="s">
        <v>67</v>
      </c>
      <c r="I315" s="2" t="s">
        <v>92</v>
      </c>
      <c r="J315" t="s">
        <v>31</v>
      </c>
      <c r="K315">
        <v>2</v>
      </c>
      <c r="L315" s="3"/>
      <c r="M315" s="3"/>
      <c r="N315" s="3"/>
      <c r="O315" s="3">
        <f t="shared" si="13"/>
        <v>0</v>
      </c>
      <c r="P315">
        <v>383.52</v>
      </c>
      <c r="Q315">
        <v>246</v>
      </c>
      <c r="R315">
        <v>0</v>
      </c>
      <c r="S315">
        <v>94</v>
      </c>
      <c r="T315">
        <f t="shared" si="14"/>
        <v>0</v>
      </c>
    </row>
    <row r="316" spans="1:20" x14ac:dyDescent="0.3">
      <c r="A316" s="1">
        <v>44958</v>
      </c>
      <c r="B316" s="1" t="str">
        <f t="shared" si="12"/>
        <v>Reliance_Bhiwandi_Product_10_44958</v>
      </c>
      <c r="C316" s="2" t="s">
        <v>85</v>
      </c>
      <c r="D316" s="2" t="s">
        <v>86</v>
      </c>
      <c r="E316" s="2" t="s">
        <v>34</v>
      </c>
      <c r="F316" s="2" t="s">
        <v>51</v>
      </c>
      <c r="G316" s="2" t="s">
        <v>66</v>
      </c>
      <c r="H316" s="2" t="s">
        <v>67</v>
      </c>
      <c r="I316" s="2" t="s">
        <v>76</v>
      </c>
      <c r="J316" t="s">
        <v>31</v>
      </c>
      <c r="K316">
        <v>4</v>
      </c>
      <c r="L316" s="3"/>
      <c r="M316" s="3"/>
      <c r="N316" s="3"/>
      <c r="O316" s="3">
        <f t="shared" si="13"/>
        <v>0</v>
      </c>
      <c r="P316">
        <v>383.52</v>
      </c>
      <c r="Q316">
        <v>477</v>
      </c>
      <c r="R316">
        <v>5</v>
      </c>
      <c r="S316">
        <v>106</v>
      </c>
      <c r="T316">
        <f t="shared" si="14"/>
        <v>0</v>
      </c>
    </row>
    <row r="317" spans="1:20" x14ac:dyDescent="0.3">
      <c r="A317" s="1">
        <v>44958</v>
      </c>
      <c r="B317" s="1" t="str">
        <f t="shared" si="12"/>
        <v>Reliance_Mundka_Product_6_44958</v>
      </c>
      <c r="C317" s="2" t="s">
        <v>55</v>
      </c>
      <c r="D317" s="2" t="s">
        <v>56</v>
      </c>
      <c r="E317" s="2" t="s">
        <v>34</v>
      </c>
      <c r="F317" s="2" t="s">
        <v>51</v>
      </c>
      <c r="G317" s="2" t="s">
        <v>36</v>
      </c>
      <c r="H317" s="2" t="s">
        <v>37</v>
      </c>
      <c r="I317" s="2" t="s">
        <v>57</v>
      </c>
      <c r="J317" t="s">
        <v>31</v>
      </c>
      <c r="K317">
        <v>2</v>
      </c>
      <c r="L317" s="3"/>
      <c r="M317" s="3"/>
      <c r="N317" s="3"/>
      <c r="O317" s="3">
        <f t="shared" si="13"/>
        <v>0</v>
      </c>
      <c r="P317">
        <v>383.52</v>
      </c>
      <c r="Q317">
        <v>446</v>
      </c>
      <c r="R317">
        <v>10</v>
      </c>
      <c r="S317">
        <v>135</v>
      </c>
      <c r="T317">
        <f t="shared" si="14"/>
        <v>0</v>
      </c>
    </row>
    <row r="318" spans="1:20" x14ac:dyDescent="0.3">
      <c r="A318" s="1">
        <v>44958</v>
      </c>
      <c r="B318" s="1" t="str">
        <f t="shared" si="12"/>
        <v>Swiggy_Chennai_Product_3_44958</v>
      </c>
      <c r="C318" s="2" t="s">
        <v>82</v>
      </c>
      <c r="D318" s="2" t="s">
        <v>83</v>
      </c>
      <c r="E318" s="2" t="s">
        <v>34</v>
      </c>
      <c r="F318" s="2" t="s">
        <v>35</v>
      </c>
      <c r="G318" s="2" t="s">
        <v>84</v>
      </c>
      <c r="H318" s="2" t="s">
        <v>37</v>
      </c>
      <c r="I318" s="2" t="s">
        <v>43</v>
      </c>
      <c r="J318" t="s">
        <v>31</v>
      </c>
      <c r="K318">
        <v>6</v>
      </c>
      <c r="L318" s="3"/>
      <c r="M318" s="3"/>
      <c r="N318" s="3"/>
      <c r="O318" s="3">
        <f t="shared" si="13"/>
        <v>0</v>
      </c>
      <c r="P318">
        <v>383.52</v>
      </c>
      <c r="Q318">
        <v>367</v>
      </c>
      <c r="R318">
        <v>1</v>
      </c>
      <c r="S318">
        <v>127</v>
      </c>
      <c r="T318">
        <f t="shared" si="14"/>
        <v>0</v>
      </c>
    </row>
    <row r="319" spans="1:20" x14ac:dyDescent="0.3">
      <c r="A319" s="1">
        <v>44958</v>
      </c>
      <c r="B319" s="1" t="str">
        <f t="shared" si="12"/>
        <v>Reliance_Ahmedabad_Product_5_44958</v>
      </c>
      <c r="C319" s="2" t="s">
        <v>49</v>
      </c>
      <c r="D319" s="2" t="s">
        <v>50</v>
      </c>
      <c r="E319" s="2" t="s">
        <v>34</v>
      </c>
      <c r="F319" s="2" t="s">
        <v>51</v>
      </c>
      <c r="G319" s="2" t="s">
        <v>52</v>
      </c>
      <c r="H319" s="2" t="s">
        <v>53</v>
      </c>
      <c r="I319" s="2" t="s">
        <v>54</v>
      </c>
      <c r="J319" t="s">
        <v>31</v>
      </c>
      <c r="K319">
        <v>2</v>
      </c>
      <c r="L319" s="3"/>
      <c r="M319" s="3"/>
      <c r="N319" s="3"/>
      <c r="O319" s="3">
        <f t="shared" si="13"/>
        <v>0</v>
      </c>
      <c r="P319">
        <v>383.52</v>
      </c>
      <c r="Q319">
        <v>259</v>
      </c>
      <c r="R319">
        <v>0</v>
      </c>
      <c r="S319">
        <v>132</v>
      </c>
      <c r="T319">
        <f t="shared" si="14"/>
        <v>0</v>
      </c>
    </row>
    <row r="320" spans="1:20" x14ac:dyDescent="0.3">
      <c r="A320" s="1">
        <v>44958</v>
      </c>
      <c r="B320" s="1" t="str">
        <f t="shared" si="12"/>
        <v>Reliance_Bangalore_Product_13_44958</v>
      </c>
      <c r="C320" s="2" t="s">
        <v>93</v>
      </c>
      <c r="D320" s="2" t="s">
        <v>94</v>
      </c>
      <c r="E320" s="2" t="s">
        <v>34</v>
      </c>
      <c r="F320" s="2" t="s">
        <v>51</v>
      </c>
      <c r="G320" s="2" t="s">
        <v>79</v>
      </c>
      <c r="H320" s="2" t="s">
        <v>67</v>
      </c>
      <c r="I320" s="2" t="s">
        <v>95</v>
      </c>
      <c r="J320" t="s">
        <v>31</v>
      </c>
      <c r="K320">
        <v>3</v>
      </c>
      <c r="L320" s="3"/>
      <c r="M320" s="3"/>
      <c r="N320" s="3"/>
      <c r="O320" s="3">
        <f t="shared" si="13"/>
        <v>0</v>
      </c>
      <c r="P320">
        <v>672</v>
      </c>
      <c r="Q320">
        <v>191</v>
      </c>
      <c r="R320">
        <v>4</v>
      </c>
      <c r="S320">
        <v>113</v>
      </c>
      <c r="T320">
        <f t="shared" si="14"/>
        <v>2.8848000000000003</v>
      </c>
    </row>
    <row r="321" spans="1:20" x14ac:dyDescent="0.3">
      <c r="A321" s="1">
        <v>44958</v>
      </c>
      <c r="B321" s="1" t="str">
        <f t="shared" si="12"/>
        <v>Reliance_Ahmedabad_Product_18_44958</v>
      </c>
      <c r="C321" s="2" t="s">
        <v>121</v>
      </c>
      <c r="D321" s="2" t="s">
        <v>122</v>
      </c>
      <c r="E321" s="2" t="s">
        <v>34</v>
      </c>
      <c r="F321" s="2" t="s">
        <v>51</v>
      </c>
      <c r="G321" s="2" t="s">
        <v>52</v>
      </c>
      <c r="H321" s="2" t="s">
        <v>29</v>
      </c>
      <c r="I321" s="2" t="s">
        <v>123</v>
      </c>
      <c r="J321" t="s">
        <v>31</v>
      </c>
      <c r="K321">
        <v>1</v>
      </c>
      <c r="L321" s="3"/>
      <c r="M321" s="3"/>
      <c r="N321" s="3"/>
      <c r="O321" s="3">
        <f t="shared" si="13"/>
        <v>0</v>
      </c>
      <c r="P321">
        <v>672</v>
      </c>
      <c r="Q321">
        <v>338</v>
      </c>
      <c r="R321">
        <v>0</v>
      </c>
      <c r="S321">
        <v>129</v>
      </c>
      <c r="T321">
        <f t="shared" si="14"/>
        <v>0</v>
      </c>
    </row>
    <row r="322" spans="1:20" x14ac:dyDescent="0.3">
      <c r="A322" s="1">
        <v>44986</v>
      </c>
      <c r="B322" s="1" t="str">
        <f t="shared" si="12"/>
        <v>Jharkhand_JH-Aggregated_Product_1_44986</v>
      </c>
      <c r="C322" s="2" t="s">
        <v>24</v>
      </c>
      <c r="D322" s="2" t="s">
        <v>25</v>
      </c>
      <c r="E322" s="2" t="s">
        <v>26</v>
      </c>
      <c r="F322" s="2" t="s">
        <v>27</v>
      </c>
      <c r="G322" s="2" t="s">
        <v>28</v>
      </c>
      <c r="H322" s="2" t="s">
        <v>29</v>
      </c>
      <c r="I322" s="2" t="s">
        <v>30</v>
      </c>
      <c r="J322" t="s">
        <v>31</v>
      </c>
      <c r="K322">
        <v>11</v>
      </c>
      <c r="L322" s="3"/>
      <c r="M322" s="3"/>
      <c r="N322" s="3"/>
      <c r="O322" s="3">
        <f t="shared" si="13"/>
        <v>0</v>
      </c>
      <c r="P322">
        <v>421.92</v>
      </c>
      <c r="Q322">
        <v>337</v>
      </c>
      <c r="R322">
        <v>0</v>
      </c>
      <c r="S322">
        <v>111</v>
      </c>
      <c r="T322">
        <f t="shared" si="14"/>
        <v>-2.5007999999999999</v>
      </c>
    </row>
    <row r="323" spans="1:20" x14ac:dyDescent="0.3">
      <c r="A323" s="1">
        <v>44986</v>
      </c>
      <c r="B323" s="1" t="str">
        <f t="shared" ref="B323:B386" si="15">C323&amp;"_"&amp;A323</f>
        <v>Swiggy_Chennai_Product_3_44986</v>
      </c>
      <c r="C323" s="2" t="s">
        <v>82</v>
      </c>
      <c r="D323" s="2" t="s">
        <v>83</v>
      </c>
      <c r="E323" s="2" t="s">
        <v>34</v>
      </c>
      <c r="F323" s="2" t="s">
        <v>35</v>
      </c>
      <c r="G323" s="2" t="s">
        <v>84</v>
      </c>
      <c r="H323" s="2" t="s">
        <v>37</v>
      </c>
      <c r="I323" s="2" t="s">
        <v>43</v>
      </c>
      <c r="J323" t="s">
        <v>31</v>
      </c>
      <c r="K323">
        <v>3</v>
      </c>
      <c r="L323" s="3"/>
      <c r="M323" s="3"/>
      <c r="N323" s="3"/>
      <c r="O323" s="3">
        <f t="shared" ref="O323:O386" si="16">L323</f>
        <v>0</v>
      </c>
      <c r="P323">
        <v>421.92</v>
      </c>
      <c r="Q323">
        <v>382</v>
      </c>
      <c r="R323">
        <v>1</v>
      </c>
      <c r="S323">
        <v>127</v>
      </c>
      <c r="T323">
        <f t="shared" si="14"/>
        <v>0</v>
      </c>
    </row>
    <row r="324" spans="1:20" x14ac:dyDescent="0.3">
      <c r="A324" s="1">
        <v>44986</v>
      </c>
      <c r="B324" s="1" t="str">
        <f t="shared" si="15"/>
        <v>Zepto_Bangalore_Product_12_44986</v>
      </c>
      <c r="C324" s="2" t="s">
        <v>90</v>
      </c>
      <c r="D324" s="2" t="s">
        <v>91</v>
      </c>
      <c r="E324" s="2" t="s">
        <v>34</v>
      </c>
      <c r="F324" s="2" t="s">
        <v>46</v>
      </c>
      <c r="G324" s="2" t="s">
        <v>79</v>
      </c>
      <c r="H324" s="2" t="s">
        <v>67</v>
      </c>
      <c r="I324" s="2" t="s">
        <v>92</v>
      </c>
      <c r="J324" t="s">
        <v>31</v>
      </c>
      <c r="K324">
        <v>5</v>
      </c>
      <c r="L324" s="3"/>
      <c r="M324" s="3"/>
      <c r="N324" s="3"/>
      <c r="O324" s="3">
        <f t="shared" si="16"/>
        <v>0</v>
      </c>
      <c r="P324">
        <v>748.8</v>
      </c>
      <c r="Q324">
        <v>171</v>
      </c>
      <c r="R324">
        <v>0</v>
      </c>
      <c r="S324">
        <v>94</v>
      </c>
      <c r="T324">
        <f t="shared" ref="T324:T387" si="17">(P324-P323)/100</f>
        <v>3.2687999999999993</v>
      </c>
    </row>
    <row r="325" spans="1:20" x14ac:dyDescent="0.3">
      <c r="A325" s="1">
        <v>44986</v>
      </c>
      <c r="B325" s="1" t="str">
        <f t="shared" si="15"/>
        <v>Jharkhand_JH-Aggregated_Product_19_44986</v>
      </c>
      <c r="C325" s="2" t="s">
        <v>124</v>
      </c>
      <c r="D325" s="2" t="s">
        <v>125</v>
      </c>
      <c r="E325" s="2" t="s">
        <v>26</v>
      </c>
      <c r="F325" s="2" t="s">
        <v>27</v>
      </c>
      <c r="G325" s="2" t="s">
        <v>28</v>
      </c>
      <c r="H325" s="2" t="s">
        <v>126</v>
      </c>
      <c r="I325" s="2" t="s">
        <v>127</v>
      </c>
      <c r="J325" t="s">
        <v>31</v>
      </c>
      <c r="K325">
        <v>2</v>
      </c>
      <c r="L325" s="3"/>
      <c r="M325" s="3"/>
      <c r="N325" s="3"/>
      <c r="O325" s="3">
        <f t="shared" si="16"/>
        <v>0</v>
      </c>
      <c r="P325">
        <v>748.8</v>
      </c>
      <c r="Q325">
        <v>152</v>
      </c>
      <c r="R325">
        <v>0</v>
      </c>
      <c r="S325">
        <v>94</v>
      </c>
      <c r="T325">
        <f t="shared" si="17"/>
        <v>0</v>
      </c>
    </row>
    <row r="326" spans="1:20" x14ac:dyDescent="0.3">
      <c r="A326" s="1">
        <v>44986</v>
      </c>
      <c r="B326" s="1" t="str">
        <f t="shared" si="15"/>
        <v>Grofers_Mundka_Product_21_44986</v>
      </c>
      <c r="C326" s="2" t="s">
        <v>131</v>
      </c>
      <c r="D326" s="2" t="s">
        <v>132</v>
      </c>
      <c r="E326" s="2" t="s">
        <v>34</v>
      </c>
      <c r="F326" s="2" t="s">
        <v>114</v>
      </c>
      <c r="G326" s="2" t="s">
        <v>36</v>
      </c>
      <c r="H326" s="2" t="s">
        <v>133</v>
      </c>
      <c r="I326" s="2" t="s">
        <v>134</v>
      </c>
      <c r="J326" t="s">
        <v>31</v>
      </c>
      <c r="K326">
        <v>8</v>
      </c>
      <c r="L326" s="3"/>
      <c r="M326" s="3"/>
      <c r="N326" s="3"/>
      <c r="O326" s="3">
        <f t="shared" si="16"/>
        <v>0</v>
      </c>
      <c r="P326">
        <v>84</v>
      </c>
      <c r="Q326">
        <v>357</v>
      </c>
      <c r="R326">
        <v>12</v>
      </c>
      <c r="S326">
        <v>115</v>
      </c>
      <c r="T326">
        <f t="shared" si="17"/>
        <v>-6.6479999999999997</v>
      </c>
    </row>
    <row r="327" spans="1:20" x14ac:dyDescent="0.3">
      <c r="A327" s="1">
        <v>44986</v>
      </c>
      <c r="B327" s="1" t="str">
        <f t="shared" si="15"/>
        <v>Reliance_Bangalore_Product_3_44986</v>
      </c>
      <c r="C327" s="2" t="s">
        <v>80</v>
      </c>
      <c r="D327" s="2" t="s">
        <v>81</v>
      </c>
      <c r="E327" s="2" t="s">
        <v>34</v>
      </c>
      <c r="F327" s="2" t="s">
        <v>51</v>
      </c>
      <c r="G327" s="2" t="s">
        <v>79</v>
      </c>
      <c r="H327" s="2" t="s">
        <v>37</v>
      </c>
      <c r="I327" s="2" t="s">
        <v>43</v>
      </c>
      <c r="J327" t="s">
        <v>31</v>
      </c>
      <c r="K327">
        <v>15</v>
      </c>
      <c r="L327" s="3"/>
      <c r="M327" s="3"/>
      <c r="N327" s="3"/>
      <c r="O327" s="3">
        <f t="shared" si="16"/>
        <v>0</v>
      </c>
      <c r="P327">
        <v>48</v>
      </c>
      <c r="Q327">
        <v>243</v>
      </c>
      <c r="R327">
        <v>1</v>
      </c>
      <c r="S327">
        <v>127</v>
      </c>
      <c r="T327">
        <f t="shared" si="17"/>
        <v>-0.36</v>
      </c>
    </row>
    <row r="328" spans="1:20" x14ac:dyDescent="0.3">
      <c r="A328" s="1">
        <v>44986</v>
      </c>
      <c r="B328" s="1" t="str">
        <f t="shared" si="15"/>
        <v>Reliance_Chennai_Product_11_44986</v>
      </c>
      <c r="C328" s="2" t="s">
        <v>110</v>
      </c>
      <c r="D328" s="2" t="s">
        <v>111</v>
      </c>
      <c r="E328" s="2" t="s">
        <v>34</v>
      </c>
      <c r="F328" s="2" t="s">
        <v>51</v>
      </c>
      <c r="G328" s="2" t="s">
        <v>84</v>
      </c>
      <c r="H328" s="2" t="s">
        <v>67</v>
      </c>
      <c r="I328" s="2" t="s">
        <v>89</v>
      </c>
      <c r="J328" t="s">
        <v>31</v>
      </c>
      <c r="K328">
        <v>16</v>
      </c>
      <c r="L328" s="3"/>
      <c r="M328" s="3"/>
      <c r="N328" s="3"/>
      <c r="O328" s="3">
        <f t="shared" si="16"/>
        <v>0</v>
      </c>
      <c r="P328">
        <v>383.52</v>
      </c>
      <c r="Q328">
        <v>297</v>
      </c>
      <c r="R328">
        <v>7</v>
      </c>
      <c r="S328">
        <v>131</v>
      </c>
      <c r="T328">
        <f t="shared" si="17"/>
        <v>3.3552</v>
      </c>
    </row>
    <row r="329" spans="1:20" x14ac:dyDescent="0.3">
      <c r="A329" s="1">
        <v>44986</v>
      </c>
      <c r="B329" s="1" t="str">
        <f t="shared" si="15"/>
        <v>Swiggy_Mundka_Product_14_44986</v>
      </c>
      <c r="C329" s="2" t="s">
        <v>96</v>
      </c>
      <c r="D329" s="2" t="s">
        <v>97</v>
      </c>
      <c r="E329" s="2" t="s">
        <v>34</v>
      </c>
      <c r="F329" s="2" t="s">
        <v>35</v>
      </c>
      <c r="G329" s="2" t="s">
        <v>36</v>
      </c>
      <c r="H329" s="2" t="s">
        <v>47</v>
      </c>
      <c r="I329" s="2" t="s">
        <v>98</v>
      </c>
      <c r="J329" t="s">
        <v>31</v>
      </c>
      <c r="K329">
        <v>4</v>
      </c>
      <c r="L329" s="3"/>
      <c r="M329" s="3"/>
      <c r="N329" s="3"/>
      <c r="O329" s="3">
        <f t="shared" si="16"/>
        <v>0</v>
      </c>
      <c r="P329">
        <v>383.52</v>
      </c>
      <c r="Q329">
        <v>496</v>
      </c>
      <c r="R329">
        <v>0</v>
      </c>
      <c r="S329">
        <v>97</v>
      </c>
      <c r="T329">
        <f t="shared" si="17"/>
        <v>0</v>
      </c>
    </row>
    <row r="330" spans="1:20" x14ac:dyDescent="0.3">
      <c r="A330" s="1">
        <v>44986</v>
      </c>
      <c r="B330" s="1" t="str">
        <f t="shared" si="15"/>
        <v>Reliance_Bhiwandi_Product_11_44986</v>
      </c>
      <c r="C330" s="2" t="s">
        <v>87</v>
      </c>
      <c r="D330" s="2" t="s">
        <v>88</v>
      </c>
      <c r="E330" s="2" t="s">
        <v>34</v>
      </c>
      <c r="F330" s="2" t="s">
        <v>51</v>
      </c>
      <c r="G330" s="2" t="s">
        <v>66</v>
      </c>
      <c r="H330" s="2" t="s">
        <v>67</v>
      </c>
      <c r="I330" s="2" t="s">
        <v>89</v>
      </c>
      <c r="J330" t="s">
        <v>31</v>
      </c>
      <c r="K330">
        <v>8</v>
      </c>
      <c r="L330" s="3"/>
      <c r="M330" s="3"/>
      <c r="N330" s="3"/>
      <c r="O330" s="3">
        <f t="shared" si="16"/>
        <v>0</v>
      </c>
      <c r="P330">
        <v>672</v>
      </c>
      <c r="Q330">
        <v>254</v>
      </c>
      <c r="R330">
        <v>0</v>
      </c>
      <c r="S330">
        <v>131</v>
      </c>
      <c r="T330">
        <f t="shared" si="17"/>
        <v>2.8848000000000003</v>
      </c>
    </row>
    <row r="331" spans="1:20" x14ac:dyDescent="0.3">
      <c r="A331" s="1">
        <v>44986</v>
      </c>
      <c r="B331" s="1" t="str">
        <f t="shared" si="15"/>
        <v>Maharashtra_MH-Aggregated_Product_3_44986</v>
      </c>
      <c r="C331" s="2" t="s">
        <v>39</v>
      </c>
      <c r="D331" s="2" t="s">
        <v>40</v>
      </c>
      <c r="E331" s="2" t="s">
        <v>26</v>
      </c>
      <c r="F331" s="2" t="s">
        <v>41</v>
      </c>
      <c r="G331" s="2" t="s">
        <v>42</v>
      </c>
      <c r="H331" s="2" t="s">
        <v>37</v>
      </c>
      <c r="I331" s="2" t="s">
        <v>43</v>
      </c>
      <c r="J331" t="s">
        <v>31</v>
      </c>
      <c r="K331">
        <v>2</v>
      </c>
      <c r="L331" s="3"/>
      <c r="M331" s="3"/>
      <c r="N331" s="3"/>
      <c r="O331" s="3">
        <f t="shared" si="16"/>
        <v>0</v>
      </c>
      <c r="P331">
        <v>672</v>
      </c>
      <c r="Q331">
        <v>429</v>
      </c>
      <c r="R331">
        <v>9</v>
      </c>
      <c r="S331">
        <v>127</v>
      </c>
      <c r="T331">
        <f t="shared" si="17"/>
        <v>0</v>
      </c>
    </row>
    <row r="332" spans="1:20" x14ac:dyDescent="0.3">
      <c r="A332" s="1">
        <v>44986</v>
      </c>
      <c r="B332" s="1" t="str">
        <f t="shared" si="15"/>
        <v>Maharashtra_MH-Aggregated_Product_23_44986</v>
      </c>
      <c r="C332" s="2" t="s">
        <v>142</v>
      </c>
      <c r="D332" s="2" t="s">
        <v>143</v>
      </c>
      <c r="E332" s="2" t="s">
        <v>26</v>
      </c>
      <c r="F332" s="2" t="s">
        <v>41</v>
      </c>
      <c r="G332" s="2" t="s">
        <v>42</v>
      </c>
      <c r="H332" s="2" t="s">
        <v>140</v>
      </c>
      <c r="I332" s="2" t="s">
        <v>144</v>
      </c>
      <c r="J332" t="s">
        <v>31</v>
      </c>
      <c r="K332">
        <v>37</v>
      </c>
      <c r="L332" s="3"/>
      <c r="M332" s="3"/>
      <c r="N332" s="3"/>
      <c r="O332" s="3">
        <f t="shared" si="16"/>
        <v>0</v>
      </c>
      <c r="P332">
        <v>421.92</v>
      </c>
      <c r="Q332">
        <v>347</v>
      </c>
      <c r="R332">
        <v>0</v>
      </c>
      <c r="S332">
        <v>144</v>
      </c>
      <c r="T332">
        <f t="shared" si="17"/>
        <v>-2.5007999999999999</v>
      </c>
    </row>
    <row r="333" spans="1:20" x14ac:dyDescent="0.3">
      <c r="A333" s="1">
        <v>44986</v>
      </c>
      <c r="B333" s="1" t="str">
        <f t="shared" si="15"/>
        <v>Reliance_Bangalore_Product_8_44986</v>
      </c>
      <c r="C333" s="2" t="s">
        <v>77</v>
      </c>
      <c r="D333" s="2" t="s">
        <v>78</v>
      </c>
      <c r="E333" s="2" t="s">
        <v>34</v>
      </c>
      <c r="F333" s="2" t="s">
        <v>51</v>
      </c>
      <c r="G333" s="2" t="s">
        <v>79</v>
      </c>
      <c r="H333" s="2" t="s">
        <v>67</v>
      </c>
      <c r="I333" s="2" t="s">
        <v>68</v>
      </c>
      <c r="J333" t="s">
        <v>31</v>
      </c>
      <c r="K333">
        <v>8</v>
      </c>
      <c r="L333" s="3"/>
      <c r="M333" s="3"/>
      <c r="N333" s="3"/>
      <c r="O333" s="3">
        <f t="shared" si="16"/>
        <v>0</v>
      </c>
      <c r="P333">
        <v>421.92</v>
      </c>
      <c r="Q333">
        <v>175</v>
      </c>
      <c r="R333">
        <v>0</v>
      </c>
      <c r="S333">
        <v>126</v>
      </c>
      <c r="T333">
        <f t="shared" si="17"/>
        <v>0</v>
      </c>
    </row>
    <row r="334" spans="1:20" x14ac:dyDescent="0.3">
      <c r="A334" s="1">
        <v>44986</v>
      </c>
      <c r="B334" s="1" t="str">
        <f t="shared" si="15"/>
        <v>Reliance_Bhiwandi_Product_8_44986</v>
      </c>
      <c r="C334" s="2" t="s">
        <v>64</v>
      </c>
      <c r="D334" s="2" t="s">
        <v>65</v>
      </c>
      <c r="E334" s="2" t="s">
        <v>34</v>
      </c>
      <c r="F334" s="2" t="s">
        <v>51</v>
      </c>
      <c r="G334" s="2" t="s">
        <v>66</v>
      </c>
      <c r="H334" s="2" t="s">
        <v>67</v>
      </c>
      <c r="I334" s="2" t="s">
        <v>68</v>
      </c>
      <c r="J334" t="s">
        <v>31</v>
      </c>
      <c r="K334">
        <v>12</v>
      </c>
      <c r="L334" s="3"/>
      <c r="M334" s="3"/>
      <c r="N334" s="3"/>
      <c r="O334" s="3">
        <f t="shared" si="16"/>
        <v>0</v>
      </c>
      <c r="P334">
        <v>748.8</v>
      </c>
      <c r="Q334">
        <v>116</v>
      </c>
      <c r="R334">
        <v>3</v>
      </c>
      <c r="S334">
        <v>126</v>
      </c>
      <c r="T334">
        <f t="shared" si="17"/>
        <v>3.2687999999999993</v>
      </c>
    </row>
    <row r="335" spans="1:20" x14ac:dyDescent="0.3">
      <c r="A335" s="1">
        <v>44986</v>
      </c>
      <c r="B335" s="1" t="str">
        <f t="shared" si="15"/>
        <v>Reliance_Ahmedabad_Product_18_44986</v>
      </c>
      <c r="C335" s="2" t="s">
        <v>121</v>
      </c>
      <c r="D335" s="2" t="s">
        <v>122</v>
      </c>
      <c r="E335" s="2" t="s">
        <v>34</v>
      </c>
      <c r="F335" s="2" t="s">
        <v>51</v>
      </c>
      <c r="G335" s="2" t="s">
        <v>52</v>
      </c>
      <c r="H335" s="2" t="s">
        <v>29</v>
      </c>
      <c r="I335" s="2" t="s">
        <v>123</v>
      </c>
      <c r="J335" t="s">
        <v>31</v>
      </c>
      <c r="K335">
        <v>3</v>
      </c>
      <c r="L335" s="3"/>
      <c r="M335" s="3"/>
      <c r="N335" s="3"/>
      <c r="O335" s="3">
        <f t="shared" si="16"/>
        <v>0</v>
      </c>
      <c r="P335">
        <v>748.8</v>
      </c>
      <c r="Q335">
        <v>428</v>
      </c>
      <c r="R335">
        <v>1</v>
      </c>
      <c r="S335">
        <v>129</v>
      </c>
      <c r="T335">
        <f t="shared" si="17"/>
        <v>0</v>
      </c>
    </row>
    <row r="336" spans="1:20" x14ac:dyDescent="0.3">
      <c r="A336" s="1">
        <v>44986</v>
      </c>
      <c r="B336" s="1" t="str">
        <f t="shared" si="15"/>
        <v>Reliance_Kolkata CFA_Product_12_44986</v>
      </c>
      <c r="C336" s="2" t="s">
        <v>101</v>
      </c>
      <c r="D336" s="2" t="s">
        <v>102</v>
      </c>
      <c r="E336" s="2" t="s">
        <v>34</v>
      </c>
      <c r="F336" s="2" t="s">
        <v>51</v>
      </c>
      <c r="G336" s="2" t="s">
        <v>63</v>
      </c>
      <c r="H336" s="2" t="s">
        <v>67</v>
      </c>
      <c r="I336" s="2" t="s">
        <v>92</v>
      </c>
      <c r="J336" t="s">
        <v>31</v>
      </c>
      <c r="K336">
        <v>21</v>
      </c>
      <c r="L336" s="3"/>
      <c r="M336" s="3"/>
      <c r="N336" s="3"/>
      <c r="O336" s="3">
        <f t="shared" si="16"/>
        <v>0</v>
      </c>
      <c r="P336">
        <v>84</v>
      </c>
      <c r="Q336">
        <v>449</v>
      </c>
      <c r="R336">
        <v>5</v>
      </c>
      <c r="S336">
        <v>94</v>
      </c>
      <c r="T336">
        <f t="shared" si="17"/>
        <v>-6.6479999999999997</v>
      </c>
    </row>
    <row r="337" spans="1:20" x14ac:dyDescent="0.3">
      <c r="A337" s="1">
        <v>44986</v>
      </c>
      <c r="B337" s="1" t="str">
        <f t="shared" si="15"/>
        <v>Swiggy_Mundka_Product_2_44986</v>
      </c>
      <c r="C337" s="2" t="s">
        <v>32</v>
      </c>
      <c r="D337" s="2" t="s">
        <v>33</v>
      </c>
      <c r="E337" s="2" t="s">
        <v>34</v>
      </c>
      <c r="F337" s="2" t="s">
        <v>35</v>
      </c>
      <c r="G337" s="2" t="s">
        <v>36</v>
      </c>
      <c r="H337" s="2" t="s">
        <v>37</v>
      </c>
      <c r="I337" s="2" t="s">
        <v>38</v>
      </c>
      <c r="J337" t="s">
        <v>31</v>
      </c>
      <c r="K337">
        <v>48</v>
      </c>
      <c r="L337" s="3"/>
      <c r="M337" s="3"/>
      <c r="N337" s="3"/>
      <c r="O337" s="3">
        <f t="shared" si="16"/>
        <v>0</v>
      </c>
      <c r="P337">
        <v>48</v>
      </c>
      <c r="Q337">
        <v>341</v>
      </c>
      <c r="R337">
        <v>0</v>
      </c>
      <c r="S337">
        <v>134</v>
      </c>
      <c r="T337">
        <f t="shared" si="17"/>
        <v>-0.36</v>
      </c>
    </row>
    <row r="338" spans="1:20" x14ac:dyDescent="0.3">
      <c r="A338" s="1">
        <v>44986</v>
      </c>
      <c r="B338" s="1" t="str">
        <f t="shared" si="15"/>
        <v>Maharashtra_MH-Aggregated_Product_22_44986</v>
      </c>
      <c r="C338" s="2" t="s">
        <v>138</v>
      </c>
      <c r="D338" s="2" t="s">
        <v>139</v>
      </c>
      <c r="E338" s="2" t="s">
        <v>26</v>
      </c>
      <c r="F338" s="2" t="s">
        <v>41</v>
      </c>
      <c r="G338" s="2" t="s">
        <v>42</v>
      </c>
      <c r="H338" s="2" t="s">
        <v>140</v>
      </c>
      <c r="I338" s="2" t="s">
        <v>141</v>
      </c>
      <c r="J338" t="s">
        <v>31</v>
      </c>
      <c r="K338">
        <v>4</v>
      </c>
      <c r="L338" s="3"/>
      <c r="M338" s="3"/>
      <c r="N338" s="3"/>
      <c r="O338" s="3">
        <f t="shared" si="16"/>
        <v>0</v>
      </c>
      <c r="P338">
        <v>383.52</v>
      </c>
      <c r="Q338">
        <v>415</v>
      </c>
      <c r="R338">
        <v>0</v>
      </c>
      <c r="S338">
        <v>126</v>
      </c>
      <c r="T338">
        <f t="shared" si="17"/>
        <v>3.3552</v>
      </c>
    </row>
    <row r="339" spans="1:20" x14ac:dyDescent="0.3">
      <c r="A339" s="1">
        <v>44986</v>
      </c>
      <c r="B339" s="1" t="str">
        <f t="shared" si="15"/>
        <v>Zepto_Bhiwandi_Product_10_44986</v>
      </c>
      <c r="C339" s="2" t="s">
        <v>74</v>
      </c>
      <c r="D339" s="2" t="s">
        <v>75</v>
      </c>
      <c r="E339" s="2" t="s">
        <v>34</v>
      </c>
      <c r="F339" s="2" t="s">
        <v>46</v>
      </c>
      <c r="G339" s="2" t="s">
        <v>66</v>
      </c>
      <c r="H339" s="2" t="s">
        <v>67</v>
      </c>
      <c r="I339" s="2" t="s">
        <v>76</v>
      </c>
      <c r="J339" t="s">
        <v>31</v>
      </c>
      <c r="K339">
        <v>2</v>
      </c>
      <c r="L339" s="3"/>
      <c r="M339" s="3"/>
      <c r="N339" s="3"/>
      <c r="O339" s="3">
        <f t="shared" si="16"/>
        <v>0</v>
      </c>
      <c r="P339">
        <v>383.52</v>
      </c>
      <c r="Q339">
        <v>185</v>
      </c>
      <c r="R339">
        <v>10</v>
      </c>
      <c r="S339">
        <v>106</v>
      </c>
      <c r="T339">
        <f t="shared" si="17"/>
        <v>0</v>
      </c>
    </row>
    <row r="340" spans="1:20" x14ac:dyDescent="0.3">
      <c r="A340" s="1">
        <v>44986</v>
      </c>
      <c r="B340" s="1" t="str">
        <f t="shared" si="15"/>
        <v>Swiggy_Bangalore_Product_16_44986</v>
      </c>
      <c r="C340" s="2" t="s">
        <v>107</v>
      </c>
      <c r="D340" s="2" t="s">
        <v>108</v>
      </c>
      <c r="E340" s="2" t="s">
        <v>34</v>
      </c>
      <c r="F340" s="2" t="s">
        <v>35</v>
      </c>
      <c r="G340" s="2" t="s">
        <v>79</v>
      </c>
      <c r="H340" s="2" t="s">
        <v>47</v>
      </c>
      <c r="I340" s="2" t="s">
        <v>109</v>
      </c>
      <c r="J340" t="s">
        <v>31</v>
      </c>
      <c r="K340">
        <v>2</v>
      </c>
      <c r="L340" s="3"/>
      <c r="M340" s="3"/>
      <c r="N340" s="3"/>
      <c r="O340" s="3">
        <f t="shared" si="16"/>
        <v>0</v>
      </c>
      <c r="P340">
        <v>672</v>
      </c>
      <c r="Q340">
        <v>213</v>
      </c>
      <c r="R340">
        <v>0</v>
      </c>
      <c r="S340">
        <v>122</v>
      </c>
      <c r="T340">
        <f t="shared" si="17"/>
        <v>2.8848000000000003</v>
      </c>
    </row>
    <row r="341" spans="1:20" x14ac:dyDescent="0.3">
      <c r="A341" s="1">
        <v>44986</v>
      </c>
      <c r="B341" s="1" t="str">
        <f t="shared" si="15"/>
        <v>Grofers_Hyderabad_Product_21_44986</v>
      </c>
      <c r="C341" s="2" t="s">
        <v>135</v>
      </c>
      <c r="D341" s="2" t="s">
        <v>136</v>
      </c>
      <c r="E341" s="2" t="s">
        <v>34</v>
      </c>
      <c r="F341" s="2" t="s">
        <v>114</v>
      </c>
      <c r="G341" s="2" t="s">
        <v>137</v>
      </c>
      <c r="H341" s="2" t="s">
        <v>133</v>
      </c>
      <c r="I341" s="2" t="s">
        <v>134</v>
      </c>
      <c r="J341" t="s">
        <v>31</v>
      </c>
      <c r="K341">
        <v>1</v>
      </c>
      <c r="L341" s="3"/>
      <c r="M341" s="3"/>
      <c r="N341" s="3"/>
      <c r="O341" s="3">
        <f t="shared" si="16"/>
        <v>0</v>
      </c>
      <c r="P341">
        <v>672</v>
      </c>
      <c r="Q341">
        <v>132</v>
      </c>
      <c r="R341">
        <v>0</v>
      </c>
      <c r="S341">
        <v>115</v>
      </c>
      <c r="T341">
        <f t="shared" si="17"/>
        <v>0</v>
      </c>
    </row>
    <row r="342" spans="1:20" x14ac:dyDescent="0.3">
      <c r="A342" s="1">
        <v>44986</v>
      </c>
      <c r="B342" s="1" t="str">
        <f t="shared" si="15"/>
        <v>Reliance_Ahmedabad_Product_5_44986</v>
      </c>
      <c r="C342" s="2" t="s">
        <v>49</v>
      </c>
      <c r="D342" s="2" t="s">
        <v>50</v>
      </c>
      <c r="E342" s="2" t="s">
        <v>34</v>
      </c>
      <c r="F342" s="2" t="s">
        <v>51</v>
      </c>
      <c r="G342" s="2" t="s">
        <v>52</v>
      </c>
      <c r="H342" s="2" t="s">
        <v>53</v>
      </c>
      <c r="I342" s="2" t="s">
        <v>54</v>
      </c>
      <c r="J342" t="s">
        <v>31</v>
      </c>
      <c r="K342">
        <v>9</v>
      </c>
      <c r="L342" s="3"/>
      <c r="M342" s="3"/>
      <c r="N342" s="3"/>
      <c r="O342" s="3">
        <f t="shared" si="16"/>
        <v>0</v>
      </c>
      <c r="P342">
        <v>421.92</v>
      </c>
      <c r="Q342">
        <v>311</v>
      </c>
      <c r="R342">
        <v>0</v>
      </c>
      <c r="S342">
        <v>132</v>
      </c>
      <c r="T342">
        <f t="shared" si="17"/>
        <v>-2.5007999999999999</v>
      </c>
    </row>
    <row r="343" spans="1:20" x14ac:dyDescent="0.3">
      <c r="A343" s="1">
        <v>44986</v>
      </c>
      <c r="B343" s="1" t="str">
        <f t="shared" si="15"/>
        <v>Swiggy_Kolkata CFA_Product_3_44986</v>
      </c>
      <c r="C343" s="2" t="s">
        <v>61</v>
      </c>
      <c r="D343" s="2" t="s">
        <v>62</v>
      </c>
      <c r="E343" s="2" t="s">
        <v>34</v>
      </c>
      <c r="F343" s="2" t="s">
        <v>35</v>
      </c>
      <c r="G343" s="2" t="s">
        <v>63</v>
      </c>
      <c r="H343" s="2" t="s">
        <v>37</v>
      </c>
      <c r="I343" s="2" t="s">
        <v>43</v>
      </c>
      <c r="J343" t="s">
        <v>31</v>
      </c>
      <c r="K343">
        <v>3</v>
      </c>
      <c r="L343" s="3"/>
      <c r="M343" s="3"/>
      <c r="N343" s="3"/>
      <c r="O343" s="3">
        <f t="shared" si="16"/>
        <v>0</v>
      </c>
      <c r="P343">
        <v>421.92</v>
      </c>
      <c r="Q343">
        <v>222</v>
      </c>
      <c r="R343">
        <v>0</v>
      </c>
      <c r="S343">
        <v>127</v>
      </c>
      <c r="T343">
        <f t="shared" si="17"/>
        <v>0</v>
      </c>
    </row>
    <row r="344" spans="1:20" x14ac:dyDescent="0.3">
      <c r="A344" s="1">
        <v>44986</v>
      </c>
      <c r="B344" s="1" t="str">
        <f t="shared" si="15"/>
        <v>Swiggy_Kolkata CFA_Product_20_44986</v>
      </c>
      <c r="C344" s="2" t="s">
        <v>128</v>
      </c>
      <c r="D344" s="2" t="s">
        <v>129</v>
      </c>
      <c r="E344" s="2" t="s">
        <v>34</v>
      </c>
      <c r="F344" s="2" t="s">
        <v>35</v>
      </c>
      <c r="G344" s="2" t="s">
        <v>63</v>
      </c>
      <c r="H344" s="2" t="s">
        <v>47</v>
      </c>
      <c r="I344" s="2" t="s">
        <v>130</v>
      </c>
      <c r="J344" t="s">
        <v>31</v>
      </c>
      <c r="K344">
        <v>4</v>
      </c>
      <c r="L344" s="3"/>
      <c r="M344" s="3"/>
      <c r="N344" s="3"/>
      <c r="O344" s="3">
        <f t="shared" si="16"/>
        <v>0</v>
      </c>
      <c r="P344">
        <v>748.8</v>
      </c>
      <c r="Q344">
        <v>329</v>
      </c>
      <c r="R344">
        <v>4</v>
      </c>
      <c r="S344">
        <v>125</v>
      </c>
      <c r="T344">
        <f t="shared" si="17"/>
        <v>3.2687999999999993</v>
      </c>
    </row>
    <row r="345" spans="1:20" x14ac:dyDescent="0.3">
      <c r="A345" s="1">
        <v>44986</v>
      </c>
      <c r="B345" s="1" t="str">
        <f t="shared" si="15"/>
        <v>Reliance_Bhiwandi_Product_10_44986</v>
      </c>
      <c r="C345" s="2" t="s">
        <v>85</v>
      </c>
      <c r="D345" s="2" t="s">
        <v>86</v>
      </c>
      <c r="E345" s="2" t="s">
        <v>34</v>
      </c>
      <c r="F345" s="2" t="s">
        <v>51</v>
      </c>
      <c r="G345" s="2" t="s">
        <v>66</v>
      </c>
      <c r="H345" s="2" t="s">
        <v>67</v>
      </c>
      <c r="I345" s="2" t="s">
        <v>76</v>
      </c>
      <c r="J345" t="s">
        <v>31</v>
      </c>
      <c r="K345">
        <v>1</v>
      </c>
      <c r="L345" s="3"/>
      <c r="M345" s="3"/>
      <c r="N345" s="3"/>
      <c r="O345" s="3">
        <f t="shared" si="16"/>
        <v>0</v>
      </c>
      <c r="P345">
        <v>748.8</v>
      </c>
      <c r="Q345">
        <v>318</v>
      </c>
      <c r="R345">
        <v>0</v>
      </c>
      <c r="S345">
        <v>106</v>
      </c>
      <c r="T345">
        <f t="shared" si="17"/>
        <v>0</v>
      </c>
    </row>
    <row r="346" spans="1:20" x14ac:dyDescent="0.3">
      <c r="A346" s="1">
        <v>44986</v>
      </c>
      <c r="B346" s="1" t="str">
        <f t="shared" si="15"/>
        <v>Swiggy_Kolkata CFA_Product_11_44986</v>
      </c>
      <c r="C346" s="2" t="s">
        <v>119</v>
      </c>
      <c r="D346" s="2" t="s">
        <v>120</v>
      </c>
      <c r="E346" s="2" t="s">
        <v>34</v>
      </c>
      <c r="F346" s="2" t="s">
        <v>35</v>
      </c>
      <c r="G346" s="2" t="s">
        <v>63</v>
      </c>
      <c r="H346" s="2" t="s">
        <v>67</v>
      </c>
      <c r="I346" s="2" t="s">
        <v>89</v>
      </c>
      <c r="J346" t="s">
        <v>31</v>
      </c>
      <c r="K346">
        <v>6</v>
      </c>
      <c r="L346" s="3"/>
      <c r="M346" s="3"/>
      <c r="N346" s="3"/>
      <c r="O346" s="3">
        <f t="shared" si="16"/>
        <v>0</v>
      </c>
      <c r="P346">
        <v>84</v>
      </c>
      <c r="Q346">
        <v>247</v>
      </c>
      <c r="R346">
        <v>0</v>
      </c>
      <c r="S346">
        <v>131</v>
      </c>
      <c r="T346">
        <f t="shared" si="17"/>
        <v>-6.6479999999999997</v>
      </c>
    </row>
    <row r="347" spans="1:20" x14ac:dyDescent="0.3">
      <c r="A347" s="1">
        <v>44986</v>
      </c>
      <c r="B347" s="1" t="str">
        <f t="shared" si="15"/>
        <v>Maharashtra_MH-Aggregated_Product_9_44986</v>
      </c>
      <c r="C347" s="2" t="s">
        <v>69</v>
      </c>
      <c r="D347" s="2" t="s">
        <v>70</v>
      </c>
      <c r="E347" s="2" t="s">
        <v>26</v>
      </c>
      <c r="F347" s="2" t="s">
        <v>41</v>
      </c>
      <c r="G347" s="2" t="s">
        <v>42</v>
      </c>
      <c r="H347" s="2" t="s">
        <v>37</v>
      </c>
      <c r="I347" s="2" t="s">
        <v>71</v>
      </c>
      <c r="J347" t="s">
        <v>31</v>
      </c>
      <c r="K347">
        <v>11</v>
      </c>
      <c r="L347" s="3"/>
      <c r="M347" s="3"/>
      <c r="N347" s="3"/>
      <c r="O347" s="3">
        <f t="shared" si="16"/>
        <v>0</v>
      </c>
      <c r="P347">
        <v>48</v>
      </c>
      <c r="Q347">
        <v>208</v>
      </c>
      <c r="R347">
        <v>1</v>
      </c>
      <c r="S347">
        <v>119</v>
      </c>
      <c r="T347">
        <f t="shared" si="17"/>
        <v>-0.36</v>
      </c>
    </row>
    <row r="348" spans="1:20" x14ac:dyDescent="0.3">
      <c r="A348" s="1">
        <v>44986</v>
      </c>
      <c r="B348" s="1" t="str">
        <f t="shared" si="15"/>
        <v>Reliance_Bangalore_Product_13_44986</v>
      </c>
      <c r="C348" s="2" t="s">
        <v>93</v>
      </c>
      <c r="D348" s="2" t="s">
        <v>94</v>
      </c>
      <c r="E348" s="2" t="s">
        <v>34</v>
      </c>
      <c r="F348" s="2" t="s">
        <v>51</v>
      </c>
      <c r="G348" s="2" t="s">
        <v>79</v>
      </c>
      <c r="H348" s="2" t="s">
        <v>67</v>
      </c>
      <c r="I348" s="2" t="s">
        <v>95</v>
      </c>
      <c r="J348" t="s">
        <v>31</v>
      </c>
      <c r="K348">
        <v>13</v>
      </c>
      <c r="L348" s="3"/>
      <c r="M348" s="3"/>
      <c r="N348" s="3"/>
      <c r="O348" s="3">
        <f t="shared" si="16"/>
        <v>0</v>
      </c>
      <c r="P348">
        <v>383.52</v>
      </c>
      <c r="Q348">
        <v>306</v>
      </c>
      <c r="R348">
        <v>0</v>
      </c>
      <c r="S348">
        <v>113</v>
      </c>
      <c r="T348">
        <f t="shared" si="17"/>
        <v>3.3552</v>
      </c>
    </row>
    <row r="349" spans="1:20" x14ac:dyDescent="0.3">
      <c r="A349" s="1">
        <v>44986</v>
      </c>
      <c r="B349" s="1" t="str">
        <f t="shared" si="15"/>
        <v>Reliance_Mundka_Product_9_44986</v>
      </c>
      <c r="C349" s="2" t="s">
        <v>145</v>
      </c>
      <c r="D349" s="2" t="s">
        <v>146</v>
      </c>
      <c r="E349" s="2" t="s">
        <v>34</v>
      </c>
      <c r="F349" s="2" t="s">
        <v>51</v>
      </c>
      <c r="G349" s="2" t="s">
        <v>36</v>
      </c>
      <c r="H349" s="2" t="s">
        <v>37</v>
      </c>
      <c r="I349" s="2" t="s">
        <v>71</v>
      </c>
      <c r="J349" t="s">
        <v>31</v>
      </c>
      <c r="K349">
        <v>3</v>
      </c>
      <c r="L349" s="3"/>
      <c r="M349" s="3"/>
      <c r="N349" s="3"/>
      <c r="O349" s="3">
        <f t="shared" si="16"/>
        <v>0</v>
      </c>
      <c r="P349">
        <v>383.52</v>
      </c>
      <c r="Q349">
        <v>151</v>
      </c>
      <c r="R349">
        <v>10</v>
      </c>
      <c r="S349">
        <v>119</v>
      </c>
      <c r="T349">
        <f t="shared" si="17"/>
        <v>0</v>
      </c>
    </row>
    <row r="350" spans="1:20" x14ac:dyDescent="0.3">
      <c r="A350" s="1">
        <v>44986</v>
      </c>
      <c r="B350" s="1" t="str">
        <f t="shared" si="15"/>
        <v>Reliance_Ahmedabad_Product_7_44986</v>
      </c>
      <c r="C350" s="2" t="s">
        <v>99</v>
      </c>
      <c r="D350" s="2" t="s">
        <v>100</v>
      </c>
      <c r="E350" s="2" t="s">
        <v>34</v>
      </c>
      <c r="F350" s="2" t="s">
        <v>51</v>
      </c>
      <c r="G350" s="2" t="s">
        <v>52</v>
      </c>
      <c r="H350" s="2" t="s">
        <v>37</v>
      </c>
      <c r="I350" s="2" t="s">
        <v>60</v>
      </c>
      <c r="J350" t="s">
        <v>31</v>
      </c>
      <c r="K350">
        <v>6</v>
      </c>
      <c r="L350" s="3"/>
      <c r="M350" s="3"/>
      <c r="N350" s="3"/>
      <c r="O350" s="3">
        <f t="shared" si="16"/>
        <v>0</v>
      </c>
      <c r="P350">
        <v>672</v>
      </c>
      <c r="Q350">
        <v>122</v>
      </c>
      <c r="R350">
        <v>13</v>
      </c>
      <c r="S350">
        <v>117</v>
      </c>
      <c r="T350">
        <f t="shared" si="17"/>
        <v>2.8848000000000003</v>
      </c>
    </row>
    <row r="351" spans="1:20" x14ac:dyDescent="0.3">
      <c r="A351" s="1">
        <v>44986</v>
      </c>
      <c r="B351" s="1" t="str">
        <f t="shared" si="15"/>
        <v>Reliance_Mundka_Product_6_44986</v>
      </c>
      <c r="C351" s="2" t="s">
        <v>55</v>
      </c>
      <c r="D351" s="2" t="s">
        <v>56</v>
      </c>
      <c r="E351" s="2" t="s">
        <v>34</v>
      </c>
      <c r="F351" s="2" t="s">
        <v>51</v>
      </c>
      <c r="G351" s="2" t="s">
        <v>36</v>
      </c>
      <c r="H351" s="2" t="s">
        <v>37</v>
      </c>
      <c r="I351" s="2" t="s">
        <v>57</v>
      </c>
      <c r="J351" t="s">
        <v>31</v>
      </c>
      <c r="K351">
        <v>2</v>
      </c>
      <c r="L351" s="3"/>
      <c r="M351" s="3"/>
      <c r="N351" s="3"/>
      <c r="O351" s="3">
        <f t="shared" si="16"/>
        <v>0</v>
      </c>
      <c r="P351">
        <v>672</v>
      </c>
      <c r="Q351">
        <v>428</v>
      </c>
      <c r="R351">
        <v>0</v>
      </c>
      <c r="S351">
        <v>135</v>
      </c>
      <c r="T351">
        <f t="shared" si="17"/>
        <v>0</v>
      </c>
    </row>
    <row r="352" spans="1:20" x14ac:dyDescent="0.3">
      <c r="A352" s="1">
        <v>44986</v>
      </c>
      <c r="B352" s="1" t="str">
        <f t="shared" si="15"/>
        <v>Reliance_Mundka_Product_7_44986</v>
      </c>
      <c r="C352" s="2" t="s">
        <v>58</v>
      </c>
      <c r="D352" s="2" t="s">
        <v>59</v>
      </c>
      <c r="E352" s="2" t="s">
        <v>34</v>
      </c>
      <c r="F352" s="2" t="s">
        <v>51</v>
      </c>
      <c r="G352" s="2" t="s">
        <v>36</v>
      </c>
      <c r="H352" s="2" t="s">
        <v>37</v>
      </c>
      <c r="I352" s="2" t="s">
        <v>60</v>
      </c>
      <c r="J352" t="s">
        <v>31</v>
      </c>
      <c r="K352">
        <v>30</v>
      </c>
      <c r="L352" s="3"/>
      <c r="M352" s="3"/>
      <c r="N352" s="3"/>
      <c r="O352" s="3">
        <f t="shared" si="16"/>
        <v>0</v>
      </c>
      <c r="P352">
        <v>421.92</v>
      </c>
      <c r="Q352">
        <v>354</v>
      </c>
      <c r="R352">
        <v>3</v>
      </c>
      <c r="S352">
        <v>117</v>
      </c>
      <c r="T352">
        <f t="shared" si="17"/>
        <v>-2.5007999999999999</v>
      </c>
    </row>
    <row r="353" spans="1:20" x14ac:dyDescent="0.3">
      <c r="A353" s="1">
        <v>45017</v>
      </c>
      <c r="B353" s="1" t="str">
        <f t="shared" si="15"/>
        <v>Swiggy_Chennai_Product_3_45017</v>
      </c>
      <c r="C353" s="2" t="s">
        <v>82</v>
      </c>
      <c r="D353" s="2" t="s">
        <v>83</v>
      </c>
      <c r="E353" s="2" t="s">
        <v>34</v>
      </c>
      <c r="F353" s="2" t="s">
        <v>35</v>
      </c>
      <c r="G353" s="2" t="s">
        <v>84</v>
      </c>
      <c r="H353" s="2" t="s">
        <v>37</v>
      </c>
      <c r="I353" s="2" t="s">
        <v>43</v>
      </c>
      <c r="J353" t="s">
        <v>31</v>
      </c>
      <c r="K353">
        <v>6</v>
      </c>
      <c r="L353" s="4"/>
      <c r="M353" s="3"/>
      <c r="N353" s="3"/>
      <c r="O353" s="3">
        <f t="shared" si="16"/>
        <v>0</v>
      </c>
      <c r="P353">
        <v>421.92</v>
      </c>
      <c r="Q353">
        <v>252</v>
      </c>
      <c r="R353">
        <v>7</v>
      </c>
      <c r="S353">
        <v>127</v>
      </c>
      <c r="T353">
        <f t="shared" si="17"/>
        <v>0</v>
      </c>
    </row>
    <row r="354" spans="1:20" x14ac:dyDescent="0.3">
      <c r="A354" s="1">
        <v>45017</v>
      </c>
      <c r="B354" s="1" t="str">
        <f t="shared" si="15"/>
        <v>Jharkhand_JH-Aggregated_Product_1_45017</v>
      </c>
      <c r="C354" s="2" t="s">
        <v>24</v>
      </c>
      <c r="D354" s="2" t="s">
        <v>25</v>
      </c>
      <c r="E354" s="2" t="s">
        <v>26</v>
      </c>
      <c r="F354" s="2" t="s">
        <v>27</v>
      </c>
      <c r="G354" s="2" t="s">
        <v>28</v>
      </c>
      <c r="H354" s="2" t="s">
        <v>29</v>
      </c>
      <c r="I354" s="2" t="s">
        <v>30</v>
      </c>
      <c r="J354" t="s">
        <v>31</v>
      </c>
      <c r="K354">
        <v>11</v>
      </c>
      <c r="L354" s="3"/>
      <c r="M354" s="3"/>
      <c r="N354" s="3"/>
      <c r="O354" s="3">
        <f t="shared" si="16"/>
        <v>0</v>
      </c>
      <c r="P354">
        <v>748.8</v>
      </c>
      <c r="Q354">
        <v>375</v>
      </c>
      <c r="R354">
        <v>0</v>
      </c>
      <c r="S354">
        <v>111</v>
      </c>
      <c r="T354">
        <f t="shared" si="17"/>
        <v>3.2687999999999993</v>
      </c>
    </row>
    <row r="355" spans="1:20" x14ac:dyDescent="0.3">
      <c r="A355" s="1">
        <v>45017</v>
      </c>
      <c r="B355" s="1" t="str">
        <f t="shared" si="15"/>
        <v>Maharashtra_MH-Aggregated_Product_22_45017</v>
      </c>
      <c r="C355" s="2" t="s">
        <v>138</v>
      </c>
      <c r="D355" s="2" t="s">
        <v>139</v>
      </c>
      <c r="E355" s="2" t="s">
        <v>26</v>
      </c>
      <c r="F355" s="2" t="s">
        <v>41</v>
      </c>
      <c r="G355" s="2" t="s">
        <v>42</v>
      </c>
      <c r="H355" s="2" t="s">
        <v>140</v>
      </c>
      <c r="I355" s="2" t="s">
        <v>141</v>
      </c>
      <c r="J355" t="s">
        <v>31</v>
      </c>
      <c r="K355">
        <v>2</v>
      </c>
      <c r="L355" s="4"/>
      <c r="M355" s="3"/>
      <c r="N355" s="3"/>
      <c r="O355" s="3">
        <f t="shared" si="16"/>
        <v>0</v>
      </c>
      <c r="P355">
        <v>748.8</v>
      </c>
      <c r="Q355">
        <v>130</v>
      </c>
      <c r="R355">
        <v>12</v>
      </c>
      <c r="S355">
        <v>126</v>
      </c>
      <c r="T355">
        <f t="shared" si="17"/>
        <v>0</v>
      </c>
    </row>
    <row r="356" spans="1:20" x14ac:dyDescent="0.3">
      <c r="A356" s="1">
        <v>45017</v>
      </c>
      <c r="B356" s="1" t="str">
        <f t="shared" si="15"/>
        <v>Swiggy_Kolkata CFA_Product_11_45017</v>
      </c>
      <c r="C356" s="2" t="s">
        <v>119</v>
      </c>
      <c r="D356" s="2" t="s">
        <v>120</v>
      </c>
      <c r="E356" s="2" t="s">
        <v>34</v>
      </c>
      <c r="F356" s="2" t="s">
        <v>35</v>
      </c>
      <c r="G356" s="2" t="s">
        <v>63</v>
      </c>
      <c r="H356" s="2" t="s">
        <v>67</v>
      </c>
      <c r="I356" s="2" t="s">
        <v>89</v>
      </c>
      <c r="J356" t="s">
        <v>31</v>
      </c>
      <c r="K356">
        <v>18</v>
      </c>
      <c r="L356" s="3"/>
      <c r="M356" s="3"/>
      <c r="N356" s="3"/>
      <c r="O356" s="3">
        <f t="shared" si="16"/>
        <v>0</v>
      </c>
      <c r="P356">
        <v>84</v>
      </c>
      <c r="Q356">
        <v>402</v>
      </c>
      <c r="R356">
        <v>6</v>
      </c>
      <c r="S356">
        <v>131</v>
      </c>
      <c r="T356">
        <f t="shared" si="17"/>
        <v>-6.6479999999999997</v>
      </c>
    </row>
    <row r="357" spans="1:20" x14ac:dyDescent="0.3">
      <c r="A357" s="1">
        <v>45017</v>
      </c>
      <c r="B357" s="1" t="str">
        <f t="shared" si="15"/>
        <v>Reliance_Kolkata CFA_Product_12_45017</v>
      </c>
      <c r="C357" s="2" t="s">
        <v>101</v>
      </c>
      <c r="D357" s="2" t="s">
        <v>102</v>
      </c>
      <c r="E357" s="2" t="s">
        <v>34</v>
      </c>
      <c r="F357" s="2" t="s">
        <v>51</v>
      </c>
      <c r="G357" s="2" t="s">
        <v>63</v>
      </c>
      <c r="H357" s="2" t="s">
        <v>67</v>
      </c>
      <c r="I357" s="2" t="s">
        <v>92</v>
      </c>
      <c r="J357" t="s">
        <v>31</v>
      </c>
      <c r="K357">
        <v>40</v>
      </c>
      <c r="L357" s="3"/>
      <c r="M357" s="3"/>
      <c r="N357" s="3"/>
      <c r="O357" s="3">
        <f t="shared" si="16"/>
        <v>0</v>
      </c>
      <c r="P357">
        <v>48</v>
      </c>
      <c r="Q357">
        <v>483</v>
      </c>
      <c r="R357">
        <v>12</v>
      </c>
      <c r="S357">
        <v>94</v>
      </c>
      <c r="T357">
        <f t="shared" si="17"/>
        <v>-0.36</v>
      </c>
    </row>
    <row r="358" spans="1:20" x14ac:dyDescent="0.3">
      <c r="A358" s="1">
        <v>45017</v>
      </c>
      <c r="B358" s="1" t="str">
        <f t="shared" si="15"/>
        <v>Reliance_Bangalore_Product_13_45017</v>
      </c>
      <c r="C358" s="2" t="s">
        <v>93</v>
      </c>
      <c r="D358" s="2" t="s">
        <v>94</v>
      </c>
      <c r="E358" s="2" t="s">
        <v>34</v>
      </c>
      <c r="F358" s="2" t="s">
        <v>51</v>
      </c>
      <c r="G358" s="2" t="s">
        <v>79</v>
      </c>
      <c r="H358" s="2" t="s">
        <v>67</v>
      </c>
      <c r="I358" s="2" t="s">
        <v>95</v>
      </c>
      <c r="J358" t="s">
        <v>31</v>
      </c>
      <c r="K358">
        <v>3</v>
      </c>
      <c r="L358" s="3"/>
      <c r="M358" s="3"/>
      <c r="N358" s="3"/>
      <c r="O358" s="3">
        <f t="shared" si="16"/>
        <v>0</v>
      </c>
      <c r="P358">
        <v>383.52</v>
      </c>
      <c r="Q358">
        <v>162</v>
      </c>
      <c r="R358">
        <v>0</v>
      </c>
      <c r="S358">
        <v>113</v>
      </c>
      <c r="T358">
        <f t="shared" si="17"/>
        <v>3.3552</v>
      </c>
    </row>
    <row r="359" spans="1:20" x14ac:dyDescent="0.3">
      <c r="A359" s="1">
        <v>45017</v>
      </c>
      <c r="B359" s="1" t="str">
        <f t="shared" si="15"/>
        <v>Reliance_Chennai_Product_9_45017</v>
      </c>
      <c r="C359" s="2" t="s">
        <v>147</v>
      </c>
      <c r="D359" s="2" t="s">
        <v>148</v>
      </c>
      <c r="E359" s="2" t="s">
        <v>34</v>
      </c>
      <c r="F359" s="2" t="s">
        <v>51</v>
      </c>
      <c r="G359" s="2" t="s">
        <v>84</v>
      </c>
      <c r="H359" s="2" t="s">
        <v>37</v>
      </c>
      <c r="I359" s="2" t="s">
        <v>71</v>
      </c>
      <c r="J359" t="s">
        <v>31</v>
      </c>
      <c r="K359">
        <v>2</v>
      </c>
      <c r="L359" s="3"/>
      <c r="M359" s="3"/>
      <c r="N359" s="3"/>
      <c r="O359" s="3">
        <f t="shared" si="16"/>
        <v>0</v>
      </c>
      <c r="P359">
        <v>383.52</v>
      </c>
      <c r="Q359">
        <v>422</v>
      </c>
      <c r="R359">
        <v>0</v>
      </c>
      <c r="S359">
        <v>119</v>
      </c>
      <c r="T359">
        <f t="shared" si="17"/>
        <v>0</v>
      </c>
    </row>
    <row r="360" spans="1:20" x14ac:dyDescent="0.3">
      <c r="A360" s="1">
        <v>45017</v>
      </c>
      <c r="B360" s="1" t="str">
        <f t="shared" si="15"/>
        <v>Maharashtra_MH-Aggregated_Product_23_45017</v>
      </c>
      <c r="C360" s="2" t="s">
        <v>142</v>
      </c>
      <c r="D360" s="2" t="s">
        <v>143</v>
      </c>
      <c r="E360" s="2" t="s">
        <v>26</v>
      </c>
      <c r="F360" s="2" t="s">
        <v>41</v>
      </c>
      <c r="G360" s="2" t="s">
        <v>42</v>
      </c>
      <c r="H360" s="2" t="s">
        <v>140</v>
      </c>
      <c r="I360" s="2" t="s">
        <v>144</v>
      </c>
      <c r="J360" t="s">
        <v>31</v>
      </c>
      <c r="K360">
        <v>2</v>
      </c>
      <c r="L360" s="3"/>
      <c r="M360" s="3"/>
      <c r="N360" s="3"/>
      <c r="O360" s="3">
        <f t="shared" si="16"/>
        <v>0</v>
      </c>
      <c r="P360">
        <v>672</v>
      </c>
      <c r="Q360">
        <v>294</v>
      </c>
      <c r="R360">
        <v>0</v>
      </c>
      <c r="S360">
        <v>144</v>
      </c>
      <c r="T360">
        <f t="shared" si="17"/>
        <v>2.8848000000000003</v>
      </c>
    </row>
    <row r="361" spans="1:20" x14ac:dyDescent="0.3">
      <c r="A361" s="1">
        <v>45017</v>
      </c>
      <c r="B361" s="1" t="str">
        <f t="shared" si="15"/>
        <v>Reliance_Bhiwandi_Product_10_45017</v>
      </c>
      <c r="C361" s="2" t="s">
        <v>85</v>
      </c>
      <c r="D361" s="2" t="s">
        <v>86</v>
      </c>
      <c r="E361" s="2" t="s">
        <v>34</v>
      </c>
      <c r="F361" s="2" t="s">
        <v>51</v>
      </c>
      <c r="G361" s="2" t="s">
        <v>66</v>
      </c>
      <c r="H361" s="2" t="s">
        <v>67</v>
      </c>
      <c r="I361" s="2" t="s">
        <v>76</v>
      </c>
      <c r="J361" t="s">
        <v>31</v>
      </c>
      <c r="K361">
        <v>1</v>
      </c>
      <c r="L361" s="3"/>
      <c r="M361" s="3"/>
      <c r="N361" s="3"/>
      <c r="O361" s="3">
        <f t="shared" si="16"/>
        <v>0</v>
      </c>
      <c r="P361">
        <v>672</v>
      </c>
      <c r="Q361">
        <v>104</v>
      </c>
      <c r="R361">
        <v>2</v>
      </c>
      <c r="S361">
        <v>106</v>
      </c>
      <c r="T361">
        <f t="shared" si="17"/>
        <v>0</v>
      </c>
    </row>
    <row r="362" spans="1:20" x14ac:dyDescent="0.3">
      <c r="A362" s="1">
        <v>45017</v>
      </c>
      <c r="B362" s="1" t="str">
        <f t="shared" si="15"/>
        <v>Reliance_Ahmedabad_Product_7_45017</v>
      </c>
      <c r="C362" s="2" t="s">
        <v>99</v>
      </c>
      <c r="D362" s="2" t="s">
        <v>100</v>
      </c>
      <c r="E362" s="2" t="s">
        <v>34</v>
      </c>
      <c r="F362" s="2" t="s">
        <v>51</v>
      </c>
      <c r="G362" s="2" t="s">
        <v>52</v>
      </c>
      <c r="H362" s="2" t="s">
        <v>37</v>
      </c>
      <c r="I362" s="2" t="s">
        <v>60</v>
      </c>
      <c r="J362" t="s">
        <v>31</v>
      </c>
      <c r="K362">
        <v>7</v>
      </c>
      <c r="L362" s="3"/>
      <c r="M362" s="3"/>
      <c r="N362" s="3"/>
      <c r="O362" s="3">
        <f t="shared" si="16"/>
        <v>0</v>
      </c>
      <c r="P362">
        <v>421.92</v>
      </c>
      <c r="Q362">
        <v>362</v>
      </c>
      <c r="R362">
        <v>4</v>
      </c>
      <c r="S362">
        <v>117</v>
      </c>
      <c r="T362">
        <f t="shared" si="17"/>
        <v>-2.5007999999999999</v>
      </c>
    </row>
    <row r="363" spans="1:20" x14ac:dyDescent="0.3">
      <c r="A363" s="1">
        <v>45017</v>
      </c>
      <c r="B363" s="1" t="str">
        <f t="shared" si="15"/>
        <v>Reliance_Ahmedabad_Product_18_45017</v>
      </c>
      <c r="C363" s="2" t="s">
        <v>121</v>
      </c>
      <c r="D363" s="2" t="s">
        <v>122</v>
      </c>
      <c r="E363" s="2" t="s">
        <v>34</v>
      </c>
      <c r="F363" s="2" t="s">
        <v>51</v>
      </c>
      <c r="G363" s="2" t="s">
        <v>52</v>
      </c>
      <c r="H363" s="2" t="s">
        <v>29</v>
      </c>
      <c r="I363" s="2" t="s">
        <v>123</v>
      </c>
      <c r="J363" t="s">
        <v>31</v>
      </c>
      <c r="K363">
        <v>3</v>
      </c>
      <c r="L363" s="3"/>
      <c r="M363" s="3"/>
      <c r="N363" s="3"/>
      <c r="O363" s="3">
        <f t="shared" si="16"/>
        <v>0</v>
      </c>
      <c r="P363">
        <v>421.92</v>
      </c>
      <c r="Q363">
        <v>493</v>
      </c>
      <c r="R363">
        <v>8</v>
      </c>
      <c r="S363">
        <v>129</v>
      </c>
      <c r="T363">
        <f t="shared" si="17"/>
        <v>0</v>
      </c>
    </row>
    <row r="364" spans="1:20" x14ac:dyDescent="0.3">
      <c r="A364" s="1">
        <v>45017</v>
      </c>
      <c r="B364" s="1" t="str">
        <f t="shared" si="15"/>
        <v>Reliance_Hyderabad_Product_2_45017</v>
      </c>
      <c r="C364" s="2" t="s">
        <v>149</v>
      </c>
      <c r="D364" s="2" t="s">
        <v>150</v>
      </c>
      <c r="E364" s="2" t="s">
        <v>34</v>
      </c>
      <c r="F364" s="2" t="s">
        <v>51</v>
      </c>
      <c r="G364" s="2" t="s">
        <v>137</v>
      </c>
      <c r="H364" s="2" t="s">
        <v>37</v>
      </c>
      <c r="I364" s="2" t="s">
        <v>38</v>
      </c>
      <c r="J364" t="s">
        <v>31</v>
      </c>
      <c r="K364">
        <v>4</v>
      </c>
      <c r="L364" s="3"/>
      <c r="M364" s="3"/>
      <c r="N364" s="3"/>
      <c r="O364" s="3">
        <f t="shared" si="16"/>
        <v>0</v>
      </c>
      <c r="P364">
        <v>748.8</v>
      </c>
      <c r="Q364">
        <v>242</v>
      </c>
      <c r="R364">
        <v>9</v>
      </c>
      <c r="S364">
        <v>134</v>
      </c>
      <c r="T364">
        <f t="shared" si="17"/>
        <v>3.2687999999999993</v>
      </c>
    </row>
    <row r="365" spans="1:20" x14ac:dyDescent="0.3">
      <c r="A365" s="1">
        <v>45017</v>
      </c>
      <c r="B365" s="1" t="str">
        <f t="shared" si="15"/>
        <v>Swiggy_Mundka_Product_14_45017</v>
      </c>
      <c r="C365" s="2" t="s">
        <v>96</v>
      </c>
      <c r="D365" s="2" t="s">
        <v>97</v>
      </c>
      <c r="E365" s="2" t="s">
        <v>34</v>
      </c>
      <c r="F365" s="2" t="s">
        <v>35</v>
      </c>
      <c r="G365" s="2" t="s">
        <v>36</v>
      </c>
      <c r="H365" s="2" t="s">
        <v>47</v>
      </c>
      <c r="I365" s="2" t="s">
        <v>98</v>
      </c>
      <c r="J365" t="s">
        <v>31</v>
      </c>
      <c r="K365">
        <v>1</v>
      </c>
      <c r="L365" s="3"/>
      <c r="M365" s="3"/>
      <c r="N365" s="3"/>
      <c r="O365" s="3">
        <f t="shared" si="16"/>
        <v>0</v>
      </c>
      <c r="P365">
        <v>748.8</v>
      </c>
      <c r="Q365">
        <v>326</v>
      </c>
      <c r="R365">
        <v>12</v>
      </c>
      <c r="S365">
        <v>97</v>
      </c>
      <c r="T365">
        <f t="shared" si="17"/>
        <v>0</v>
      </c>
    </row>
    <row r="366" spans="1:20" x14ac:dyDescent="0.3">
      <c r="A366" s="1">
        <v>45017</v>
      </c>
      <c r="B366" s="1" t="str">
        <f t="shared" si="15"/>
        <v>Jharkhand_JH-Aggregated_Product_19_45017</v>
      </c>
      <c r="C366" s="2" t="s">
        <v>124</v>
      </c>
      <c r="D366" s="2" t="s">
        <v>125</v>
      </c>
      <c r="E366" s="2" t="s">
        <v>26</v>
      </c>
      <c r="F366" s="2" t="s">
        <v>27</v>
      </c>
      <c r="G366" s="2" t="s">
        <v>28</v>
      </c>
      <c r="H366" s="2" t="s">
        <v>126</v>
      </c>
      <c r="I366" s="2" t="s">
        <v>127</v>
      </c>
      <c r="J366" t="s">
        <v>31</v>
      </c>
      <c r="K366">
        <v>4</v>
      </c>
      <c r="L366" s="3"/>
      <c r="M366" s="3"/>
      <c r="N366" s="3"/>
      <c r="O366" s="3">
        <f t="shared" si="16"/>
        <v>0</v>
      </c>
      <c r="P366">
        <v>84</v>
      </c>
      <c r="Q366">
        <v>196</v>
      </c>
      <c r="R366">
        <v>9</v>
      </c>
      <c r="S366">
        <v>94</v>
      </c>
      <c r="T366">
        <f t="shared" si="17"/>
        <v>-6.6479999999999997</v>
      </c>
    </row>
    <row r="367" spans="1:20" x14ac:dyDescent="0.3">
      <c r="A367" s="1">
        <v>45017</v>
      </c>
      <c r="B367" s="1" t="str">
        <f t="shared" si="15"/>
        <v>Zepto_Bangalore_Product_12_45017</v>
      </c>
      <c r="C367" s="2" t="s">
        <v>90</v>
      </c>
      <c r="D367" s="2" t="s">
        <v>91</v>
      </c>
      <c r="E367" s="2" t="s">
        <v>34</v>
      </c>
      <c r="F367" s="2" t="s">
        <v>46</v>
      </c>
      <c r="G367" s="2" t="s">
        <v>79</v>
      </c>
      <c r="H367" s="2" t="s">
        <v>67</v>
      </c>
      <c r="I367" s="2" t="s">
        <v>92</v>
      </c>
      <c r="J367" t="s">
        <v>31</v>
      </c>
      <c r="K367">
        <v>9</v>
      </c>
      <c r="L367" s="3"/>
      <c r="M367" s="3"/>
      <c r="N367" s="3"/>
      <c r="O367" s="3">
        <f t="shared" si="16"/>
        <v>0</v>
      </c>
      <c r="P367">
        <v>48</v>
      </c>
      <c r="Q367">
        <v>476</v>
      </c>
      <c r="R367">
        <v>1</v>
      </c>
      <c r="S367">
        <v>94</v>
      </c>
      <c r="T367">
        <f t="shared" si="17"/>
        <v>-0.36</v>
      </c>
    </row>
    <row r="368" spans="1:20" x14ac:dyDescent="0.3">
      <c r="A368" s="1">
        <v>45017</v>
      </c>
      <c r="B368" s="1" t="str">
        <f t="shared" si="15"/>
        <v>Swiggy_Bangalore_Product_16_45017</v>
      </c>
      <c r="C368" s="2" t="s">
        <v>107</v>
      </c>
      <c r="D368" s="2" t="s">
        <v>108</v>
      </c>
      <c r="E368" s="2" t="s">
        <v>34</v>
      </c>
      <c r="F368" s="2" t="s">
        <v>35</v>
      </c>
      <c r="G368" s="2" t="s">
        <v>79</v>
      </c>
      <c r="H368" s="2" t="s">
        <v>47</v>
      </c>
      <c r="I368" s="2" t="s">
        <v>109</v>
      </c>
      <c r="J368" t="s">
        <v>31</v>
      </c>
      <c r="K368">
        <v>13</v>
      </c>
      <c r="L368" s="3"/>
      <c r="M368" s="3"/>
      <c r="N368" s="3"/>
      <c r="O368" s="3">
        <f t="shared" si="16"/>
        <v>0</v>
      </c>
      <c r="P368">
        <v>383.52</v>
      </c>
      <c r="Q368">
        <v>189</v>
      </c>
      <c r="R368">
        <v>0</v>
      </c>
      <c r="S368">
        <v>122</v>
      </c>
      <c r="T368">
        <f t="shared" si="17"/>
        <v>3.3552</v>
      </c>
    </row>
    <row r="369" spans="1:20" x14ac:dyDescent="0.3">
      <c r="A369" s="1">
        <v>45017</v>
      </c>
      <c r="B369" s="1" t="str">
        <f t="shared" si="15"/>
        <v>Reliance_Bhiwandi_Product_8_45017</v>
      </c>
      <c r="C369" s="2" t="s">
        <v>64</v>
      </c>
      <c r="D369" s="2" t="s">
        <v>65</v>
      </c>
      <c r="E369" s="2" t="s">
        <v>34</v>
      </c>
      <c r="F369" s="2" t="s">
        <v>51</v>
      </c>
      <c r="G369" s="2" t="s">
        <v>66</v>
      </c>
      <c r="H369" s="2" t="s">
        <v>67</v>
      </c>
      <c r="I369" s="2" t="s">
        <v>68</v>
      </c>
      <c r="J369" t="s">
        <v>31</v>
      </c>
      <c r="K369">
        <v>3</v>
      </c>
      <c r="L369" s="3"/>
      <c r="M369" s="3"/>
      <c r="N369" s="3"/>
      <c r="O369" s="3">
        <f t="shared" si="16"/>
        <v>0</v>
      </c>
      <c r="P369">
        <v>383.52</v>
      </c>
      <c r="Q369">
        <v>499</v>
      </c>
      <c r="R369">
        <v>0</v>
      </c>
      <c r="S369">
        <v>126</v>
      </c>
      <c r="T369">
        <f t="shared" si="17"/>
        <v>0</v>
      </c>
    </row>
    <row r="370" spans="1:20" x14ac:dyDescent="0.3">
      <c r="A370" s="1">
        <v>45017</v>
      </c>
      <c r="B370" s="1" t="str">
        <f t="shared" si="15"/>
        <v>Reliance_Ahmedabad_Product_9_45017</v>
      </c>
      <c r="C370" s="2" t="s">
        <v>151</v>
      </c>
      <c r="D370" s="2" t="s">
        <v>152</v>
      </c>
      <c r="E370" s="2" t="s">
        <v>34</v>
      </c>
      <c r="F370" s="2" t="s">
        <v>51</v>
      </c>
      <c r="G370" s="2" t="s">
        <v>52</v>
      </c>
      <c r="H370" s="2" t="s">
        <v>37</v>
      </c>
      <c r="I370" s="2" t="s">
        <v>71</v>
      </c>
      <c r="J370" t="s">
        <v>31</v>
      </c>
      <c r="K370">
        <v>6</v>
      </c>
      <c r="L370" s="3"/>
      <c r="M370" s="3"/>
      <c r="N370" s="3"/>
      <c r="O370" s="3">
        <f t="shared" si="16"/>
        <v>0</v>
      </c>
      <c r="P370">
        <v>672</v>
      </c>
      <c r="Q370">
        <v>257</v>
      </c>
      <c r="R370">
        <v>0</v>
      </c>
      <c r="S370">
        <v>119</v>
      </c>
      <c r="T370">
        <f t="shared" si="17"/>
        <v>2.8848000000000003</v>
      </c>
    </row>
    <row r="371" spans="1:20" x14ac:dyDescent="0.3">
      <c r="A371" s="1">
        <v>45017</v>
      </c>
      <c r="B371" s="1" t="str">
        <f t="shared" si="15"/>
        <v>Maharashtra_MH-Aggregated_Product_3_45017</v>
      </c>
      <c r="C371" s="2" t="s">
        <v>39</v>
      </c>
      <c r="D371" s="2" t="s">
        <v>40</v>
      </c>
      <c r="E371" s="2" t="s">
        <v>26</v>
      </c>
      <c r="F371" s="2" t="s">
        <v>41</v>
      </c>
      <c r="G371" s="2" t="s">
        <v>42</v>
      </c>
      <c r="H371" s="2" t="s">
        <v>37</v>
      </c>
      <c r="I371" s="2" t="s">
        <v>43</v>
      </c>
      <c r="J371" t="s">
        <v>31</v>
      </c>
      <c r="K371">
        <v>2</v>
      </c>
      <c r="L371" s="3"/>
      <c r="M371" s="3"/>
      <c r="N371" s="3"/>
      <c r="O371" s="3">
        <f t="shared" si="16"/>
        <v>0</v>
      </c>
      <c r="P371">
        <v>672</v>
      </c>
      <c r="Q371">
        <v>199</v>
      </c>
      <c r="R371">
        <v>9</v>
      </c>
      <c r="S371">
        <v>127</v>
      </c>
      <c r="T371">
        <f t="shared" si="17"/>
        <v>0</v>
      </c>
    </row>
    <row r="372" spans="1:20" x14ac:dyDescent="0.3">
      <c r="A372" s="1">
        <v>45017</v>
      </c>
      <c r="B372" s="1" t="str">
        <f t="shared" si="15"/>
        <v>Swiggy_Kolkata CFA_Product_20_45017</v>
      </c>
      <c r="C372" s="2" t="s">
        <v>128</v>
      </c>
      <c r="D372" s="2" t="s">
        <v>129</v>
      </c>
      <c r="E372" s="2" t="s">
        <v>34</v>
      </c>
      <c r="F372" s="2" t="s">
        <v>35</v>
      </c>
      <c r="G372" s="2" t="s">
        <v>63</v>
      </c>
      <c r="H372" s="2" t="s">
        <v>47</v>
      </c>
      <c r="I372" s="2" t="s">
        <v>130</v>
      </c>
      <c r="J372" t="s">
        <v>31</v>
      </c>
      <c r="K372">
        <v>30</v>
      </c>
      <c r="L372" s="3"/>
      <c r="M372" s="3"/>
      <c r="N372" s="3"/>
      <c r="O372" s="3">
        <f t="shared" si="16"/>
        <v>0</v>
      </c>
      <c r="P372">
        <v>421.92</v>
      </c>
      <c r="Q372">
        <v>187</v>
      </c>
      <c r="R372">
        <v>0</v>
      </c>
      <c r="S372">
        <v>125</v>
      </c>
      <c r="T372">
        <f t="shared" si="17"/>
        <v>-2.5007999999999999</v>
      </c>
    </row>
    <row r="373" spans="1:20" x14ac:dyDescent="0.3">
      <c r="A373" s="1">
        <v>45017</v>
      </c>
      <c r="B373" s="1" t="str">
        <f t="shared" si="15"/>
        <v>Reliance_Bhiwandi_Product_11_45017</v>
      </c>
      <c r="C373" s="2" t="s">
        <v>87</v>
      </c>
      <c r="D373" s="2" t="s">
        <v>88</v>
      </c>
      <c r="E373" s="2" t="s">
        <v>34</v>
      </c>
      <c r="F373" s="2" t="s">
        <v>51</v>
      </c>
      <c r="G373" s="2" t="s">
        <v>66</v>
      </c>
      <c r="H373" s="2" t="s">
        <v>67</v>
      </c>
      <c r="I373" s="2" t="s">
        <v>89</v>
      </c>
      <c r="J373" t="s">
        <v>31</v>
      </c>
      <c r="K373">
        <v>6</v>
      </c>
      <c r="L373" s="3"/>
      <c r="M373" s="3"/>
      <c r="N373" s="3"/>
      <c r="O373" s="3">
        <f t="shared" si="16"/>
        <v>0</v>
      </c>
      <c r="P373">
        <v>421.92</v>
      </c>
      <c r="Q373">
        <v>388</v>
      </c>
      <c r="R373">
        <v>2</v>
      </c>
      <c r="S373">
        <v>131</v>
      </c>
      <c r="T373">
        <f t="shared" si="17"/>
        <v>0</v>
      </c>
    </row>
    <row r="374" spans="1:20" x14ac:dyDescent="0.3">
      <c r="A374" s="1">
        <v>45017</v>
      </c>
      <c r="B374" s="1" t="str">
        <f t="shared" si="15"/>
        <v>Swiggy_Kolkata CFA_Product_3_45017</v>
      </c>
      <c r="C374" s="2" t="s">
        <v>61</v>
      </c>
      <c r="D374" s="2" t="s">
        <v>62</v>
      </c>
      <c r="E374" s="2" t="s">
        <v>34</v>
      </c>
      <c r="F374" s="2" t="s">
        <v>35</v>
      </c>
      <c r="G374" s="2" t="s">
        <v>63</v>
      </c>
      <c r="H374" s="2" t="s">
        <v>37</v>
      </c>
      <c r="I374" s="2" t="s">
        <v>43</v>
      </c>
      <c r="J374" t="s">
        <v>31</v>
      </c>
      <c r="K374">
        <v>11</v>
      </c>
      <c r="L374" s="3"/>
      <c r="M374" s="3"/>
      <c r="N374" s="3"/>
      <c r="O374" s="3">
        <f t="shared" si="16"/>
        <v>0</v>
      </c>
      <c r="P374">
        <v>748.8</v>
      </c>
      <c r="Q374">
        <v>389</v>
      </c>
      <c r="R374">
        <v>0</v>
      </c>
      <c r="S374">
        <v>127</v>
      </c>
      <c r="T374">
        <f t="shared" si="17"/>
        <v>3.2687999999999993</v>
      </c>
    </row>
    <row r="375" spans="1:20" x14ac:dyDescent="0.3">
      <c r="A375" s="1">
        <v>45017</v>
      </c>
      <c r="B375" s="1" t="str">
        <f t="shared" si="15"/>
        <v>Reliance_Bangalore_Product_3_45017</v>
      </c>
      <c r="C375" s="2" t="s">
        <v>80</v>
      </c>
      <c r="D375" s="2" t="s">
        <v>81</v>
      </c>
      <c r="E375" s="2" t="s">
        <v>34</v>
      </c>
      <c r="F375" s="2" t="s">
        <v>51</v>
      </c>
      <c r="G375" s="2" t="s">
        <v>79</v>
      </c>
      <c r="H375" s="2" t="s">
        <v>37</v>
      </c>
      <c r="I375" s="2" t="s">
        <v>43</v>
      </c>
      <c r="J375" t="s">
        <v>31</v>
      </c>
      <c r="K375">
        <v>2</v>
      </c>
      <c r="L375" s="3"/>
      <c r="M375" s="3"/>
      <c r="N375" s="3"/>
      <c r="O375" s="3">
        <f t="shared" si="16"/>
        <v>0</v>
      </c>
      <c r="P375">
        <v>748.8</v>
      </c>
      <c r="Q375">
        <v>162</v>
      </c>
      <c r="R375">
        <v>5</v>
      </c>
      <c r="S375">
        <v>127</v>
      </c>
      <c r="T375">
        <f t="shared" si="17"/>
        <v>0</v>
      </c>
    </row>
    <row r="376" spans="1:20" x14ac:dyDescent="0.3">
      <c r="A376" s="1">
        <v>45017</v>
      </c>
      <c r="B376" s="1" t="str">
        <f t="shared" si="15"/>
        <v>Maharashtra_MH-Aggregated_Product_9_45017</v>
      </c>
      <c r="C376" s="2" t="s">
        <v>69</v>
      </c>
      <c r="D376" s="2" t="s">
        <v>70</v>
      </c>
      <c r="E376" s="2" t="s">
        <v>26</v>
      </c>
      <c r="F376" s="2" t="s">
        <v>41</v>
      </c>
      <c r="G376" s="2" t="s">
        <v>42</v>
      </c>
      <c r="H376" s="2" t="s">
        <v>37</v>
      </c>
      <c r="I376" s="2" t="s">
        <v>71</v>
      </c>
      <c r="J376" t="s">
        <v>31</v>
      </c>
      <c r="K376">
        <v>18</v>
      </c>
      <c r="L376" s="3"/>
      <c r="M376" s="3"/>
      <c r="N376" s="3"/>
      <c r="O376" s="3">
        <f t="shared" si="16"/>
        <v>0</v>
      </c>
      <c r="P376">
        <v>84</v>
      </c>
      <c r="Q376">
        <v>326</v>
      </c>
      <c r="R376">
        <v>0</v>
      </c>
      <c r="S376">
        <v>119</v>
      </c>
      <c r="T376">
        <f t="shared" si="17"/>
        <v>-6.6479999999999997</v>
      </c>
    </row>
    <row r="377" spans="1:20" x14ac:dyDescent="0.3">
      <c r="A377" s="1">
        <v>45017</v>
      </c>
      <c r="B377" s="1" t="str">
        <f t="shared" si="15"/>
        <v>Grofers_Kolkata CFA_Product_20_45017</v>
      </c>
      <c r="C377" s="2" t="s">
        <v>153</v>
      </c>
      <c r="D377" s="2" t="s">
        <v>154</v>
      </c>
      <c r="E377" s="2" t="s">
        <v>34</v>
      </c>
      <c r="F377" s="2" t="s">
        <v>114</v>
      </c>
      <c r="G377" s="2" t="s">
        <v>63</v>
      </c>
      <c r="H377" s="2" t="s">
        <v>47</v>
      </c>
      <c r="I377" s="2" t="s">
        <v>130</v>
      </c>
      <c r="J377" t="s">
        <v>31</v>
      </c>
      <c r="K377">
        <v>40</v>
      </c>
      <c r="L377" s="3"/>
      <c r="M377" s="3"/>
      <c r="N377" s="3"/>
      <c r="O377" s="3">
        <f t="shared" si="16"/>
        <v>0</v>
      </c>
      <c r="P377">
        <v>48</v>
      </c>
      <c r="Q377">
        <v>273</v>
      </c>
      <c r="R377">
        <v>0</v>
      </c>
      <c r="S377">
        <v>125</v>
      </c>
      <c r="T377">
        <f t="shared" si="17"/>
        <v>-0.36</v>
      </c>
    </row>
    <row r="378" spans="1:20" x14ac:dyDescent="0.3">
      <c r="A378" s="1">
        <v>45017</v>
      </c>
      <c r="B378" s="1" t="str">
        <f t="shared" si="15"/>
        <v>Reliance_Mundka_Product_7_45017</v>
      </c>
      <c r="C378" s="2" t="s">
        <v>58</v>
      </c>
      <c r="D378" s="2" t="s">
        <v>59</v>
      </c>
      <c r="E378" s="2" t="s">
        <v>34</v>
      </c>
      <c r="F378" s="2" t="s">
        <v>51</v>
      </c>
      <c r="G378" s="2" t="s">
        <v>36</v>
      </c>
      <c r="H378" s="2" t="s">
        <v>37</v>
      </c>
      <c r="I378" s="2" t="s">
        <v>60</v>
      </c>
      <c r="J378" t="s">
        <v>31</v>
      </c>
      <c r="K378">
        <v>29</v>
      </c>
      <c r="L378" s="3"/>
      <c r="M378" s="3"/>
      <c r="N378" s="3"/>
      <c r="O378" s="3">
        <f t="shared" si="16"/>
        <v>0</v>
      </c>
      <c r="P378">
        <v>383.52</v>
      </c>
      <c r="Q378">
        <v>110</v>
      </c>
      <c r="R378">
        <v>5</v>
      </c>
      <c r="S378">
        <v>117</v>
      </c>
      <c r="T378">
        <f t="shared" si="17"/>
        <v>3.3552</v>
      </c>
    </row>
    <row r="379" spans="1:20" x14ac:dyDescent="0.3">
      <c r="A379" s="1">
        <v>45017</v>
      </c>
      <c r="B379" s="1" t="str">
        <f t="shared" si="15"/>
        <v>Reliance_Mundka_Product_9_45017</v>
      </c>
      <c r="C379" s="2" t="s">
        <v>145</v>
      </c>
      <c r="D379" s="2" t="s">
        <v>146</v>
      </c>
      <c r="E379" s="2" t="s">
        <v>34</v>
      </c>
      <c r="F379" s="2" t="s">
        <v>51</v>
      </c>
      <c r="G379" s="2" t="s">
        <v>36</v>
      </c>
      <c r="H379" s="2" t="s">
        <v>37</v>
      </c>
      <c r="I379" s="2" t="s">
        <v>71</v>
      </c>
      <c r="J379" t="s">
        <v>31</v>
      </c>
      <c r="K379">
        <v>5</v>
      </c>
      <c r="L379" s="3"/>
      <c r="M379" s="3"/>
      <c r="N379" s="3"/>
      <c r="O379" s="3">
        <f t="shared" si="16"/>
        <v>0</v>
      </c>
      <c r="P379">
        <v>383.52</v>
      </c>
      <c r="Q379">
        <v>338</v>
      </c>
      <c r="R379">
        <v>0</v>
      </c>
      <c r="S379">
        <v>119</v>
      </c>
      <c r="T379">
        <f t="shared" si="17"/>
        <v>0</v>
      </c>
    </row>
    <row r="380" spans="1:20" x14ac:dyDescent="0.3">
      <c r="A380" s="1">
        <v>45017</v>
      </c>
      <c r="B380" s="1" t="str">
        <f t="shared" si="15"/>
        <v>Reliance_Chennai_Product_11_45017</v>
      </c>
      <c r="C380" s="2" t="s">
        <v>110</v>
      </c>
      <c r="D380" s="2" t="s">
        <v>111</v>
      </c>
      <c r="E380" s="2" t="s">
        <v>34</v>
      </c>
      <c r="F380" s="2" t="s">
        <v>51</v>
      </c>
      <c r="G380" s="2" t="s">
        <v>84</v>
      </c>
      <c r="H380" s="2" t="s">
        <v>67</v>
      </c>
      <c r="I380" s="2" t="s">
        <v>89</v>
      </c>
      <c r="J380" t="s">
        <v>31</v>
      </c>
      <c r="K380">
        <v>12</v>
      </c>
      <c r="L380" s="3"/>
      <c r="M380" s="3"/>
      <c r="N380" s="3"/>
      <c r="O380" s="3">
        <f t="shared" si="16"/>
        <v>0</v>
      </c>
      <c r="P380">
        <v>672</v>
      </c>
      <c r="Q380">
        <v>495</v>
      </c>
      <c r="R380">
        <v>0</v>
      </c>
      <c r="S380">
        <v>131</v>
      </c>
      <c r="T380">
        <f t="shared" si="17"/>
        <v>2.8848000000000003</v>
      </c>
    </row>
    <row r="381" spans="1:20" x14ac:dyDescent="0.3">
      <c r="A381" s="1">
        <v>45017</v>
      </c>
      <c r="B381" s="1" t="str">
        <f t="shared" si="15"/>
        <v>Jharkhand_JH-Aggregated_Product_15_45017</v>
      </c>
      <c r="C381" s="2" t="s">
        <v>103</v>
      </c>
      <c r="D381" s="2" t="s">
        <v>104</v>
      </c>
      <c r="E381" s="2" t="s">
        <v>26</v>
      </c>
      <c r="F381" s="2" t="s">
        <v>27</v>
      </c>
      <c r="G381" s="2" t="s">
        <v>28</v>
      </c>
      <c r="H381" s="2" t="s">
        <v>105</v>
      </c>
      <c r="I381" s="2" t="s">
        <v>106</v>
      </c>
      <c r="J381" t="s">
        <v>31</v>
      </c>
      <c r="K381">
        <v>2</v>
      </c>
      <c r="L381" s="3"/>
      <c r="M381" s="3"/>
      <c r="N381" s="3"/>
      <c r="O381" s="3">
        <f t="shared" si="16"/>
        <v>0</v>
      </c>
      <c r="P381">
        <v>672</v>
      </c>
      <c r="Q381">
        <v>288</v>
      </c>
      <c r="R381">
        <v>4</v>
      </c>
      <c r="S381">
        <v>143</v>
      </c>
      <c r="T381">
        <f t="shared" si="17"/>
        <v>0</v>
      </c>
    </row>
    <row r="382" spans="1:20" x14ac:dyDescent="0.3">
      <c r="A382" s="1">
        <v>45017</v>
      </c>
      <c r="B382" s="1" t="str">
        <f t="shared" si="15"/>
        <v>Swiggy_Mundka_Product_2_45017</v>
      </c>
      <c r="C382" s="2" t="s">
        <v>32</v>
      </c>
      <c r="D382" s="2" t="s">
        <v>33</v>
      </c>
      <c r="E382" s="2" t="s">
        <v>34</v>
      </c>
      <c r="F382" s="2" t="s">
        <v>35</v>
      </c>
      <c r="G382" s="2" t="s">
        <v>36</v>
      </c>
      <c r="H382" s="2" t="s">
        <v>37</v>
      </c>
      <c r="I382" s="2" t="s">
        <v>38</v>
      </c>
      <c r="J382" t="s">
        <v>31</v>
      </c>
      <c r="K382">
        <v>67</v>
      </c>
      <c r="L382" s="3"/>
      <c r="M382" s="3"/>
      <c r="N382" s="3"/>
      <c r="O382" s="3">
        <f t="shared" si="16"/>
        <v>0</v>
      </c>
      <c r="P382">
        <v>421.92</v>
      </c>
      <c r="Q382">
        <v>177</v>
      </c>
      <c r="R382">
        <v>0</v>
      </c>
      <c r="S382">
        <v>134</v>
      </c>
      <c r="T382">
        <f t="shared" si="17"/>
        <v>-2.5007999999999999</v>
      </c>
    </row>
    <row r="383" spans="1:20" x14ac:dyDescent="0.3">
      <c r="A383" s="1">
        <v>45017</v>
      </c>
      <c r="B383" s="1" t="str">
        <f t="shared" si="15"/>
        <v>Grofers_Hyderabad_Product_21_45017</v>
      </c>
      <c r="C383" s="2" t="s">
        <v>135</v>
      </c>
      <c r="D383" s="2" t="s">
        <v>136</v>
      </c>
      <c r="E383" s="2" t="s">
        <v>34</v>
      </c>
      <c r="F383" s="2" t="s">
        <v>114</v>
      </c>
      <c r="G383" s="2" t="s">
        <v>137</v>
      </c>
      <c r="H383" s="2" t="s">
        <v>133</v>
      </c>
      <c r="I383" s="2" t="s">
        <v>134</v>
      </c>
      <c r="J383" t="s">
        <v>31</v>
      </c>
      <c r="K383">
        <v>12</v>
      </c>
      <c r="L383" s="3"/>
      <c r="M383" s="3"/>
      <c r="N383" s="3"/>
      <c r="O383" s="3">
        <f t="shared" si="16"/>
        <v>0</v>
      </c>
      <c r="P383">
        <v>421.92</v>
      </c>
      <c r="Q383">
        <v>208</v>
      </c>
      <c r="R383">
        <v>0</v>
      </c>
      <c r="S383">
        <v>115</v>
      </c>
      <c r="T383">
        <f t="shared" si="17"/>
        <v>0</v>
      </c>
    </row>
    <row r="384" spans="1:20" x14ac:dyDescent="0.3">
      <c r="A384" s="1">
        <v>45017</v>
      </c>
      <c r="B384" s="1" t="str">
        <f t="shared" si="15"/>
        <v>Reliance_Bangalore_Product_8_45017</v>
      </c>
      <c r="C384" s="2" t="s">
        <v>77</v>
      </c>
      <c r="D384" s="2" t="s">
        <v>78</v>
      </c>
      <c r="E384" s="2" t="s">
        <v>34</v>
      </c>
      <c r="F384" s="2" t="s">
        <v>51</v>
      </c>
      <c r="G384" s="2" t="s">
        <v>79</v>
      </c>
      <c r="H384" s="2" t="s">
        <v>67</v>
      </c>
      <c r="I384" s="2" t="s">
        <v>68</v>
      </c>
      <c r="J384" t="s">
        <v>31</v>
      </c>
      <c r="K384">
        <v>23</v>
      </c>
      <c r="L384" s="3"/>
      <c r="M384" s="3"/>
      <c r="N384" s="3"/>
      <c r="O384" s="3">
        <f t="shared" si="16"/>
        <v>0</v>
      </c>
      <c r="P384">
        <v>748.8</v>
      </c>
      <c r="Q384">
        <v>322</v>
      </c>
      <c r="R384">
        <v>6</v>
      </c>
      <c r="S384">
        <v>126</v>
      </c>
      <c r="T384">
        <f t="shared" si="17"/>
        <v>3.2687999999999993</v>
      </c>
    </row>
    <row r="385" spans="1:20" x14ac:dyDescent="0.3">
      <c r="A385" s="1">
        <v>45017</v>
      </c>
      <c r="B385" s="1" t="str">
        <f t="shared" si="15"/>
        <v>Reliance_Ahmedabad_Product_5_45017</v>
      </c>
      <c r="C385" s="2" t="s">
        <v>49</v>
      </c>
      <c r="D385" s="2" t="s">
        <v>50</v>
      </c>
      <c r="E385" s="2" t="s">
        <v>34</v>
      </c>
      <c r="F385" s="2" t="s">
        <v>51</v>
      </c>
      <c r="G385" s="2" t="s">
        <v>52</v>
      </c>
      <c r="H385" s="2" t="s">
        <v>53</v>
      </c>
      <c r="I385" s="2" t="s">
        <v>54</v>
      </c>
      <c r="J385" t="s">
        <v>31</v>
      </c>
      <c r="K385">
        <v>5</v>
      </c>
      <c r="L385" s="3"/>
      <c r="M385" s="3"/>
      <c r="N385" s="3"/>
      <c r="O385" s="3">
        <f t="shared" si="16"/>
        <v>0</v>
      </c>
      <c r="P385">
        <v>748.8</v>
      </c>
      <c r="Q385">
        <v>467</v>
      </c>
      <c r="R385">
        <v>0</v>
      </c>
      <c r="S385">
        <v>132</v>
      </c>
      <c r="T385">
        <f t="shared" si="17"/>
        <v>0</v>
      </c>
    </row>
    <row r="386" spans="1:20" x14ac:dyDescent="0.3">
      <c r="A386" s="1">
        <v>45017</v>
      </c>
      <c r="B386" s="1" t="str">
        <f t="shared" si="15"/>
        <v>Grofers_Mundka_Product_21_45017</v>
      </c>
      <c r="C386" s="2" t="s">
        <v>131</v>
      </c>
      <c r="D386" s="2" t="s">
        <v>132</v>
      </c>
      <c r="E386" s="2" t="s">
        <v>34</v>
      </c>
      <c r="F386" s="2" t="s">
        <v>114</v>
      </c>
      <c r="G386" s="2" t="s">
        <v>36</v>
      </c>
      <c r="H386" s="2" t="s">
        <v>133</v>
      </c>
      <c r="I386" s="2" t="s">
        <v>134</v>
      </c>
      <c r="J386" t="s">
        <v>31</v>
      </c>
      <c r="K386">
        <v>40</v>
      </c>
      <c r="L386" s="3"/>
      <c r="M386" s="3"/>
      <c r="N386" s="3"/>
      <c r="O386" s="3">
        <f t="shared" si="16"/>
        <v>0</v>
      </c>
      <c r="P386">
        <v>84</v>
      </c>
      <c r="Q386">
        <v>447</v>
      </c>
      <c r="R386">
        <v>0</v>
      </c>
      <c r="S386">
        <v>115</v>
      </c>
      <c r="T386">
        <f t="shared" si="17"/>
        <v>-6.6479999999999997</v>
      </c>
    </row>
    <row r="387" spans="1:20" x14ac:dyDescent="0.3">
      <c r="A387" s="1">
        <v>45017</v>
      </c>
      <c r="B387" s="1" t="str">
        <f t="shared" ref="B387:B450" si="18">C387&amp;"_"&amp;A387</f>
        <v>Reliance_Mundka_Product_6_45017</v>
      </c>
      <c r="C387" s="2" t="s">
        <v>55</v>
      </c>
      <c r="D387" s="2" t="s">
        <v>56</v>
      </c>
      <c r="E387" s="2" t="s">
        <v>34</v>
      </c>
      <c r="F387" s="2" t="s">
        <v>51</v>
      </c>
      <c r="G387" s="2" t="s">
        <v>36</v>
      </c>
      <c r="H387" s="2" t="s">
        <v>37</v>
      </c>
      <c r="I387" s="2" t="s">
        <v>57</v>
      </c>
      <c r="J387" t="s">
        <v>31</v>
      </c>
      <c r="K387">
        <v>89</v>
      </c>
      <c r="L387" s="3"/>
      <c r="M387" s="3"/>
      <c r="N387" s="3"/>
      <c r="O387" s="3">
        <f t="shared" ref="O387:O450" si="19">L387</f>
        <v>0</v>
      </c>
      <c r="P387">
        <v>48</v>
      </c>
      <c r="Q387">
        <v>128</v>
      </c>
      <c r="R387">
        <v>5</v>
      </c>
      <c r="S387">
        <v>135</v>
      </c>
      <c r="T387">
        <f t="shared" si="17"/>
        <v>-0.36</v>
      </c>
    </row>
    <row r="388" spans="1:20" x14ac:dyDescent="0.3">
      <c r="A388" s="1">
        <v>45047</v>
      </c>
      <c r="B388" s="1" t="str">
        <f t="shared" si="18"/>
        <v>Swiggy_Chennai_Product_3_45047</v>
      </c>
      <c r="C388" s="2" t="s">
        <v>82</v>
      </c>
      <c r="D388" s="2" t="s">
        <v>83</v>
      </c>
      <c r="E388" s="2" t="s">
        <v>34</v>
      </c>
      <c r="F388" s="2" t="s">
        <v>35</v>
      </c>
      <c r="G388" s="2" t="s">
        <v>84</v>
      </c>
      <c r="H388" s="2" t="s">
        <v>37</v>
      </c>
      <c r="I388" s="2" t="s">
        <v>43</v>
      </c>
      <c r="J388" t="s">
        <v>31</v>
      </c>
      <c r="K388">
        <v>2</v>
      </c>
      <c r="L388" s="3"/>
      <c r="M388" s="3"/>
      <c r="N388" s="3"/>
      <c r="O388" s="3">
        <f t="shared" si="19"/>
        <v>0</v>
      </c>
      <c r="P388">
        <v>383.52</v>
      </c>
      <c r="Q388">
        <v>388</v>
      </c>
      <c r="R388">
        <v>13</v>
      </c>
      <c r="S388">
        <v>127</v>
      </c>
      <c r="T388">
        <f t="shared" ref="T388:T451" si="20">(P388-P387)/100</f>
        <v>3.3552</v>
      </c>
    </row>
    <row r="389" spans="1:20" x14ac:dyDescent="0.3">
      <c r="A389" s="1">
        <v>45047</v>
      </c>
      <c r="B389" s="1" t="str">
        <f t="shared" si="18"/>
        <v>Grofers_Kolkata CFA_Product_20_45047</v>
      </c>
      <c r="C389" s="2" t="s">
        <v>153</v>
      </c>
      <c r="D389" s="2" t="s">
        <v>154</v>
      </c>
      <c r="E389" s="2" t="s">
        <v>34</v>
      </c>
      <c r="F389" s="2" t="s">
        <v>114</v>
      </c>
      <c r="G389" s="2" t="s">
        <v>63</v>
      </c>
      <c r="H389" s="2" t="s">
        <v>47</v>
      </c>
      <c r="I389" s="2" t="s">
        <v>130</v>
      </c>
      <c r="J389" t="s">
        <v>31</v>
      </c>
      <c r="K389">
        <v>2</v>
      </c>
      <c r="L389" s="3"/>
      <c r="M389" s="3"/>
      <c r="N389" s="3"/>
      <c r="O389" s="3">
        <f t="shared" si="19"/>
        <v>0</v>
      </c>
      <c r="P389">
        <v>383.52</v>
      </c>
      <c r="Q389">
        <v>313</v>
      </c>
      <c r="R389">
        <v>0</v>
      </c>
      <c r="S389">
        <v>125</v>
      </c>
      <c r="T389">
        <f t="shared" si="20"/>
        <v>0</v>
      </c>
    </row>
    <row r="390" spans="1:20" x14ac:dyDescent="0.3">
      <c r="A390" s="1">
        <v>45047</v>
      </c>
      <c r="B390" s="1" t="str">
        <f t="shared" si="18"/>
        <v>Reliance_Bangalore_Product_3_45047</v>
      </c>
      <c r="C390" s="2" t="s">
        <v>80</v>
      </c>
      <c r="D390" s="2" t="s">
        <v>81</v>
      </c>
      <c r="E390" s="2" t="s">
        <v>34</v>
      </c>
      <c r="F390" s="2" t="s">
        <v>51</v>
      </c>
      <c r="G390" s="2" t="s">
        <v>79</v>
      </c>
      <c r="H390" s="2" t="s">
        <v>37</v>
      </c>
      <c r="I390" s="2" t="s">
        <v>43</v>
      </c>
      <c r="J390" t="s">
        <v>31</v>
      </c>
      <c r="K390">
        <v>1</v>
      </c>
      <c r="L390" s="3"/>
      <c r="M390" s="3"/>
      <c r="N390" s="3"/>
      <c r="O390" s="3">
        <f t="shared" si="19"/>
        <v>0</v>
      </c>
      <c r="P390">
        <v>672</v>
      </c>
      <c r="Q390">
        <v>438</v>
      </c>
      <c r="R390">
        <v>0</v>
      </c>
      <c r="S390">
        <v>127</v>
      </c>
      <c r="T390">
        <f t="shared" si="20"/>
        <v>2.8848000000000003</v>
      </c>
    </row>
    <row r="391" spans="1:20" x14ac:dyDescent="0.3">
      <c r="A391" s="1">
        <v>45047</v>
      </c>
      <c r="B391" s="1" t="str">
        <f t="shared" si="18"/>
        <v>Reliance_Bangalore_Product_13_45047</v>
      </c>
      <c r="C391" s="2" t="s">
        <v>93</v>
      </c>
      <c r="D391" s="2" t="s">
        <v>94</v>
      </c>
      <c r="E391" s="2" t="s">
        <v>34</v>
      </c>
      <c r="F391" s="2" t="s">
        <v>51</v>
      </c>
      <c r="G391" s="2" t="s">
        <v>79</v>
      </c>
      <c r="H391" s="2" t="s">
        <v>67</v>
      </c>
      <c r="I391" s="2" t="s">
        <v>95</v>
      </c>
      <c r="J391" t="s">
        <v>31</v>
      </c>
      <c r="K391">
        <v>1</v>
      </c>
      <c r="L391" s="3"/>
      <c r="M391" s="3"/>
      <c r="N391" s="3"/>
      <c r="O391" s="3">
        <f t="shared" si="19"/>
        <v>0</v>
      </c>
      <c r="P391">
        <v>672</v>
      </c>
      <c r="Q391">
        <v>378</v>
      </c>
      <c r="R391">
        <v>0</v>
      </c>
      <c r="S391">
        <v>113</v>
      </c>
      <c r="T391">
        <f t="shared" si="20"/>
        <v>0</v>
      </c>
    </row>
    <row r="392" spans="1:20" x14ac:dyDescent="0.3">
      <c r="A392" s="1">
        <v>45047</v>
      </c>
      <c r="B392" s="1" t="str">
        <f t="shared" si="18"/>
        <v>Reliance_Mundka_Product_6_45047</v>
      </c>
      <c r="C392" s="2" t="s">
        <v>55</v>
      </c>
      <c r="D392" s="2" t="s">
        <v>56</v>
      </c>
      <c r="E392" s="2" t="s">
        <v>34</v>
      </c>
      <c r="F392" s="2" t="s">
        <v>51</v>
      </c>
      <c r="G392" s="2" t="s">
        <v>36</v>
      </c>
      <c r="H392" s="2" t="s">
        <v>37</v>
      </c>
      <c r="I392" s="2" t="s">
        <v>57</v>
      </c>
      <c r="J392" t="s">
        <v>31</v>
      </c>
      <c r="K392">
        <v>4</v>
      </c>
      <c r="L392" s="3"/>
      <c r="M392" s="3"/>
      <c r="N392" s="3"/>
      <c r="O392" s="3">
        <f t="shared" si="19"/>
        <v>0</v>
      </c>
      <c r="P392">
        <v>421.92</v>
      </c>
      <c r="Q392">
        <v>230</v>
      </c>
      <c r="R392">
        <v>0</v>
      </c>
      <c r="S392">
        <v>135</v>
      </c>
      <c r="T392">
        <f t="shared" si="20"/>
        <v>-2.5007999999999999</v>
      </c>
    </row>
    <row r="393" spans="1:20" x14ac:dyDescent="0.3">
      <c r="A393" s="1">
        <v>45047</v>
      </c>
      <c r="B393" s="1" t="str">
        <f t="shared" si="18"/>
        <v>Zepto_Bangalore_Product_12_45047</v>
      </c>
      <c r="C393" s="2" t="s">
        <v>90</v>
      </c>
      <c r="D393" s="2" t="s">
        <v>91</v>
      </c>
      <c r="E393" s="2" t="s">
        <v>34</v>
      </c>
      <c r="F393" s="2" t="s">
        <v>46</v>
      </c>
      <c r="G393" s="2" t="s">
        <v>79</v>
      </c>
      <c r="H393" s="2" t="s">
        <v>67</v>
      </c>
      <c r="I393" s="2" t="s">
        <v>92</v>
      </c>
      <c r="J393" t="s">
        <v>31</v>
      </c>
      <c r="K393">
        <v>2</v>
      </c>
      <c r="L393" s="3"/>
      <c r="M393" s="3"/>
      <c r="N393" s="3"/>
      <c r="O393" s="3">
        <f t="shared" si="19"/>
        <v>0</v>
      </c>
      <c r="P393">
        <v>421.92</v>
      </c>
      <c r="Q393">
        <v>126</v>
      </c>
      <c r="R393">
        <v>0</v>
      </c>
      <c r="S393">
        <v>94</v>
      </c>
      <c r="T393">
        <f t="shared" si="20"/>
        <v>0</v>
      </c>
    </row>
    <row r="394" spans="1:20" x14ac:dyDescent="0.3">
      <c r="A394" s="1">
        <v>45047</v>
      </c>
      <c r="B394" s="1" t="str">
        <f t="shared" si="18"/>
        <v>Reliance_Ahmedabad_Product_7_45047</v>
      </c>
      <c r="C394" s="2" t="s">
        <v>99</v>
      </c>
      <c r="D394" s="2" t="s">
        <v>100</v>
      </c>
      <c r="E394" s="2" t="s">
        <v>34</v>
      </c>
      <c r="F394" s="2" t="s">
        <v>51</v>
      </c>
      <c r="G394" s="2" t="s">
        <v>52</v>
      </c>
      <c r="H394" s="2" t="s">
        <v>37</v>
      </c>
      <c r="I394" s="2" t="s">
        <v>60</v>
      </c>
      <c r="J394" t="s">
        <v>31</v>
      </c>
      <c r="K394">
        <v>3</v>
      </c>
      <c r="L394" s="3"/>
      <c r="M394" s="3"/>
      <c r="N394" s="3"/>
      <c r="O394" s="3">
        <f t="shared" si="19"/>
        <v>0</v>
      </c>
      <c r="P394">
        <v>748.8</v>
      </c>
      <c r="Q394">
        <v>258</v>
      </c>
      <c r="R394">
        <v>0</v>
      </c>
      <c r="S394">
        <v>117</v>
      </c>
      <c r="T394">
        <f t="shared" si="20"/>
        <v>3.2687999999999993</v>
      </c>
    </row>
    <row r="395" spans="1:20" x14ac:dyDescent="0.3">
      <c r="A395" s="1">
        <v>45047</v>
      </c>
      <c r="B395" s="1" t="str">
        <f t="shared" si="18"/>
        <v>Maharashtra_MH-Aggregated_Product_3_45047</v>
      </c>
      <c r="C395" s="2" t="s">
        <v>39</v>
      </c>
      <c r="D395" s="2" t="s">
        <v>40</v>
      </c>
      <c r="E395" s="2" t="s">
        <v>26</v>
      </c>
      <c r="F395" s="2" t="s">
        <v>41</v>
      </c>
      <c r="G395" s="2" t="s">
        <v>42</v>
      </c>
      <c r="H395" s="2" t="s">
        <v>37</v>
      </c>
      <c r="I395" s="2" t="s">
        <v>43</v>
      </c>
      <c r="J395" t="s">
        <v>31</v>
      </c>
      <c r="K395">
        <v>1</v>
      </c>
      <c r="L395" s="3"/>
      <c r="M395" s="3"/>
      <c r="N395" s="3"/>
      <c r="O395" s="3">
        <f t="shared" si="19"/>
        <v>0</v>
      </c>
      <c r="P395">
        <v>748.8</v>
      </c>
      <c r="Q395">
        <v>360</v>
      </c>
      <c r="R395">
        <v>5</v>
      </c>
      <c r="S395">
        <v>127</v>
      </c>
      <c r="T395">
        <f t="shared" si="20"/>
        <v>0</v>
      </c>
    </row>
    <row r="396" spans="1:20" x14ac:dyDescent="0.3">
      <c r="A396" s="1">
        <v>45047</v>
      </c>
      <c r="B396" s="1" t="str">
        <f t="shared" si="18"/>
        <v>Swiggy_Mundka_Product_14_45047</v>
      </c>
      <c r="C396" s="2" t="s">
        <v>96</v>
      </c>
      <c r="D396" s="2" t="s">
        <v>97</v>
      </c>
      <c r="E396" s="2" t="s">
        <v>34</v>
      </c>
      <c r="F396" s="2" t="s">
        <v>35</v>
      </c>
      <c r="G396" s="2" t="s">
        <v>36</v>
      </c>
      <c r="H396" s="2" t="s">
        <v>47</v>
      </c>
      <c r="I396" s="2" t="s">
        <v>98</v>
      </c>
      <c r="J396" t="s">
        <v>31</v>
      </c>
      <c r="K396">
        <v>2</v>
      </c>
      <c r="L396" s="3"/>
      <c r="M396" s="3"/>
      <c r="N396" s="3"/>
      <c r="O396" s="3">
        <f t="shared" si="19"/>
        <v>0</v>
      </c>
      <c r="P396">
        <v>84</v>
      </c>
      <c r="Q396">
        <v>196</v>
      </c>
      <c r="R396">
        <v>0</v>
      </c>
      <c r="S396">
        <v>97</v>
      </c>
      <c r="T396">
        <f t="shared" si="20"/>
        <v>-6.6479999999999997</v>
      </c>
    </row>
    <row r="397" spans="1:20" x14ac:dyDescent="0.3">
      <c r="A397" s="1">
        <v>45047</v>
      </c>
      <c r="B397" s="1" t="str">
        <f t="shared" si="18"/>
        <v>Reliance_Chennai_Product_9_45047</v>
      </c>
      <c r="C397" s="2" t="s">
        <v>147</v>
      </c>
      <c r="D397" s="2" t="s">
        <v>148</v>
      </c>
      <c r="E397" s="2" t="s">
        <v>34</v>
      </c>
      <c r="F397" s="2" t="s">
        <v>51</v>
      </c>
      <c r="G397" s="2" t="s">
        <v>84</v>
      </c>
      <c r="H397" s="2" t="s">
        <v>37</v>
      </c>
      <c r="I397" s="2" t="s">
        <v>71</v>
      </c>
      <c r="J397" t="s">
        <v>31</v>
      </c>
      <c r="K397">
        <v>5</v>
      </c>
      <c r="L397" s="3"/>
      <c r="M397" s="3"/>
      <c r="N397" s="3"/>
      <c r="O397" s="3">
        <f t="shared" si="19"/>
        <v>0</v>
      </c>
      <c r="P397">
        <v>48</v>
      </c>
      <c r="Q397">
        <v>196</v>
      </c>
      <c r="R397">
        <v>0</v>
      </c>
      <c r="S397">
        <v>119</v>
      </c>
      <c r="T397">
        <f t="shared" si="20"/>
        <v>-0.36</v>
      </c>
    </row>
    <row r="398" spans="1:20" x14ac:dyDescent="0.3">
      <c r="A398" s="1">
        <v>45047</v>
      </c>
      <c r="B398" s="1" t="str">
        <f t="shared" si="18"/>
        <v>Reliance_Ahmedabad_Product_9_45047</v>
      </c>
      <c r="C398" s="2" t="s">
        <v>151</v>
      </c>
      <c r="D398" s="2" t="s">
        <v>152</v>
      </c>
      <c r="E398" s="2" t="s">
        <v>34</v>
      </c>
      <c r="F398" s="2" t="s">
        <v>51</v>
      </c>
      <c r="G398" s="2" t="s">
        <v>52</v>
      </c>
      <c r="H398" s="2" t="s">
        <v>37</v>
      </c>
      <c r="I398" s="2" t="s">
        <v>71</v>
      </c>
      <c r="J398" t="s">
        <v>31</v>
      </c>
      <c r="K398">
        <v>8</v>
      </c>
      <c r="L398" s="3"/>
      <c r="M398" s="3"/>
      <c r="N398" s="3"/>
      <c r="O398" s="3">
        <f t="shared" si="19"/>
        <v>0</v>
      </c>
      <c r="P398">
        <v>383.52</v>
      </c>
      <c r="Q398">
        <v>427</v>
      </c>
      <c r="R398">
        <v>5</v>
      </c>
      <c r="S398">
        <v>119</v>
      </c>
      <c r="T398">
        <f t="shared" si="20"/>
        <v>3.3552</v>
      </c>
    </row>
    <row r="399" spans="1:20" x14ac:dyDescent="0.3">
      <c r="A399" s="1">
        <v>45047</v>
      </c>
      <c r="B399" s="1" t="str">
        <f t="shared" si="18"/>
        <v>Jharkhand_JH-Aggregated_Product_19_45047</v>
      </c>
      <c r="C399" s="2" t="s">
        <v>124</v>
      </c>
      <c r="D399" s="2" t="s">
        <v>125</v>
      </c>
      <c r="E399" s="2" t="s">
        <v>26</v>
      </c>
      <c r="F399" s="2" t="s">
        <v>27</v>
      </c>
      <c r="G399" s="2" t="s">
        <v>28</v>
      </c>
      <c r="H399" s="2" t="s">
        <v>126</v>
      </c>
      <c r="I399" s="2" t="s">
        <v>127</v>
      </c>
      <c r="J399" t="s">
        <v>31</v>
      </c>
      <c r="K399">
        <v>2</v>
      </c>
      <c r="L399" s="3"/>
      <c r="M399" s="3"/>
      <c r="N399" s="3"/>
      <c r="O399" s="3">
        <f t="shared" si="19"/>
        <v>0</v>
      </c>
      <c r="P399">
        <v>383.52</v>
      </c>
      <c r="Q399">
        <v>371</v>
      </c>
      <c r="R399">
        <v>4</v>
      </c>
      <c r="S399">
        <v>94</v>
      </c>
      <c r="T399">
        <f t="shared" si="20"/>
        <v>0</v>
      </c>
    </row>
    <row r="400" spans="1:20" x14ac:dyDescent="0.3">
      <c r="A400" s="1">
        <v>45047</v>
      </c>
      <c r="B400" s="1" t="str">
        <f t="shared" si="18"/>
        <v>Reliance_Hyderabad_Product_2_45047</v>
      </c>
      <c r="C400" s="2" t="s">
        <v>149</v>
      </c>
      <c r="D400" s="2" t="s">
        <v>150</v>
      </c>
      <c r="E400" s="2" t="s">
        <v>34</v>
      </c>
      <c r="F400" s="2" t="s">
        <v>51</v>
      </c>
      <c r="G400" s="2" t="s">
        <v>137</v>
      </c>
      <c r="H400" s="2" t="s">
        <v>37</v>
      </c>
      <c r="I400" s="2" t="s">
        <v>38</v>
      </c>
      <c r="J400" t="s">
        <v>31</v>
      </c>
      <c r="K400">
        <v>4</v>
      </c>
      <c r="L400" s="3"/>
      <c r="M400" s="3"/>
      <c r="N400" s="3"/>
      <c r="O400" s="3">
        <f t="shared" si="19"/>
        <v>0</v>
      </c>
      <c r="P400">
        <v>383.52</v>
      </c>
      <c r="Q400">
        <v>288</v>
      </c>
      <c r="R400">
        <v>10</v>
      </c>
      <c r="S400">
        <v>134</v>
      </c>
      <c r="T400">
        <f t="shared" si="20"/>
        <v>0</v>
      </c>
    </row>
    <row r="401" spans="1:20" x14ac:dyDescent="0.3">
      <c r="A401" s="1">
        <v>45047</v>
      </c>
      <c r="B401" s="1" t="str">
        <f t="shared" si="18"/>
        <v>Jharkhand_JH-Aggregated_Product_1_45047</v>
      </c>
      <c r="C401" s="2" t="s">
        <v>24</v>
      </c>
      <c r="D401" s="2" t="s">
        <v>25</v>
      </c>
      <c r="E401" s="2" t="s">
        <v>26</v>
      </c>
      <c r="F401" s="2" t="s">
        <v>27</v>
      </c>
      <c r="G401" s="2" t="s">
        <v>28</v>
      </c>
      <c r="H401" s="2" t="s">
        <v>29</v>
      </c>
      <c r="I401" s="2" t="s">
        <v>30</v>
      </c>
      <c r="J401" t="s">
        <v>31</v>
      </c>
      <c r="K401">
        <v>2</v>
      </c>
      <c r="L401" s="3"/>
      <c r="M401" s="3"/>
      <c r="N401" s="3"/>
      <c r="O401" s="3">
        <f t="shared" si="19"/>
        <v>0</v>
      </c>
      <c r="P401">
        <v>383.52</v>
      </c>
      <c r="Q401">
        <v>290</v>
      </c>
      <c r="R401">
        <v>0</v>
      </c>
      <c r="S401">
        <v>111</v>
      </c>
      <c r="T401">
        <f t="shared" si="20"/>
        <v>0</v>
      </c>
    </row>
    <row r="402" spans="1:20" x14ac:dyDescent="0.3">
      <c r="A402" s="1">
        <v>45047</v>
      </c>
      <c r="B402" s="1" t="str">
        <f t="shared" si="18"/>
        <v>Maharashtra_MH-Aggregated_Product_9_45047</v>
      </c>
      <c r="C402" s="2" t="s">
        <v>69</v>
      </c>
      <c r="D402" s="2" t="s">
        <v>70</v>
      </c>
      <c r="E402" s="2" t="s">
        <v>26</v>
      </c>
      <c r="F402" s="2" t="s">
        <v>41</v>
      </c>
      <c r="G402" s="2" t="s">
        <v>42</v>
      </c>
      <c r="H402" s="2" t="s">
        <v>37</v>
      </c>
      <c r="I402" s="2" t="s">
        <v>71</v>
      </c>
      <c r="J402" t="s">
        <v>31</v>
      </c>
      <c r="K402">
        <v>6</v>
      </c>
      <c r="L402" s="3"/>
      <c r="M402" s="3"/>
      <c r="N402" s="3"/>
      <c r="O402" s="3">
        <f t="shared" si="19"/>
        <v>0</v>
      </c>
      <c r="P402">
        <v>383.52</v>
      </c>
      <c r="Q402">
        <v>441</v>
      </c>
      <c r="R402">
        <v>3</v>
      </c>
      <c r="S402">
        <v>119</v>
      </c>
      <c r="T402">
        <f t="shared" si="20"/>
        <v>0</v>
      </c>
    </row>
    <row r="403" spans="1:20" x14ac:dyDescent="0.3">
      <c r="A403" s="1">
        <v>45047</v>
      </c>
      <c r="B403" s="1" t="str">
        <f t="shared" si="18"/>
        <v>Reliance_Bhiwandi_Product_10_45047</v>
      </c>
      <c r="C403" s="2" t="s">
        <v>85</v>
      </c>
      <c r="D403" s="2" t="s">
        <v>86</v>
      </c>
      <c r="E403" s="2" t="s">
        <v>34</v>
      </c>
      <c r="F403" s="2" t="s">
        <v>51</v>
      </c>
      <c r="G403" s="2" t="s">
        <v>66</v>
      </c>
      <c r="H403" s="2" t="s">
        <v>67</v>
      </c>
      <c r="I403" s="2" t="s">
        <v>76</v>
      </c>
      <c r="J403" t="s">
        <v>31</v>
      </c>
      <c r="K403">
        <v>2</v>
      </c>
      <c r="L403" s="3"/>
      <c r="M403" s="3"/>
      <c r="N403" s="3"/>
      <c r="O403" s="3">
        <f t="shared" si="19"/>
        <v>0</v>
      </c>
      <c r="P403">
        <v>383.52</v>
      </c>
      <c r="Q403">
        <v>395</v>
      </c>
      <c r="R403">
        <v>8</v>
      </c>
      <c r="S403">
        <v>106</v>
      </c>
      <c r="T403">
        <f t="shared" si="20"/>
        <v>0</v>
      </c>
    </row>
    <row r="404" spans="1:20" x14ac:dyDescent="0.3">
      <c r="A404" s="1">
        <v>45047</v>
      </c>
      <c r="B404" s="1" t="str">
        <f t="shared" si="18"/>
        <v>Reliance_Bhiwandi_Product_8_45047</v>
      </c>
      <c r="C404" s="2" t="s">
        <v>64</v>
      </c>
      <c r="D404" s="2" t="s">
        <v>65</v>
      </c>
      <c r="E404" s="2" t="s">
        <v>34</v>
      </c>
      <c r="F404" s="2" t="s">
        <v>51</v>
      </c>
      <c r="G404" s="2" t="s">
        <v>66</v>
      </c>
      <c r="H404" s="2" t="s">
        <v>67</v>
      </c>
      <c r="I404" s="2" t="s">
        <v>68</v>
      </c>
      <c r="J404" t="s">
        <v>31</v>
      </c>
      <c r="K404">
        <v>3</v>
      </c>
      <c r="L404" s="3"/>
      <c r="M404" s="3"/>
      <c r="N404" s="3"/>
      <c r="O404" s="3">
        <f t="shared" si="19"/>
        <v>0</v>
      </c>
      <c r="P404">
        <v>672</v>
      </c>
      <c r="Q404">
        <v>378</v>
      </c>
      <c r="R404">
        <v>10</v>
      </c>
      <c r="S404">
        <v>126</v>
      </c>
      <c r="T404">
        <f t="shared" si="20"/>
        <v>2.8848000000000003</v>
      </c>
    </row>
    <row r="405" spans="1:20" x14ac:dyDescent="0.3">
      <c r="A405" s="1">
        <v>45047</v>
      </c>
      <c r="B405" s="1" t="str">
        <f t="shared" si="18"/>
        <v>Swiggy_Bangalore_Product_16_45047</v>
      </c>
      <c r="C405" s="2" t="s">
        <v>107</v>
      </c>
      <c r="D405" s="2" t="s">
        <v>108</v>
      </c>
      <c r="E405" s="2" t="s">
        <v>34</v>
      </c>
      <c r="F405" s="2" t="s">
        <v>35</v>
      </c>
      <c r="G405" s="2" t="s">
        <v>79</v>
      </c>
      <c r="H405" s="2" t="s">
        <v>47</v>
      </c>
      <c r="I405" s="2" t="s">
        <v>109</v>
      </c>
      <c r="J405" t="s">
        <v>31</v>
      </c>
      <c r="K405">
        <v>1</v>
      </c>
      <c r="L405" s="3"/>
      <c r="M405" s="3"/>
      <c r="N405" s="3"/>
      <c r="O405" s="3">
        <f t="shared" si="19"/>
        <v>0</v>
      </c>
      <c r="P405">
        <v>672</v>
      </c>
      <c r="Q405">
        <v>419</v>
      </c>
      <c r="R405">
        <v>0</v>
      </c>
      <c r="S405">
        <v>122</v>
      </c>
      <c r="T405">
        <f t="shared" si="20"/>
        <v>0</v>
      </c>
    </row>
    <row r="406" spans="1:20" x14ac:dyDescent="0.3">
      <c r="A406" s="1">
        <v>45047</v>
      </c>
      <c r="B406" s="1" t="str">
        <f t="shared" si="18"/>
        <v>Grofers_Mundka_Product_21_45047</v>
      </c>
      <c r="C406" s="2" t="s">
        <v>131</v>
      </c>
      <c r="D406" s="2" t="s">
        <v>132</v>
      </c>
      <c r="E406" s="2" t="s">
        <v>34</v>
      </c>
      <c r="F406" s="2" t="s">
        <v>114</v>
      </c>
      <c r="G406" s="2" t="s">
        <v>36</v>
      </c>
      <c r="H406" s="2" t="s">
        <v>133</v>
      </c>
      <c r="I406" s="2" t="s">
        <v>134</v>
      </c>
      <c r="J406" t="s">
        <v>31</v>
      </c>
      <c r="K406">
        <v>13</v>
      </c>
      <c r="L406" s="3"/>
      <c r="M406" s="3"/>
      <c r="N406" s="3"/>
      <c r="O406" s="3">
        <f t="shared" si="19"/>
        <v>0</v>
      </c>
      <c r="P406">
        <v>421.92</v>
      </c>
      <c r="Q406">
        <v>190</v>
      </c>
      <c r="R406">
        <v>0</v>
      </c>
      <c r="S406">
        <v>115</v>
      </c>
      <c r="T406">
        <f t="shared" si="20"/>
        <v>-2.5007999999999999</v>
      </c>
    </row>
    <row r="407" spans="1:20" x14ac:dyDescent="0.3">
      <c r="A407" s="1">
        <v>45047</v>
      </c>
      <c r="B407" s="1" t="str">
        <f t="shared" si="18"/>
        <v>Jharkhand_JH-Aggregated_Product_15_45047</v>
      </c>
      <c r="C407" s="2" t="s">
        <v>103</v>
      </c>
      <c r="D407" s="2" t="s">
        <v>104</v>
      </c>
      <c r="E407" s="2" t="s">
        <v>26</v>
      </c>
      <c r="F407" s="2" t="s">
        <v>27</v>
      </c>
      <c r="G407" s="2" t="s">
        <v>28</v>
      </c>
      <c r="H407" s="2" t="s">
        <v>105</v>
      </c>
      <c r="I407" s="2" t="s">
        <v>106</v>
      </c>
      <c r="J407" t="s">
        <v>31</v>
      </c>
      <c r="K407">
        <v>3</v>
      </c>
      <c r="L407" s="3"/>
      <c r="M407" s="3"/>
      <c r="N407" s="3"/>
      <c r="O407" s="3">
        <f t="shared" si="19"/>
        <v>0</v>
      </c>
      <c r="P407">
        <v>421.92</v>
      </c>
      <c r="Q407">
        <v>102</v>
      </c>
      <c r="R407">
        <v>0</v>
      </c>
      <c r="S407">
        <v>143</v>
      </c>
      <c r="T407">
        <f t="shared" si="20"/>
        <v>0</v>
      </c>
    </row>
    <row r="408" spans="1:20" x14ac:dyDescent="0.3">
      <c r="A408" s="1">
        <v>45047</v>
      </c>
      <c r="B408" s="1" t="str">
        <f t="shared" si="18"/>
        <v>Reliance_Bhiwandi_Product_11_45047</v>
      </c>
      <c r="C408" s="2" t="s">
        <v>87</v>
      </c>
      <c r="D408" s="2" t="s">
        <v>88</v>
      </c>
      <c r="E408" s="2" t="s">
        <v>34</v>
      </c>
      <c r="F408" s="2" t="s">
        <v>51</v>
      </c>
      <c r="G408" s="2" t="s">
        <v>66</v>
      </c>
      <c r="H408" s="2" t="s">
        <v>67</v>
      </c>
      <c r="I408" s="2" t="s">
        <v>89</v>
      </c>
      <c r="J408" t="s">
        <v>31</v>
      </c>
      <c r="K408">
        <v>6</v>
      </c>
      <c r="L408" s="3"/>
      <c r="M408" s="3"/>
      <c r="N408" s="3"/>
      <c r="O408" s="3">
        <f t="shared" si="19"/>
        <v>0</v>
      </c>
      <c r="P408">
        <v>748.8</v>
      </c>
      <c r="Q408">
        <v>156</v>
      </c>
      <c r="R408">
        <v>0</v>
      </c>
      <c r="S408">
        <v>131</v>
      </c>
      <c r="T408">
        <f t="shared" si="20"/>
        <v>3.2687999999999993</v>
      </c>
    </row>
    <row r="409" spans="1:20" x14ac:dyDescent="0.3">
      <c r="A409" s="1">
        <v>45047</v>
      </c>
      <c r="B409" s="1" t="str">
        <f t="shared" si="18"/>
        <v>Swiggy_Mundka_Product_2_45047</v>
      </c>
      <c r="C409" s="2" t="s">
        <v>32</v>
      </c>
      <c r="D409" s="2" t="s">
        <v>33</v>
      </c>
      <c r="E409" s="2" t="s">
        <v>34</v>
      </c>
      <c r="F409" s="2" t="s">
        <v>35</v>
      </c>
      <c r="G409" s="2" t="s">
        <v>36</v>
      </c>
      <c r="H409" s="2" t="s">
        <v>37</v>
      </c>
      <c r="I409" s="2" t="s">
        <v>38</v>
      </c>
      <c r="J409" t="s">
        <v>31</v>
      </c>
      <c r="K409">
        <v>1</v>
      </c>
      <c r="L409" s="3"/>
      <c r="M409" s="3"/>
      <c r="N409" s="3"/>
      <c r="O409" s="3">
        <f t="shared" si="19"/>
        <v>0</v>
      </c>
      <c r="P409">
        <v>748.8</v>
      </c>
      <c r="Q409">
        <v>241</v>
      </c>
      <c r="R409">
        <v>0</v>
      </c>
      <c r="S409">
        <v>134</v>
      </c>
      <c r="T409">
        <f t="shared" si="20"/>
        <v>0</v>
      </c>
    </row>
    <row r="410" spans="1:20" x14ac:dyDescent="0.3">
      <c r="A410" s="1">
        <v>45047</v>
      </c>
      <c r="B410" s="1" t="str">
        <f t="shared" si="18"/>
        <v>Reliance_Chennai_Product_11_45047</v>
      </c>
      <c r="C410" s="2" t="s">
        <v>110</v>
      </c>
      <c r="D410" s="2" t="s">
        <v>111</v>
      </c>
      <c r="E410" s="2" t="s">
        <v>34</v>
      </c>
      <c r="F410" s="2" t="s">
        <v>51</v>
      </c>
      <c r="G410" s="2" t="s">
        <v>84</v>
      </c>
      <c r="H410" s="2" t="s">
        <v>67</v>
      </c>
      <c r="I410" s="2" t="s">
        <v>89</v>
      </c>
      <c r="J410" t="s">
        <v>31</v>
      </c>
      <c r="K410">
        <v>8</v>
      </c>
      <c r="L410" s="3"/>
      <c r="M410" s="3"/>
      <c r="N410" s="3"/>
      <c r="O410" s="3">
        <f t="shared" si="19"/>
        <v>0</v>
      </c>
      <c r="P410">
        <v>84</v>
      </c>
      <c r="Q410">
        <v>431</v>
      </c>
      <c r="R410">
        <v>9</v>
      </c>
      <c r="S410">
        <v>131</v>
      </c>
      <c r="T410">
        <f t="shared" si="20"/>
        <v>-6.6479999999999997</v>
      </c>
    </row>
    <row r="411" spans="1:20" x14ac:dyDescent="0.3">
      <c r="A411" s="1">
        <v>45047</v>
      </c>
      <c r="B411" s="1" t="str">
        <f t="shared" si="18"/>
        <v>Reliance_Mundka_Product_7_45047</v>
      </c>
      <c r="C411" s="2" t="s">
        <v>58</v>
      </c>
      <c r="D411" s="2" t="s">
        <v>59</v>
      </c>
      <c r="E411" s="2" t="s">
        <v>34</v>
      </c>
      <c r="F411" s="2" t="s">
        <v>51</v>
      </c>
      <c r="G411" s="2" t="s">
        <v>36</v>
      </c>
      <c r="H411" s="2" t="s">
        <v>37</v>
      </c>
      <c r="I411" s="2" t="s">
        <v>60</v>
      </c>
      <c r="J411" t="s">
        <v>31</v>
      </c>
      <c r="K411">
        <v>16</v>
      </c>
      <c r="L411" s="3"/>
      <c r="M411" s="3"/>
      <c r="N411" s="3"/>
      <c r="O411" s="3">
        <f t="shared" si="19"/>
        <v>0</v>
      </c>
      <c r="P411">
        <v>48</v>
      </c>
      <c r="Q411">
        <v>145</v>
      </c>
      <c r="R411">
        <v>0</v>
      </c>
      <c r="S411">
        <v>117</v>
      </c>
      <c r="T411">
        <f t="shared" si="20"/>
        <v>-0.36</v>
      </c>
    </row>
    <row r="412" spans="1:20" x14ac:dyDescent="0.3">
      <c r="A412" s="1">
        <v>45047</v>
      </c>
      <c r="B412" s="1" t="str">
        <f t="shared" si="18"/>
        <v>Reliance_Ahmedabad_Product_18_45047</v>
      </c>
      <c r="C412" s="2" t="s">
        <v>121</v>
      </c>
      <c r="D412" s="2" t="s">
        <v>122</v>
      </c>
      <c r="E412" s="2" t="s">
        <v>34</v>
      </c>
      <c r="F412" s="2" t="s">
        <v>51</v>
      </c>
      <c r="G412" s="2" t="s">
        <v>52</v>
      </c>
      <c r="H412" s="2" t="s">
        <v>29</v>
      </c>
      <c r="I412" s="2" t="s">
        <v>123</v>
      </c>
      <c r="J412" t="s">
        <v>31</v>
      </c>
      <c r="K412">
        <v>16</v>
      </c>
      <c r="L412" s="3"/>
      <c r="M412" s="3"/>
      <c r="N412" s="3"/>
      <c r="O412" s="3">
        <f t="shared" si="19"/>
        <v>0</v>
      </c>
      <c r="P412">
        <v>383.52</v>
      </c>
      <c r="Q412">
        <v>434</v>
      </c>
      <c r="R412">
        <v>0</v>
      </c>
      <c r="S412">
        <v>129</v>
      </c>
      <c r="T412">
        <f t="shared" si="20"/>
        <v>3.3552</v>
      </c>
    </row>
    <row r="413" spans="1:20" x14ac:dyDescent="0.3">
      <c r="A413" s="1">
        <v>45047</v>
      </c>
      <c r="B413" s="1" t="str">
        <f t="shared" si="18"/>
        <v>Reliance_Ahmedabad_Product_5_45047</v>
      </c>
      <c r="C413" s="2" t="s">
        <v>49</v>
      </c>
      <c r="D413" s="2" t="s">
        <v>50</v>
      </c>
      <c r="E413" s="2" t="s">
        <v>34</v>
      </c>
      <c r="F413" s="2" t="s">
        <v>51</v>
      </c>
      <c r="G413" s="2" t="s">
        <v>52</v>
      </c>
      <c r="H413" s="2" t="s">
        <v>53</v>
      </c>
      <c r="I413" s="2" t="s">
        <v>54</v>
      </c>
      <c r="J413" t="s">
        <v>31</v>
      </c>
      <c r="K413">
        <v>3</v>
      </c>
      <c r="L413" s="3"/>
      <c r="M413" s="3"/>
      <c r="N413" s="3"/>
      <c r="O413" s="3">
        <f t="shared" si="19"/>
        <v>0</v>
      </c>
      <c r="P413">
        <v>383.52</v>
      </c>
      <c r="Q413">
        <v>317</v>
      </c>
      <c r="R413">
        <v>0</v>
      </c>
      <c r="S413">
        <v>132</v>
      </c>
      <c r="T413">
        <f t="shared" si="20"/>
        <v>0</v>
      </c>
    </row>
    <row r="414" spans="1:20" x14ac:dyDescent="0.3">
      <c r="A414" s="1">
        <v>45047</v>
      </c>
      <c r="B414" s="1" t="str">
        <f t="shared" si="18"/>
        <v>Maharashtra_MH-Aggregated_Product_23_45047</v>
      </c>
      <c r="C414" s="2" t="s">
        <v>142</v>
      </c>
      <c r="D414" s="2" t="s">
        <v>143</v>
      </c>
      <c r="E414" s="2" t="s">
        <v>26</v>
      </c>
      <c r="F414" s="2" t="s">
        <v>41</v>
      </c>
      <c r="G414" s="2" t="s">
        <v>42</v>
      </c>
      <c r="H414" s="2" t="s">
        <v>140</v>
      </c>
      <c r="I414" s="2" t="s">
        <v>144</v>
      </c>
      <c r="J414" t="s">
        <v>31</v>
      </c>
      <c r="K414">
        <v>8</v>
      </c>
      <c r="L414" s="3"/>
      <c r="M414" s="3"/>
      <c r="N414" s="3"/>
      <c r="O414" s="3">
        <f t="shared" si="19"/>
        <v>0</v>
      </c>
      <c r="P414">
        <v>672</v>
      </c>
      <c r="Q414">
        <v>425</v>
      </c>
      <c r="R414">
        <v>8</v>
      </c>
      <c r="S414">
        <v>144</v>
      </c>
      <c r="T414">
        <f t="shared" si="20"/>
        <v>2.8848000000000003</v>
      </c>
    </row>
    <row r="415" spans="1:20" x14ac:dyDescent="0.3">
      <c r="A415" s="1">
        <v>45047</v>
      </c>
      <c r="B415" s="1" t="str">
        <f t="shared" si="18"/>
        <v>Reliance_Mundka_Product_9_45047</v>
      </c>
      <c r="C415" s="2" t="s">
        <v>145</v>
      </c>
      <c r="D415" s="2" t="s">
        <v>146</v>
      </c>
      <c r="E415" s="2" t="s">
        <v>34</v>
      </c>
      <c r="F415" s="2" t="s">
        <v>51</v>
      </c>
      <c r="G415" s="2" t="s">
        <v>36</v>
      </c>
      <c r="H415" s="2" t="s">
        <v>37</v>
      </c>
      <c r="I415" s="2" t="s">
        <v>71</v>
      </c>
      <c r="J415" t="s">
        <v>31</v>
      </c>
      <c r="K415">
        <v>2</v>
      </c>
      <c r="L415" s="3"/>
      <c r="M415" s="3"/>
      <c r="N415" s="3"/>
      <c r="O415" s="3">
        <f t="shared" si="19"/>
        <v>0</v>
      </c>
      <c r="P415">
        <v>672</v>
      </c>
      <c r="Q415">
        <v>447</v>
      </c>
      <c r="R415">
        <v>4</v>
      </c>
      <c r="S415">
        <v>119</v>
      </c>
      <c r="T415">
        <f t="shared" si="20"/>
        <v>0</v>
      </c>
    </row>
    <row r="416" spans="1:20" x14ac:dyDescent="0.3">
      <c r="A416" s="1">
        <v>45047</v>
      </c>
      <c r="B416" s="1" t="str">
        <f t="shared" si="18"/>
        <v>Maharashtra_MH-Aggregated_Product_22_45047</v>
      </c>
      <c r="C416" s="2" t="s">
        <v>138</v>
      </c>
      <c r="D416" s="2" t="s">
        <v>139</v>
      </c>
      <c r="E416" s="2" t="s">
        <v>26</v>
      </c>
      <c r="F416" s="2" t="s">
        <v>41</v>
      </c>
      <c r="G416" s="2" t="s">
        <v>42</v>
      </c>
      <c r="H416" s="2" t="s">
        <v>140</v>
      </c>
      <c r="I416" s="2" t="s">
        <v>141</v>
      </c>
      <c r="J416" t="s">
        <v>31</v>
      </c>
      <c r="K416">
        <v>38</v>
      </c>
      <c r="L416" s="3"/>
      <c r="M416" s="3"/>
      <c r="N416" s="3"/>
      <c r="O416" s="3">
        <f t="shared" si="19"/>
        <v>0</v>
      </c>
      <c r="P416">
        <v>421.92</v>
      </c>
      <c r="Q416">
        <v>140</v>
      </c>
      <c r="R416">
        <v>6</v>
      </c>
      <c r="S416">
        <v>126</v>
      </c>
      <c r="T416">
        <f t="shared" si="20"/>
        <v>-2.5007999999999999</v>
      </c>
    </row>
    <row r="417" spans="1:20" x14ac:dyDescent="0.3">
      <c r="A417" s="1">
        <v>45047</v>
      </c>
      <c r="B417" s="1" t="str">
        <f t="shared" si="18"/>
        <v>Grofers_Hyderabad_Product_21_45047</v>
      </c>
      <c r="C417" s="2" t="s">
        <v>135</v>
      </c>
      <c r="D417" s="2" t="s">
        <v>136</v>
      </c>
      <c r="E417" s="2" t="s">
        <v>34</v>
      </c>
      <c r="F417" s="2" t="s">
        <v>114</v>
      </c>
      <c r="G417" s="2" t="s">
        <v>137</v>
      </c>
      <c r="H417" s="2" t="s">
        <v>133</v>
      </c>
      <c r="I417" s="2" t="s">
        <v>134</v>
      </c>
      <c r="J417" t="s">
        <v>31</v>
      </c>
      <c r="K417">
        <v>7</v>
      </c>
      <c r="L417" s="3"/>
      <c r="M417" s="3"/>
      <c r="N417" s="3"/>
      <c r="O417" s="3">
        <f t="shared" si="19"/>
        <v>0</v>
      </c>
      <c r="P417">
        <v>421.92</v>
      </c>
      <c r="Q417">
        <v>132</v>
      </c>
      <c r="R417">
        <v>12</v>
      </c>
      <c r="S417">
        <v>115</v>
      </c>
      <c r="T417">
        <f t="shared" si="20"/>
        <v>0</v>
      </c>
    </row>
    <row r="418" spans="1:20" x14ac:dyDescent="0.3">
      <c r="A418" s="1">
        <v>45047</v>
      </c>
      <c r="B418" s="1" t="str">
        <f t="shared" si="18"/>
        <v>Reliance_Kolkata CFA_Product_12_45047</v>
      </c>
      <c r="C418" s="2" t="s">
        <v>101</v>
      </c>
      <c r="D418" s="2" t="s">
        <v>102</v>
      </c>
      <c r="E418" s="2" t="s">
        <v>34</v>
      </c>
      <c r="F418" s="2" t="s">
        <v>51</v>
      </c>
      <c r="G418" s="2" t="s">
        <v>63</v>
      </c>
      <c r="H418" s="2" t="s">
        <v>67</v>
      </c>
      <c r="I418" s="2" t="s">
        <v>92</v>
      </c>
      <c r="J418" t="s">
        <v>31</v>
      </c>
      <c r="K418">
        <v>13</v>
      </c>
      <c r="L418" s="3"/>
      <c r="M418" s="3"/>
      <c r="N418" s="3"/>
      <c r="O418" s="3">
        <f t="shared" si="19"/>
        <v>0</v>
      </c>
      <c r="P418">
        <v>748.8</v>
      </c>
      <c r="Q418">
        <v>286</v>
      </c>
      <c r="R418">
        <v>11</v>
      </c>
      <c r="S418">
        <v>94</v>
      </c>
      <c r="T418">
        <f t="shared" si="20"/>
        <v>3.2687999999999993</v>
      </c>
    </row>
    <row r="419" spans="1:20" x14ac:dyDescent="0.3">
      <c r="A419" s="1">
        <v>45047</v>
      </c>
      <c r="B419" s="1" t="str">
        <f t="shared" si="18"/>
        <v>Swiggy_Kolkata CFA_Product_20_45047</v>
      </c>
      <c r="C419" s="2" t="s">
        <v>128</v>
      </c>
      <c r="D419" s="2" t="s">
        <v>129</v>
      </c>
      <c r="E419" s="2" t="s">
        <v>34</v>
      </c>
      <c r="F419" s="2" t="s">
        <v>35</v>
      </c>
      <c r="G419" s="2" t="s">
        <v>63</v>
      </c>
      <c r="H419" s="2" t="s">
        <v>47</v>
      </c>
      <c r="I419" s="2" t="s">
        <v>130</v>
      </c>
      <c r="J419" t="s">
        <v>31</v>
      </c>
      <c r="K419">
        <v>3</v>
      </c>
      <c r="L419" s="3"/>
      <c r="M419" s="3"/>
      <c r="N419" s="3"/>
      <c r="O419" s="3">
        <f t="shared" si="19"/>
        <v>0</v>
      </c>
      <c r="P419">
        <v>748.8</v>
      </c>
      <c r="Q419">
        <v>430</v>
      </c>
      <c r="R419">
        <v>0</v>
      </c>
      <c r="S419">
        <v>125</v>
      </c>
      <c r="T419">
        <f t="shared" si="20"/>
        <v>0</v>
      </c>
    </row>
    <row r="420" spans="1:20" x14ac:dyDescent="0.3">
      <c r="A420" s="1">
        <v>45047</v>
      </c>
      <c r="B420" s="1" t="str">
        <f t="shared" si="18"/>
        <v>Swiggy_Kolkata CFA_Product_3_45047</v>
      </c>
      <c r="C420" s="2" t="s">
        <v>61</v>
      </c>
      <c r="D420" s="2" t="s">
        <v>62</v>
      </c>
      <c r="E420" s="2" t="s">
        <v>34</v>
      </c>
      <c r="F420" s="2" t="s">
        <v>35</v>
      </c>
      <c r="G420" s="2" t="s">
        <v>63</v>
      </c>
      <c r="H420" s="2" t="s">
        <v>37</v>
      </c>
      <c r="I420" s="2" t="s">
        <v>43</v>
      </c>
      <c r="J420" t="s">
        <v>31</v>
      </c>
      <c r="K420">
        <v>23</v>
      </c>
      <c r="L420" s="3"/>
      <c r="M420" s="3"/>
      <c r="N420" s="3"/>
      <c r="O420" s="3">
        <f t="shared" si="19"/>
        <v>0</v>
      </c>
      <c r="P420">
        <v>84</v>
      </c>
      <c r="Q420">
        <v>105</v>
      </c>
      <c r="R420">
        <v>9</v>
      </c>
      <c r="S420">
        <v>127</v>
      </c>
      <c r="T420">
        <f t="shared" si="20"/>
        <v>-6.6479999999999997</v>
      </c>
    </row>
    <row r="421" spans="1:20" x14ac:dyDescent="0.3">
      <c r="A421" s="1">
        <v>45047</v>
      </c>
      <c r="B421" s="1" t="str">
        <f t="shared" si="18"/>
        <v>Reliance_Bangalore_Product_8_45047</v>
      </c>
      <c r="C421" s="2" t="s">
        <v>77</v>
      </c>
      <c r="D421" s="2" t="s">
        <v>78</v>
      </c>
      <c r="E421" s="2" t="s">
        <v>34</v>
      </c>
      <c r="F421" s="2" t="s">
        <v>51</v>
      </c>
      <c r="G421" s="2" t="s">
        <v>79</v>
      </c>
      <c r="H421" s="2" t="s">
        <v>67</v>
      </c>
      <c r="I421" s="2" t="s">
        <v>68</v>
      </c>
      <c r="J421" t="s">
        <v>31</v>
      </c>
      <c r="K421">
        <v>49</v>
      </c>
      <c r="L421" s="3"/>
      <c r="M421" s="3"/>
      <c r="N421" s="3"/>
      <c r="O421" s="3">
        <f t="shared" si="19"/>
        <v>0</v>
      </c>
      <c r="P421">
        <v>48</v>
      </c>
      <c r="Q421">
        <v>317</v>
      </c>
      <c r="R421">
        <v>0</v>
      </c>
      <c r="S421">
        <v>126</v>
      </c>
      <c r="T421">
        <f t="shared" si="20"/>
        <v>-0.36</v>
      </c>
    </row>
    <row r="422" spans="1:20" x14ac:dyDescent="0.3">
      <c r="A422" s="1">
        <v>45078</v>
      </c>
      <c r="B422" s="1" t="str">
        <f t="shared" si="18"/>
        <v>Swiggy_Kolkata CFA_Product_3_45078</v>
      </c>
      <c r="C422" s="2" t="s">
        <v>61</v>
      </c>
      <c r="D422" s="2" t="s">
        <v>62</v>
      </c>
      <c r="E422" s="2" t="s">
        <v>34</v>
      </c>
      <c r="F422" s="2" t="s">
        <v>35</v>
      </c>
      <c r="G422" s="2" t="s">
        <v>63</v>
      </c>
      <c r="H422" s="2" t="s">
        <v>37</v>
      </c>
      <c r="I422" s="2" t="s">
        <v>43</v>
      </c>
      <c r="J422" t="s">
        <v>31</v>
      </c>
      <c r="K422">
        <v>5</v>
      </c>
      <c r="L422" s="4"/>
      <c r="M422" s="3"/>
      <c r="N422" s="3"/>
      <c r="O422" s="3">
        <f t="shared" si="19"/>
        <v>0</v>
      </c>
      <c r="P422">
        <v>383.52</v>
      </c>
      <c r="Q422">
        <v>433</v>
      </c>
      <c r="R422">
        <v>0</v>
      </c>
      <c r="S422">
        <v>127</v>
      </c>
      <c r="T422">
        <f t="shared" si="20"/>
        <v>3.3552</v>
      </c>
    </row>
    <row r="423" spans="1:20" x14ac:dyDescent="0.3">
      <c r="A423" s="1">
        <v>45078</v>
      </c>
      <c r="B423" s="1" t="str">
        <f t="shared" si="18"/>
        <v>Reliance_Ahmedabad_Product_9_45078</v>
      </c>
      <c r="C423" s="2" t="s">
        <v>151</v>
      </c>
      <c r="D423" s="2" t="s">
        <v>152</v>
      </c>
      <c r="E423" s="2" t="s">
        <v>34</v>
      </c>
      <c r="F423" s="2" t="s">
        <v>51</v>
      </c>
      <c r="G423" s="2" t="s">
        <v>52</v>
      </c>
      <c r="H423" s="2" t="s">
        <v>37</v>
      </c>
      <c r="I423" s="2" t="s">
        <v>71</v>
      </c>
      <c r="J423" t="s">
        <v>31</v>
      </c>
      <c r="K423">
        <v>1</v>
      </c>
      <c r="L423" s="3"/>
      <c r="M423" s="3"/>
      <c r="N423" s="3"/>
      <c r="O423" s="3">
        <f t="shared" si="19"/>
        <v>0</v>
      </c>
      <c r="P423">
        <v>383.52</v>
      </c>
      <c r="Q423">
        <v>453</v>
      </c>
      <c r="R423">
        <v>10</v>
      </c>
      <c r="S423">
        <v>119</v>
      </c>
      <c r="T423">
        <f t="shared" si="20"/>
        <v>0</v>
      </c>
    </row>
    <row r="424" spans="1:20" x14ac:dyDescent="0.3">
      <c r="A424" s="1">
        <v>45078</v>
      </c>
      <c r="B424" s="1" t="str">
        <f t="shared" si="18"/>
        <v>Swiggy_Bangalore_Product_16_45078</v>
      </c>
      <c r="C424" s="2" t="s">
        <v>107</v>
      </c>
      <c r="D424" s="2" t="s">
        <v>108</v>
      </c>
      <c r="E424" s="2" t="s">
        <v>34</v>
      </c>
      <c r="F424" s="2" t="s">
        <v>35</v>
      </c>
      <c r="G424" s="2" t="s">
        <v>79</v>
      </c>
      <c r="H424" s="2" t="s">
        <v>47</v>
      </c>
      <c r="I424" s="2" t="s">
        <v>109</v>
      </c>
      <c r="J424" t="s">
        <v>31</v>
      </c>
      <c r="K424">
        <v>3</v>
      </c>
      <c r="L424" s="3"/>
      <c r="M424" s="3"/>
      <c r="N424" s="3"/>
      <c r="O424" s="3">
        <f t="shared" si="19"/>
        <v>0</v>
      </c>
      <c r="P424">
        <v>672</v>
      </c>
      <c r="Q424">
        <v>187</v>
      </c>
      <c r="R424">
        <v>0</v>
      </c>
      <c r="S424">
        <v>122</v>
      </c>
      <c r="T424">
        <f t="shared" si="20"/>
        <v>2.8848000000000003</v>
      </c>
    </row>
    <row r="425" spans="1:20" x14ac:dyDescent="0.3">
      <c r="A425" s="1">
        <v>45078</v>
      </c>
      <c r="B425" s="1" t="str">
        <f t="shared" si="18"/>
        <v>Swiggy_Chennai_Product_3_45078</v>
      </c>
      <c r="C425" s="2" t="s">
        <v>82</v>
      </c>
      <c r="D425" s="2" t="s">
        <v>83</v>
      </c>
      <c r="E425" s="2" t="s">
        <v>34</v>
      </c>
      <c r="F425" s="2" t="s">
        <v>35</v>
      </c>
      <c r="G425" s="2" t="s">
        <v>84</v>
      </c>
      <c r="H425" s="2" t="s">
        <v>37</v>
      </c>
      <c r="I425" s="2" t="s">
        <v>43</v>
      </c>
      <c r="J425" t="s">
        <v>31</v>
      </c>
      <c r="K425">
        <v>1</v>
      </c>
      <c r="L425" s="3"/>
      <c r="M425" s="3"/>
      <c r="N425" s="3"/>
      <c r="O425" s="3">
        <f t="shared" si="19"/>
        <v>0</v>
      </c>
      <c r="P425">
        <v>672</v>
      </c>
      <c r="Q425">
        <v>107</v>
      </c>
      <c r="R425">
        <v>8</v>
      </c>
      <c r="S425">
        <v>127</v>
      </c>
      <c r="T425">
        <f t="shared" si="20"/>
        <v>0</v>
      </c>
    </row>
    <row r="426" spans="1:20" x14ac:dyDescent="0.3">
      <c r="A426" s="1">
        <v>45078</v>
      </c>
      <c r="B426" s="1" t="str">
        <f t="shared" si="18"/>
        <v>Reliance_Bangalore_Product_13_45078</v>
      </c>
      <c r="C426" s="2" t="s">
        <v>93</v>
      </c>
      <c r="D426" s="2" t="s">
        <v>94</v>
      </c>
      <c r="E426" s="2" t="s">
        <v>34</v>
      </c>
      <c r="F426" s="2" t="s">
        <v>51</v>
      </c>
      <c r="G426" s="2" t="s">
        <v>79</v>
      </c>
      <c r="H426" s="2" t="s">
        <v>67</v>
      </c>
      <c r="I426" s="2" t="s">
        <v>95</v>
      </c>
      <c r="J426" t="s">
        <v>31</v>
      </c>
      <c r="K426">
        <v>9</v>
      </c>
      <c r="L426" s="3"/>
      <c r="M426" s="3"/>
      <c r="N426" s="3"/>
      <c r="O426" s="3">
        <f t="shared" si="19"/>
        <v>0</v>
      </c>
      <c r="P426">
        <v>421.92</v>
      </c>
      <c r="Q426">
        <v>435</v>
      </c>
      <c r="R426">
        <v>7</v>
      </c>
      <c r="S426">
        <v>113</v>
      </c>
      <c r="T426">
        <f t="shared" si="20"/>
        <v>-2.5007999999999999</v>
      </c>
    </row>
    <row r="427" spans="1:20" x14ac:dyDescent="0.3">
      <c r="A427" s="1">
        <v>45078</v>
      </c>
      <c r="B427" s="1" t="str">
        <f t="shared" si="18"/>
        <v>Reliance_Chennai_Product_9_45078</v>
      </c>
      <c r="C427" s="2" t="s">
        <v>147</v>
      </c>
      <c r="D427" s="2" t="s">
        <v>148</v>
      </c>
      <c r="E427" s="2" t="s">
        <v>34</v>
      </c>
      <c r="F427" s="2" t="s">
        <v>51</v>
      </c>
      <c r="G427" s="2" t="s">
        <v>84</v>
      </c>
      <c r="H427" s="2" t="s">
        <v>37</v>
      </c>
      <c r="I427" s="2" t="s">
        <v>71</v>
      </c>
      <c r="J427" t="s">
        <v>31</v>
      </c>
      <c r="K427">
        <v>3</v>
      </c>
      <c r="L427" s="3"/>
      <c r="M427" s="3"/>
      <c r="N427" s="3"/>
      <c r="O427" s="3">
        <f t="shared" si="19"/>
        <v>0</v>
      </c>
      <c r="P427">
        <v>421.92</v>
      </c>
      <c r="Q427">
        <v>312</v>
      </c>
      <c r="R427">
        <v>0</v>
      </c>
      <c r="S427">
        <v>119</v>
      </c>
      <c r="T427">
        <f t="shared" si="20"/>
        <v>0</v>
      </c>
    </row>
    <row r="428" spans="1:20" x14ac:dyDescent="0.3">
      <c r="A428" s="1">
        <v>45078</v>
      </c>
      <c r="B428" s="1" t="str">
        <f t="shared" si="18"/>
        <v>Maharashtra_MH-Aggregated_Product_9_45078</v>
      </c>
      <c r="C428" s="2" t="s">
        <v>69</v>
      </c>
      <c r="D428" s="2" t="s">
        <v>70</v>
      </c>
      <c r="E428" s="2" t="s">
        <v>26</v>
      </c>
      <c r="F428" s="2" t="s">
        <v>41</v>
      </c>
      <c r="G428" s="2" t="s">
        <v>42</v>
      </c>
      <c r="H428" s="2" t="s">
        <v>37</v>
      </c>
      <c r="I428" s="2" t="s">
        <v>71</v>
      </c>
      <c r="J428" t="s">
        <v>31</v>
      </c>
      <c r="K428">
        <v>4</v>
      </c>
      <c r="L428" s="3"/>
      <c r="M428" s="3"/>
      <c r="N428" s="3"/>
      <c r="O428" s="3">
        <f t="shared" si="19"/>
        <v>0</v>
      </c>
      <c r="P428">
        <v>748.8</v>
      </c>
      <c r="Q428">
        <v>500</v>
      </c>
      <c r="R428">
        <v>0</v>
      </c>
      <c r="S428">
        <v>119</v>
      </c>
      <c r="T428">
        <f t="shared" si="20"/>
        <v>3.2687999999999993</v>
      </c>
    </row>
    <row r="429" spans="1:20" x14ac:dyDescent="0.3">
      <c r="A429" s="1">
        <v>45078</v>
      </c>
      <c r="B429" s="1" t="str">
        <f t="shared" si="18"/>
        <v>Reliance_Mundka_Product_6_45078</v>
      </c>
      <c r="C429" s="2" t="s">
        <v>55</v>
      </c>
      <c r="D429" s="2" t="s">
        <v>56</v>
      </c>
      <c r="E429" s="2" t="s">
        <v>34</v>
      </c>
      <c r="F429" s="2" t="s">
        <v>51</v>
      </c>
      <c r="G429" s="2" t="s">
        <v>36</v>
      </c>
      <c r="H429" s="2" t="s">
        <v>37</v>
      </c>
      <c r="I429" s="2" t="s">
        <v>57</v>
      </c>
      <c r="J429" t="s">
        <v>31</v>
      </c>
      <c r="K429">
        <v>2</v>
      </c>
      <c r="L429" s="3"/>
      <c r="M429" s="3"/>
      <c r="N429" s="3"/>
      <c r="O429" s="3">
        <f t="shared" si="19"/>
        <v>0</v>
      </c>
      <c r="P429">
        <v>748.8</v>
      </c>
      <c r="Q429">
        <v>312</v>
      </c>
      <c r="R429">
        <v>1</v>
      </c>
      <c r="S429">
        <v>135</v>
      </c>
      <c r="T429">
        <f t="shared" si="20"/>
        <v>0</v>
      </c>
    </row>
    <row r="430" spans="1:20" x14ac:dyDescent="0.3">
      <c r="A430" s="1">
        <v>45078</v>
      </c>
      <c r="B430" s="1" t="str">
        <f t="shared" si="18"/>
        <v>Maharashtra_MH-Aggregated_Product_22_45078</v>
      </c>
      <c r="C430" s="2" t="s">
        <v>138</v>
      </c>
      <c r="D430" s="2" t="s">
        <v>139</v>
      </c>
      <c r="E430" s="2" t="s">
        <v>26</v>
      </c>
      <c r="F430" s="2" t="s">
        <v>41</v>
      </c>
      <c r="G430" s="2" t="s">
        <v>42</v>
      </c>
      <c r="H430" s="2" t="s">
        <v>140</v>
      </c>
      <c r="I430" s="2" t="s">
        <v>141</v>
      </c>
      <c r="J430" t="s">
        <v>31</v>
      </c>
      <c r="K430">
        <v>6</v>
      </c>
      <c r="L430" s="3"/>
      <c r="M430" s="3"/>
      <c r="N430" s="3"/>
      <c r="O430" s="3">
        <f t="shared" si="19"/>
        <v>0</v>
      </c>
      <c r="P430">
        <v>84</v>
      </c>
      <c r="Q430">
        <v>121</v>
      </c>
      <c r="R430">
        <v>5</v>
      </c>
      <c r="S430">
        <v>126</v>
      </c>
      <c r="T430">
        <f t="shared" si="20"/>
        <v>-6.6479999999999997</v>
      </c>
    </row>
    <row r="431" spans="1:20" x14ac:dyDescent="0.3">
      <c r="A431" s="1">
        <v>45078</v>
      </c>
      <c r="B431" s="1" t="str">
        <f t="shared" si="18"/>
        <v>Reliance_Bhiwandi_Product_10_45078</v>
      </c>
      <c r="C431" s="2" t="s">
        <v>85</v>
      </c>
      <c r="D431" s="2" t="s">
        <v>86</v>
      </c>
      <c r="E431" s="2" t="s">
        <v>34</v>
      </c>
      <c r="F431" s="2" t="s">
        <v>51</v>
      </c>
      <c r="G431" s="2" t="s">
        <v>66</v>
      </c>
      <c r="H431" s="2" t="s">
        <v>67</v>
      </c>
      <c r="I431" s="2" t="s">
        <v>76</v>
      </c>
      <c r="J431" t="s">
        <v>31</v>
      </c>
      <c r="K431">
        <v>13</v>
      </c>
      <c r="L431" s="3"/>
      <c r="M431" s="3"/>
      <c r="N431" s="3"/>
      <c r="O431" s="3">
        <f t="shared" si="19"/>
        <v>0</v>
      </c>
      <c r="P431">
        <v>48</v>
      </c>
      <c r="Q431">
        <v>441</v>
      </c>
      <c r="R431">
        <v>3</v>
      </c>
      <c r="S431">
        <v>106</v>
      </c>
      <c r="T431">
        <f t="shared" si="20"/>
        <v>-0.36</v>
      </c>
    </row>
    <row r="432" spans="1:20" x14ac:dyDescent="0.3">
      <c r="A432" s="1">
        <v>45078</v>
      </c>
      <c r="B432" s="1" t="str">
        <f t="shared" si="18"/>
        <v>Swiggy_Mundka_Product_14_45078</v>
      </c>
      <c r="C432" s="2" t="s">
        <v>96</v>
      </c>
      <c r="D432" s="2" t="s">
        <v>97</v>
      </c>
      <c r="E432" s="2" t="s">
        <v>34</v>
      </c>
      <c r="F432" s="2" t="s">
        <v>35</v>
      </c>
      <c r="G432" s="2" t="s">
        <v>36</v>
      </c>
      <c r="H432" s="2" t="s">
        <v>47</v>
      </c>
      <c r="I432" s="2" t="s">
        <v>98</v>
      </c>
      <c r="J432" t="s">
        <v>31</v>
      </c>
      <c r="K432">
        <v>13</v>
      </c>
      <c r="L432" s="3"/>
      <c r="M432" s="3"/>
      <c r="N432" s="3"/>
      <c r="O432" s="3">
        <f t="shared" si="19"/>
        <v>0</v>
      </c>
      <c r="P432">
        <v>383.52</v>
      </c>
      <c r="Q432">
        <v>434</v>
      </c>
      <c r="R432">
        <v>0</v>
      </c>
      <c r="S432">
        <v>97</v>
      </c>
      <c r="T432">
        <f t="shared" si="20"/>
        <v>3.3552</v>
      </c>
    </row>
    <row r="433" spans="1:20" x14ac:dyDescent="0.3">
      <c r="A433" s="1">
        <v>45078</v>
      </c>
      <c r="B433" s="1" t="str">
        <f t="shared" si="18"/>
        <v>Grofers_Hyderabad_Product_21_45078</v>
      </c>
      <c r="C433" s="2" t="s">
        <v>135</v>
      </c>
      <c r="D433" s="2" t="s">
        <v>136</v>
      </c>
      <c r="E433" s="2" t="s">
        <v>34</v>
      </c>
      <c r="F433" s="2" t="s">
        <v>114</v>
      </c>
      <c r="G433" s="2" t="s">
        <v>137</v>
      </c>
      <c r="H433" s="2" t="s">
        <v>133</v>
      </c>
      <c r="I433" s="2" t="s">
        <v>134</v>
      </c>
      <c r="J433" t="s">
        <v>31</v>
      </c>
      <c r="K433">
        <v>3</v>
      </c>
      <c r="L433" s="3"/>
      <c r="M433" s="3"/>
      <c r="N433" s="3"/>
      <c r="O433" s="3">
        <f t="shared" si="19"/>
        <v>0</v>
      </c>
      <c r="P433">
        <v>383.52</v>
      </c>
      <c r="Q433">
        <v>464</v>
      </c>
      <c r="R433">
        <v>5</v>
      </c>
      <c r="S433">
        <v>115</v>
      </c>
      <c r="T433">
        <f t="shared" si="20"/>
        <v>0</v>
      </c>
    </row>
    <row r="434" spans="1:20" x14ac:dyDescent="0.3">
      <c r="A434" s="1">
        <v>45078</v>
      </c>
      <c r="B434" s="1" t="str">
        <f t="shared" si="18"/>
        <v>Reliance_Bhiwandi_Product_11_45078</v>
      </c>
      <c r="C434" s="2" t="s">
        <v>87</v>
      </c>
      <c r="D434" s="2" t="s">
        <v>88</v>
      </c>
      <c r="E434" s="2" t="s">
        <v>34</v>
      </c>
      <c r="F434" s="2" t="s">
        <v>51</v>
      </c>
      <c r="G434" s="2" t="s">
        <v>66</v>
      </c>
      <c r="H434" s="2" t="s">
        <v>67</v>
      </c>
      <c r="I434" s="2" t="s">
        <v>89</v>
      </c>
      <c r="J434" t="s">
        <v>31</v>
      </c>
      <c r="K434">
        <v>6</v>
      </c>
      <c r="L434" s="3"/>
      <c r="M434" s="3"/>
      <c r="N434" s="3"/>
      <c r="O434" s="3">
        <f t="shared" si="19"/>
        <v>0</v>
      </c>
      <c r="P434">
        <v>672</v>
      </c>
      <c r="Q434">
        <v>152</v>
      </c>
      <c r="R434">
        <v>0</v>
      </c>
      <c r="S434">
        <v>131</v>
      </c>
      <c r="T434">
        <f t="shared" si="20"/>
        <v>2.8848000000000003</v>
      </c>
    </row>
    <row r="435" spans="1:20" x14ac:dyDescent="0.3">
      <c r="A435" s="1">
        <v>45078</v>
      </c>
      <c r="B435" s="1" t="str">
        <f t="shared" si="18"/>
        <v>Reliance_Hyderabad_Product_2_45078</v>
      </c>
      <c r="C435" s="2" t="s">
        <v>149</v>
      </c>
      <c r="D435" s="2" t="s">
        <v>150</v>
      </c>
      <c r="E435" s="2" t="s">
        <v>34</v>
      </c>
      <c r="F435" s="2" t="s">
        <v>51</v>
      </c>
      <c r="G435" s="2" t="s">
        <v>137</v>
      </c>
      <c r="H435" s="2" t="s">
        <v>37</v>
      </c>
      <c r="I435" s="2" t="s">
        <v>38</v>
      </c>
      <c r="J435" t="s">
        <v>31</v>
      </c>
      <c r="K435">
        <v>1</v>
      </c>
      <c r="L435" s="3"/>
      <c r="M435" s="3"/>
      <c r="N435" s="3"/>
      <c r="O435" s="3">
        <f t="shared" si="19"/>
        <v>0</v>
      </c>
      <c r="P435">
        <v>672</v>
      </c>
      <c r="Q435">
        <v>480</v>
      </c>
      <c r="R435">
        <v>5</v>
      </c>
      <c r="S435">
        <v>134</v>
      </c>
      <c r="T435">
        <f t="shared" si="20"/>
        <v>0</v>
      </c>
    </row>
    <row r="436" spans="1:20" x14ac:dyDescent="0.3">
      <c r="A436" s="1">
        <v>45078</v>
      </c>
      <c r="B436" s="1" t="str">
        <f t="shared" si="18"/>
        <v>Reliance_Ahmedabad_Product_5_45078</v>
      </c>
      <c r="C436" s="2" t="s">
        <v>49</v>
      </c>
      <c r="D436" s="2" t="s">
        <v>50</v>
      </c>
      <c r="E436" s="2" t="s">
        <v>34</v>
      </c>
      <c r="F436" s="2" t="s">
        <v>51</v>
      </c>
      <c r="G436" s="2" t="s">
        <v>52</v>
      </c>
      <c r="H436" s="2" t="s">
        <v>53</v>
      </c>
      <c r="I436" s="2" t="s">
        <v>54</v>
      </c>
      <c r="J436" t="s">
        <v>31</v>
      </c>
      <c r="K436">
        <v>31</v>
      </c>
      <c r="L436" s="3"/>
      <c r="M436" s="3"/>
      <c r="N436" s="3"/>
      <c r="O436" s="3">
        <f t="shared" si="19"/>
        <v>0</v>
      </c>
      <c r="P436">
        <v>421.92</v>
      </c>
      <c r="Q436">
        <v>118</v>
      </c>
      <c r="R436">
        <v>5</v>
      </c>
      <c r="S436">
        <v>132</v>
      </c>
      <c r="T436">
        <f t="shared" si="20"/>
        <v>-2.5007999999999999</v>
      </c>
    </row>
    <row r="437" spans="1:20" x14ac:dyDescent="0.3">
      <c r="A437" s="1">
        <v>45078</v>
      </c>
      <c r="B437" s="1" t="str">
        <f t="shared" si="18"/>
        <v>Reliance_Bhiwandi_Product_8_45078</v>
      </c>
      <c r="C437" s="2" t="s">
        <v>64</v>
      </c>
      <c r="D437" s="2" t="s">
        <v>65</v>
      </c>
      <c r="E437" s="2" t="s">
        <v>34</v>
      </c>
      <c r="F437" s="2" t="s">
        <v>51</v>
      </c>
      <c r="G437" s="2" t="s">
        <v>66</v>
      </c>
      <c r="H437" s="2" t="s">
        <v>67</v>
      </c>
      <c r="I437" s="2" t="s">
        <v>68</v>
      </c>
      <c r="J437" t="s">
        <v>31</v>
      </c>
      <c r="K437">
        <v>6</v>
      </c>
      <c r="L437" s="3"/>
      <c r="M437" s="3"/>
      <c r="N437" s="3"/>
      <c r="O437" s="3">
        <f t="shared" si="19"/>
        <v>0</v>
      </c>
      <c r="P437">
        <v>421.92</v>
      </c>
      <c r="Q437">
        <v>311</v>
      </c>
      <c r="R437">
        <v>2</v>
      </c>
      <c r="S437">
        <v>126</v>
      </c>
      <c r="T437">
        <f t="shared" si="20"/>
        <v>0</v>
      </c>
    </row>
    <row r="438" spans="1:20" x14ac:dyDescent="0.3">
      <c r="A438" s="1">
        <v>45078</v>
      </c>
      <c r="B438" s="1" t="str">
        <f t="shared" si="18"/>
        <v>Reliance_Bangalore_Product_3_45078</v>
      </c>
      <c r="C438" s="2" t="s">
        <v>80</v>
      </c>
      <c r="D438" s="2" t="s">
        <v>81</v>
      </c>
      <c r="E438" s="2" t="s">
        <v>34</v>
      </c>
      <c r="F438" s="2" t="s">
        <v>51</v>
      </c>
      <c r="G438" s="2" t="s">
        <v>79</v>
      </c>
      <c r="H438" s="2" t="s">
        <v>37</v>
      </c>
      <c r="I438" s="2" t="s">
        <v>43</v>
      </c>
      <c r="J438" t="s">
        <v>31</v>
      </c>
      <c r="K438">
        <v>11</v>
      </c>
      <c r="L438" s="3"/>
      <c r="M438" s="3"/>
      <c r="N438" s="3"/>
      <c r="O438" s="3">
        <f t="shared" si="19"/>
        <v>0</v>
      </c>
      <c r="P438">
        <v>748.8</v>
      </c>
      <c r="Q438">
        <v>221</v>
      </c>
      <c r="R438">
        <v>2</v>
      </c>
      <c r="S438">
        <v>127</v>
      </c>
      <c r="T438">
        <f t="shared" si="20"/>
        <v>3.2687999999999993</v>
      </c>
    </row>
    <row r="439" spans="1:20" x14ac:dyDescent="0.3">
      <c r="A439" s="1">
        <v>45078</v>
      </c>
      <c r="B439" s="1" t="str">
        <f t="shared" si="18"/>
        <v>Swiggy_Mundka_Product_2_45078</v>
      </c>
      <c r="C439" s="2" t="s">
        <v>32</v>
      </c>
      <c r="D439" s="2" t="s">
        <v>33</v>
      </c>
      <c r="E439" s="2" t="s">
        <v>34</v>
      </c>
      <c r="F439" s="2" t="s">
        <v>35</v>
      </c>
      <c r="G439" s="2" t="s">
        <v>36</v>
      </c>
      <c r="H439" s="2" t="s">
        <v>37</v>
      </c>
      <c r="I439" s="2" t="s">
        <v>38</v>
      </c>
      <c r="J439" t="s">
        <v>31</v>
      </c>
      <c r="K439">
        <v>2</v>
      </c>
      <c r="L439" s="3"/>
      <c r="M439" s="3"/>
      <c r="N439" s="3"/>
      <c r="O439" s="3">
        <f t="shared" si="19"/>
        <v>0</v>
      </c>
      <c r="P439">
        <v>748.8</v>
      </c>
      <c r="Q439">
        <v>186</v>
      </c>
      <c r="R439">
        <v>0</v>
      </c>
      <c r="S439">
        <v>134</v>
      </c>
      <c r="T439">
        <f t="shared" si="20"/>
        <v>0</v>
      </c>
    </row>
    <row r="440" spans="1:20" x14ac:dyDescent="0.3">
      <c r="A440" s="1">
        <v>45078</v>
      </c>
      <c r="B440" s="1" t="str">
        <f t="shared" si="18"/>
        <v>Reliance_Mundka_Product_7_45078</v>
      </c>
      <c r="C440" s="2" t="s">
        <v>58</v>
      </c>
      <c r="D440" s="2" t="s">
        <v>59</v>
      </c>
      <c r="E440" s="2" t="s">
        <v>34</v>
      </c>
      <c r="F440" s="2" t="s">
        <v>51</v>
      </c>
      <c r="G440" s="2" t="s">
        <v>36</v>
      </c>
      <c r="H440" s="2" t="s">
        <v>37</v>
      </c>
      <c r="I440" s="2" t="s">
        <v>60</v>
      </c>
      <c r="J440" t="s">
        <v>31</v>
      </c>
      <c r="K440">
        <v>18</v>
      </c>
      <c r="L440" s="3"/>
      <c r="M440" s="3"/>
      <c r="N440" s="3"/>
      <c r="O440" s="3">
        <f t="shared" si="19"/>
        <v>0</v>
      </c>
      <c r="P440">
        <v>84</v>
      </c>
      <c r="Q440">
        <v>167</v>
      </c>
      <c r="R440">
        <v>10</v>
      </c>
      <c r="S440">
        <v>117</v>
      </c>
      <c r="T440">
        <f t="shared" si="20"/>
        <v>-6.6479999999999997</v>
      </c>
    </row>
    <row r="441" spans="1:20" x14ac:dyDescent="0.3">
      <c r="A441" s="1">
        <v>45078</v>
      </c>
      <c r="B441" s="1" t="str">
        <f t="shared" si="18"/>
        <v>Swiggy_Kolkata CFA_Product_11_45078</v>
      </c>
      <c r="C441" s="2" t="s">
        <v>119</v>
      </c>
      <c r="D441" s="2" t="s">
        <v>120</v>
      </c>
      <c r="E441" s="2" t="s">
        <v>34</v>
      </c>
      <c r="F441" s="2" t="s">
        <v>35</v>
      </c>
      <c r="G441" s="2" t="s">
        <v>63</v>
      </c>
      <c r="H441" s="2" t="s">
        <v>67</v>
      </c>
      <c r="I441" s="2" t="s">
        <v>89</v>
      </c>
      <c r="J441" t="s">
        <v>31</v>
      </c>
      <c r="K441">
        <v>41</v>
      </c>
      <c r="L441" s="3"/>
      <c r="M441" s="3"/>
      <c r="N441" s="3"/>
      <c r="O441" s="3">
        <f t="shared" si="19"/>
        <v>0</v>
      </c>
      <c r="P441">
        <v>48</v>
      </c>
      <c r="Q441">
        <v>292</v>
      </c>
      <c r="R441">
        <v>8</v>
      </c>
      <c r="S441">
        <v>131</v>
      </c>
      <c r="T441">
        <f t="shared" si="20"/>
        <v>-0.36</v>
      </c>
    </row>
    <row r="442" spans="1:20" x14ac:dyDescent="0.3">
      <c r="A442" s="1">
        <v>45078</v>
      </c>
      <c r="B442" s="1" t="str">
        <f t="shared" si="18"/>
        <v>Maharashtra_MH-Aggregated_Product_23_45078</v>
      </c>
      <c r="C442" s="2" t="s">
        <v>142</v>
      </c>
      <c r="D442" s="2" t="s">
        <v>143</v>
      </c>
      <c r="E442" s="2" t="s">
        <v>26</v>
      </c>
      <c r="F442" s="2" t="s">
        <v>41</v>
      </c>
      <c r="G442" s="2" t="s">
        <v>42</v>
      </c>
      <c r="H442" s="2" t="s">
        <v>140</v>
      </c>
      <c r="I442" s="2" t="s">
        <v>144</v>
      </c>
      <c r="J442" t="s">
        <v>31</v>
      </c>
      <c r="K442">
        <v>4</v>
      </c>
      <c r="L442" s="3"/>
      <c r="M442" s="3"/>
      <c r="N442" s="3"/>
      <c r="O442" s="3">
        <f t="shared" si="19"/>
        <v>0</v>
      </c>
      <c r="P442">
        <v>383.52</v>
      </c>
      <c r="Q442">
        <v>312</v>
      </c>
      <c r="R442">
        <v>0</v>
      </c>
      <c r="S442">
        <v>144</v>
      </c>
      <c r="T442">
        <f t="shared" si="20"/>
        <v>3.3552</v>
      </c>
    </row>
    <row r="443" spans="1:20" x14ac:dyDescent="0.3">
      <c r="A443" s="1">
        <v>45078</v>
      </c>
      <c r="B443" s="1" t="str">
        <f t="shared" si="18"/>
        <v>Jharkhand_JH-Aggregated_Product_1_45078</v>
      </c>
      <c r="C443" s="2" t="s">
        <v>24</v>
      </c>
      <c r="D443" s="2" t="s">
        <v>25</v>
      </c>
      <c r="E443" s="2" t="s">
        <v>26</v>
      </c>
      <c r="F443" s="2" t="s">
        <v>27</v>
      </c>
      <c r="G443" s="2" t="s">
        <v>28</v>
      </c>
      <c r="H443" s="2" t="s">
        <v>29</v>
      </c>
      <c r="I443" s="2" t="s">
        <v>30</v>
      </c>
      <c r="J443" t="s">
        <v>31</v>
      </c>
      <c r="K443">
        <v>1</v>
      </c>
      <c r="L443" s="3"/>
      <c r="M443" s="3"/>
      <c r="N443" s="3"/>
      <c r="O443" s="3">
        <f t="shared" si="19"/>
        <v>0</v>
      </c>
      <c r="P443">
        <v>383.52</v>
      </c>
      <c r="Q443">
        <v>197</v>
      </c>
      <c r="R443">
        <v>0</v>
      </c>
      <c r="S443">
        <v>111</v>
      </c>
      <c r="T443">
        <f t="shared" si="20"/>
        <v>0</v>
      </c>
    </row>
    <row r="444" spans="1:20" x14ac:dyDescent="0.3">
      <c r="A444" s="1">
        <v>45078</v>
      </c>
      <c r="B444" s="1" t="str">
        <f t="shared" si="18"/>
        <v>Reliance_Chennai_Product_11_45078</v>
      </c>
      <c r="C444" s="2" t="s">
        <v>110</v>
      </c>
      <c r="D444" s="2" t="s">
        <v>111</v>
      </c>
      <c r="E444" s="2" t="s">
        <v>34</v>
      </c>
      <c r="F444" s="2" t="s">
        <v>51</v>
      </c>
      <c r="G444" s="2" t="s">
        <v>84</v>
      </c>
      <c r="H444" s="2" t="s">
        <v>67</v>
      </c>
      <c r="I444" s="2" t="s">
        <v>89</v>
      </c>
      <c r="J444" t="s">
        <v>31</v>
      </c>
      <c r="K444">
        <v>2</v>
      </c>
      <c r="L444" s="3"/>
      <c r="M444" s="3"/>
      <c r="N444" s="3"/>
      <c r="O444" s="3">
        <f t="shared" si="19"/>
        <v>0</v>
      </c>
      <c r="P444">
        <v>672</v>
      </c>
      <c r="Q444">
        <v>224</v>
      </c>
      <c r="R444">
        <v>8</v>
      </c>
      <c r="S444">
        <v>131</v>
      </c>
      <c r="T444">
        <f t="shared" si="20"/>
        <v>2.8848000000000003</v>
      </c>
    </row>
    <row r="445" spans="1:20" x14ac:dyDescent="0.3">
      <c r="A445" s="1">
        <v>45078</v>
      </c>
      <c r="B445" s="1" t="str">
        <f t="shared" si="18"/>
        <v>Reliance_Ahmedabad_Product_18_45078</v>
      </c>
      <c r="C445" s="2" t="s">
        <v>121</v>
      </c>
      <c r="D445" s="2" t="s">
        <v>122</v>
      </c>
      <c r="E445" s="2" t="s">
        <v>34</v>
      </c>
      <c r="F445" s="2" t="s">
        <v>51</v>
      </c>
      <c r="G445" s="2" t="s">
        <v>52</v>
      </c>
      <c r="H445" s="2" t="s">
        <v>29</v>
      </c>
      <c r="I445" s="2" t="s">
        <v>123</v>
      </c>
      <c r="J445" t="s">
        <v>31</v>
      </c>
      <c r="K445">
        <v>1</v>
      </c>
      <c r="L445" s="3"/>
      <c r="M445" s="3"/>
      <c r="N445" s="3"/>
      <c r="O445" s="3">
        <f t="shared" si="19"/>
        <v>0</v>
      </c>
      <c r="P445">
        <v>672</v>
      </c>
      <c r="Q445">
        <v>370</v>
      </c>
      <c r="R445">
        <v>0</v>
      </c>
      <c r="S445">
        <v>129</v>
      </c>
      <c r="T445">
        <f t="shared" si="20"/>
        <v>0</v>
      </c>
    </row>
    <row r="446" spans="1:20" x14ac:dyDescent="0.3">
      <c r="A446" s="1">
        <v>45078</v>
      </c>
      <c r="B446" s="1" t="str">
        <f t="shared" si="18"/>
        <v>Reliance_Ahmedabad_Product_7_45078</v>
      </c>
      <c r="C446" s="2" t="s">
        <v>99</v>
      </c>
      <c r="D446" s="2" t="s">
        <v>100</v>
      </c>
      <c r="E446" s="2" t="s">
        <v>34</v>
      </c>
      <c r="F446" s="2" t="s">
        <v>51</v>
      </c>
      <c r="G446" s="2" t="s">
        <v>52</v>
      </c>
      <c r="H446" s="2" t="s">
        <v>37</v>
      </c>
      <c r="I446" s="2" t="s">
        <v>60</v>
      </c>
      <c r="J446" t="s">
        <v>31</v>
      </c>
      <c r="K446">
        <v>7</v>
      </c>
      <c r="L446" s="3"/>
      <c r="M446" s="3"/>
      <c r="N446" s="3"/>
      <c r="O446" s="3">
        <f t="shared" si="19"/>
        <v>0</v>
      </c>
      <c r="P446">
        <v>421.92</v>
      </c>
      <c r="Q446">
        <v>320</v>
      </c>
      <c r="R446">
        <v>0</v>
      </c>
      <c r="S446">
        <v>117</v>
      </c>
      <c r="T446">
        <f t="shared" si="20"/>
        <v>-2.5007999999999999</v>
      </c>
    </row>
    <row r="447" spans="1:20" x14ac:dyDescent="0.3">
      <c r="A447" s="1">
        <v>45078</v>
      </c>
      <c r="B447" s="1" t="str">
        <f t="shared" si="18"/>
        <v>Swiggy_Kolkata CFA_Product_20_45078</v>
      </c>
      <c r="C447" s="2" t="s">
        <v>128</v>
      </c>
      <c r="D447" s="2" t="s">
        <v>129</v>
      </c>
      <c r="E447" s="2" t="s">
        <v>34</v>
      </c>
      <c r="F447" s="2" t="s">
        <v>35</v>
      </c>
      <c r="G447" s="2" t="s">
        <v>63</v>
      </c>
      <c r="H447" s="2" t="s">
        <v>47</v>
      </c>
      <c r="I447" s="2" t="s">
        <v>130</v>
      </c>
      <c r="J447" t="s">
        <v>31</v>
      </c>
      <c r="K447">
        <v>2</v>
      </c>
      <c r="L447" s="3"/>
      <c r="M447" s="3"/>
      <c r="N447" s="3"/>
      <c r="O447" s="3">
        <f t="shared" si="19"/>
        <v>0</v>
      </c>
      <c r="P447">
        <v>421.92</v>
      </c>
      <c r="Q447">
        <v>288</v>
      </c>
      <c r="R447">
        <v>0</v>
      </c>
      <c r="S447">
        <v>125</v>
      </c>
      <c r="T447">
        <f t="shared" si="20"/>
        <v>0</v>
      </c>
    </row>
    <row r="448" spans="1:20" x14ac:dyDescent="0.3">
      <c r="A448" s="1">
        <v>45078</v>
      </c>
      <c r="B448" s="1" t="str">
        <f t="shared" si="18"/>
        <v>Grofers_Mundka_Product_21_45078</v>
      </c>
      <c r="C448" s="2" t="s">
        <v>131</v>
      </c>
      <c r="D448" s="2" t="s">
        <v>132</v>
      </c>
      <c r="E448" s="2" t="s">
        <v>34</v>
      </c>
      <c r="F448" s="2" t="s">
        <v>114</v>
      </c>
      <c r="G448" s="2" t="s">
        <v>36</v>
      </c>
      <c r="H448" s="2" t="s">
        <v>133</v>
      </c>
      <c r="I448" s="2" t="s">
        <v>134</v>
      </c>
      <c r="J448" t="s">
        <v>31</v>
      </c>
      <c r="K448">
        <v>3</v>
      </c>
      <c r="L448" s="3"/>
      <c r="M448" s="3"/>
      <c r="N448" s="3"/>
      <c r="O448" s="3">
        <f t="shared" si="19"/>
        <v>0</v>
      </c>
      <c r="P448">
        <v>748.8</v>
      </c>
      <c r="Q448">
        <v>203</v>
      </c>
      <c r="R448">
        <v>3</v>
      </c>
      <c r="S448">
        <v>115</v>
      </c>
      <c r="T448">
        <f t="shared" si="20"/>
        <v>3.2687999999999993</v>
      </c>
    </row>
    <row r="449" spans="1:20" x14ac:dyDescent="0.3">
      <c r="A449" s="1">
        <v>45078</v>
      </c>
      <c r="B449" s="1" t="str">
        <f t="shared" si="18"/>
        <v>Maharashtra_MH-Aggregated_Product_3_45078</v>
      </c>
      <c r="C449" s="2" t="s">
        <v>39</v>
      </c>
      <c r="D449" s="2" t="s">
        <v>40</v>
      </c>
      <c r="E449" s="2" t="s">
        <v>26</v>
      </c>
      <c r="F449" s="2" t="s">
        <v>41</v>
      </c>
      <c r="G449" s="2" t="s">
        <v>42</v>
      </c>
      <c r="H449" s="2" t="s">
        <v>37</v>
      </c>
      <c r="I449" s="2" t="s">
        <v>43</v>
      </c>
      <c r="J449" t="s">
        <v>31</v>
      </c>
      <c r="K449">
        <v>2</v>
      </c>
      <c r="L449" s="3"/>
      <c r="M449" s="3"/>
      <c r="N449" s="3"/>
      <c r="O449" s="3">
        <f t="shared" si="19"/>
        <v>0</v>
      </c>
      <c r="P449">
        <v>748.8</v>
      </c>
      <c r="Q449">
        <v>282</v>
      </c>
      <c r="R449">
        <v>0</v>
      </c>
      <c r="S449">
        <v>127</v>
      </c>
      <c r="T449">
        <f t="shared" si="20"/>
        <v>0</v>
      </c>
    </row>
    <row r="450" spans="1:20" x14ac:dyDescent="0.3">
      <c r="A450" s="1">
        <v>45078</v>
      </c>
      <c r="B450" s="1" t="str">
        <f t="shared" si="18"/>
        <v>Jharkhand_JH-Aggregated_Product_19_45078</v>
      </c>
      <c r="C450" s="2" t="s">
        <v>124</v>
      </c>
      <c r="D450" s="2" t="s">
        <v>125</v>
      </c>
      <c r="E450" s="2" t="s">
        <v>26</v>
      </c>
      <c r="F450" s="2" t="s">
        <v>27</v>
      </c>
      <c r="G450" s="2" t="s">
        <v>28</v>
      </c>
      <c r="H450" s="2" t="s">
        <v>126</v>
      </c>
      <c r="I450" s="2" t="s">
        <v>127</v>
      </c>
      <c r="J450" t="s">
        <v>31</v>
      </c>
      <c r="K450">
        <v>5</v>
      </c>
      <c r="L450" s="3"/>
      <c r="M450" s="3"/>
      <c r="N450" s="3"/>
      <c r="O450" s="3">
        <f t="shared" si="19"/>
        <v>0</v>
      </c>
      <c r="P450">
        <v>84</v>
      </c>
      <c r="Q450">
        <v>240</v>
      </c>
      <c r="R450">
        <v>3</v>
      </c>
      <c r="S450">
        <v>94</v>
      </c>
      <c r="T450">
        <f t="shared" si="20"/>
        <v>-6.6479999999999997</v>
      </c>
    </row>
    <row r="451" spans="1:20" x14ac:dyDescent="0.3">
      <c r="A451" s="1">
        <v>45078</v>
      </c>
      <c r="B451" s="1" t="str">
        <f t="shared" ref="B451:B514" si="21">C451&amp;"_"&amp;A451</f>
        <v>Reliance_Mundka_Product_9_45078</v>
      </c>
      <c r="C451" s="2" t="s">
        <v>145</v>
      </c>
      <c r="D451" s="2" t="s">
        <v>146</v>
      </c>
      <c r="E451" s="2" t="s">
        <v>34</v>
      </c>
      <c r="F451" s="2" t="s">
        <v>51</v>
      </c>
      <c r="G451" s="2" t="s">
        <v>36</v>
      </c>
      <c r="H451" s="2" t="s">
        <v>37</v>
      </c>
      <c r="I451" s="2" t="s">
        <v>71</v>
      </c>
      <c r="J451" t="s">
        <v>31</v>
      </c>
      <c r="K451">
        <v>9</v>
      </c>
      <c r="L451" s="3"/>
      <c r="M451" s="3"/>
      <c r="N451" s="3"/>
      <c r="O451" s="3">
        <f t="shared" ref="O451:O514" si="22">L451</f>
        <v>0</v>
      </c>
      <c r="P451">
        <v>48</v>
      </c>
      <c r="Q451">
        <v>481</v>
      </c>
      <c r="R451">
        <v>0</v>
      </c>
      <c r="S451">
        <v>119</v>
      </c>
      <c r="T451">
        <f t="shared" si="20"/>
        <v>-0.36</v>
      </c>
    </row>
    <row r="452" spans="1:20" x14ac:dyDescent="0.3">
      <c r="A452" s="1">
        <v>45078</v>
      </c>
      <c r="B452" s="1" t="str">
        <f t="shared" si="21"/>
        <v>Zepto_Bangalore_Product_12_45078</v>
      </c>
      <c r="C452" s="2" t="s">
        <v>90</v>
      </c>
      <c r="D452" s="2" t="s">
        <v>91</v>
      </c>
      <c r="E452" s="2" t="s">
        <v>34</v>
      </c>
      <c r="F452" s="2" t="s">
        <v>46</v>
      </c>
      <c r="G452" s="2" t="s">
        <v>79</v>
      </c>
      <c r="H452" s="2" t="s">
        <v>67</v>
      </c>
      <c r="I452" s="2" t="s">
        <v>92</v>
      </c>
      <c r="J452" t="s">
        <v>31</v>
      </c>
      <c r="K452">
        <v>13</v>
      </c>
      <c r="L452" s="3"/>
      <c r="M452" s="3"/>
      <c r="N452" s="3"/>
      <c r="O452" s="3">
        <f t="shared" si="22"/>
        <v>0</v>
      </c>
      <c r="P452">
        <v>383.52</v>
      </c>
      <c r="Q452">
        <v>114</v>
      </c>
      <c r="R452">
        <v>7</v>
      </c>
      <c r="S452">
        <v>94</v>
      </c>
      <c r="T452">
        <f t="shared" ref="T452:T515" si="23">(P452-P451)/100</f>
        <v>3.3552</v>
      </c>
    </row>
    <row r="453" spans="1:20" x14ac:dyDescent="0.3">
      <c r="A453" s="1">
        <v>45078</v>
      </c>
      <c r="B453" s="1" t="str">
        <f t="shared" si="21"/>
        <v>Grofers_Kolkata CFA_Product_20_45078</v>
      </c>
      <c r="C453" s="2" t="s">
        <v>153</v>
      </c>
      <c r="D453" s="2" t="s">
        <v>154</v>
      </c>
      <c r="E453" s="2" t="s">
        <v>34</v>
      </c>
      <c r="F453" s="2" t="s">
        <v>114</v>
      </c>
      <c r="G453" s="2" t="s">
        <v>63</v>
      </c>
      <c r="H453" s="2" t="s">
        <v>47</v>
      </c>
      <c r="I453" s="2" t="s">
        <v>130</v>
      </c>
      <c r="J453" t="s">
        <v>31</v>
      </c>
      <c r="K453">
        <v>3</v>
      </c>
      <c r="L453" s="3"/>
      <c r="M453" s="3"/>
      <c r="N453" s="3"/>
      <c r="O453" s="3">
        <f t="shared" si="22"/>
        <v>0</v>
      </c>
      <c r="P453">
        <v>383.52</v>
      </c>
      <c r="Q453">
        <v>493</v>
      </c>
      <c r="R453">
        <v>1</v>
      </c>
      <c r="S453">
        <v>125</v>
      </c>
      <c r="T453">
        <f t="shared" si="23"/>
        <v>0</v>
      </c>
    </row>
    <row r="454" spans="1:20" x14ac:dyDescent="0.3">
      <c r="A454" s="1">
        <v>45078</v>
      </c>
      <c r="B454" s="1" t="str">
        <f t="shared" si="21"/>
        <v>Reliance_Bangalore_Product_8_45078</v>
      </c>
      <c r="C454" s="2" t="s">
        <v>77</v>
      </c>
      <c r="D454" s="2" t="s">
        <v>78</v>
      </c>
      <c r="E454" s="2" t="s">
        <v>34</v>
      </c>
      <c r="F454" s="2" t="s">
        <v>51</v>
      </c>
      <c r="G454" s="2" t="s">
        <v>79</v>
      </c>
      <c r="H454" s="2" t="s">
        <v>67</v>
      </c>
      <c r="I454" s="2" t="s">
        <v>68</v>
      </c>
      <c r="J454" t="s">
        <v>31</v>
      </c>
      <c r="K454">
        <v>6</v>
      </c>
      <c r="L454" s="3"/>
      <c r="M454" s="3"/>
      <c r="N454" s="3"/>
      <c r="O454" s="3">
        <f t="shared" si="22"/>
        <v>0</v>
      </c>
      <c r="P454">
        <v>672</v>
      </c>
      <c r="Q454">
        <v>322</v>
      </c>
      <c r="R454">
        <v>0</v>
      </c>
      <c r="S454">
        <v>126</v>
      </c>
      <c r="T454">
        <f t="shared" si="23"/>
        <v>2.8848000000000003</v>
      </c>
    </row>
    <row r="455" spans="1:20" x14ac:dyDescent="0.3">
      <c r="A455" s="1">
        <v>45078</v>
      </c>
      <c r="B455" s="1" t="str">
        <f t="shared" si="21"/>
        <v>Jharkhand_JH-Aggregated_Product_15_45078</v>
      </c>
      <c r="C455" s="2" t="s">
        <v>103</v>
      </c>
      <c r="D455" s="2" t="s">
        <v>104</v>
      </c>
      <c r="E455" s="2" t="s">
        <v>26</v>
      </c>
      <c r="F455" s="2" t="s">
        <v>27</v>
      </c>
      <c r="G455" s="2" t="s">
        <v>28</v>
      </c>
      <c r="H455" s="2" t="s">
        <v>105</v>
      </c>
      <c r="I455" s="2" t="s">
        <v>106</v>
      </c>
      <c r="J455" t="s">
        <v>31</v>
      </c>
      <c r="K455">
        <v>1</v>
      </c>
      <c r="L455" s="3"/>
      <c r="M455" s="3"/>
      <c r="N455" s="3"/>
      <c r="O455" s="3">
        <f t="shared" si="22"/>
        <v>0</v>
      </c>
      <c r="P455">
        <v>672</v>
      </c>
      <c r="Q455">
        <v>462</v>
      </c>
      <c r="R455">
        <v>0</v>
      </c>
      <c r="S455">
        <v>143</v>
      </c>
      <c r="T455">
        <f t="shared" si="23"/>
        <v>0</v>
      </c>
    </row>
    <row r="456" spans="1:20" x14ac:dyDescent="0.3">
      <c r="A456" s="1">
        <v>45078</v>
      </c>
      <c r="B456" s="1" t="str">
        <f t="shared" si="21"/>
        <v>Reliance_Kolkata CFA_Product_12_45078</v>
      </c>
      <c r="C456" s="2" t="s">
        <v>101</v>
      </c>
      <c r="D456" s="2" t="s">
        <v>102</v>
      </c>
      <c r="E456" s="2" t="s">
        <v>34</v>
      </c>
      <c r="F456" s="2" t="s">
        <v>51</v>
      </c>
      <c r="G456" s="2" t="s">
        <v>63</v>
      </c>
      <c r="H456" s="2" t="s">
        <v>67</v>
      </c>
      <c r="I456" s="2" t="s">
        <v>92</v>
      </c>
      <c r="J456" t="s">
        <v>31</v>
      </c>
      <c r="K456">
        <v>31</v>
      </c>
      <c r="L456" s="3"/>
      <c r="M456" s="3"/>
      <c r="N456" s="3"/>
      <c r="O456" s="3">
        <f t="shared" si="22"/>
        <v>0</v>
      </c>
      <c r="P456">
        <v>421.92</v>
      </c>
      <c r="Q456">
        <v>457</v>
      </c>
      <c r="R456">
        <v>2</v>
      </c>
      <c r="S456">
        <v>94</v>
      </c>
      <c r="T456">
        <f t="shared" si="23"/>
        <v>-2.5007999999999999</v>
      </c>
    </row>
    <row r="457" spans="1:20" x14ac:dyDescent="0.3">
      <c r="A457" s="1">
        <v>45108</v>
      </c>
      <c r="B457" s="1" t="str">
        <f t="shared" si="21"/>
        <v>Reliance_Mundka_Product_6_45108</v>
      </c>
      <c r="C457" s="2" t="s">
        <v>55</v>
      </c>
      <c r="D457" s="2" t="s">
        <v>56</v>
      </c>
      <c r="E457" s="2" t="s">
        <v>34</v>
      </c>
      <c r="F457" s="2" t="s">
        <v>51</v>
      </c>
      <c r="G457" s="2" t="s">
        <v>36</v>
      </c>
      <c r="H457" s="2" t="s">
        <v>37</v>
      </c>
      <c r="I457" s="2" t="s">
        <v>57</v>
      </c>
      <c r="J457" t="s">
        <v>31</v>
      </c>
      <c r="K457">
        <v>6</v>
      </c>
      <c r="L457" s="4"/>
      <c r="M457" s="3"/>
      <c r="N457" s="3"/>
      <c r="O457" s="3">
        <f t="shared" si="22"/>
        <v>0</v>
      </c>
      <c r="P457">
        <v>421.92</v>
      </c>
      <c r="Q457">
        <v>348</v>
      </c>
      <c r="R457">
        <v>2</v>
      </c>
      <c r="S457">
        <v>135</v>
      </c>
      <c r="T457">
        <f t="shared" si="23"/>
        <v>0</v>
      </c>
    </row>
    <row r="458" spans="1:20" x14ac:dyDescent="0.3">
      <c r="A458" s="1">
        <v>45108</v>
      </c>
      <c r="B458" s="1" t="str">
        <f t="shared" si="21"/>
        <v>Reliance_Bangalore_Product_3_45108</v>
      </c>
      <c r="C458" s="2" t="s">
        <v>80</v>
      </c>
      <c r="D458" s="2" t="s">
        <v>81</v>
      </c>
      <c r="E458" s="2" t="s">
        <v>34</v>
      </c>
      <c r="F458" s="2" t="s">
        <v>51</v>
      </c>
      <c r="G458" s="2" t="s">
        <v>79</v>
      </c>
      <c r="H458" s="2" t="s">
        <v>37</v>
      </c>
      <c r="I458" s="2" t="s">
        <v>43</v>
      </c>
      <c r="J458" t="s">
        <v>31</v>
      </c>
      <c r="K458">
        <v>11</v>
      </c>
      <c r="L458" s="3"/>
      <c r="M458" s="3"/>
      <c r="N458" s="3"/>
      <c r="O458" s="3">
        <f t="shared" si="22"/>
        <v>0</v>
      </c>
      <c r="P458">
        <v>748.8</v>
      </c>
      <c r="Q458">
        <v>394</v>
      </c>
      <c r="R458">
        <v>1</v>
      </c>
      <c r="S458">
        <v>127</v>
      </c>
      <c r="T458">
        <f t="shared" si="23"/>
        <v>3.2687999999999993</v>
      </c>
    </row>
    <row r="459" spans="1:20" x14ac:dyDescent="0.3">
      <c r="A459" s="1">
        <v>45108</v>
      </c>
      <c r="B459" s="1" t="str">
        <f t="shared" si="21"/>
        <v>Jharkhand_JH-Aggregated_Product_1_45108</v>
      </c>
      <c r="C459" s="2" t="s">
        <v>24</v>
      </c>
      <c r="D459" s="2" t="s">
        <v>25</v>
      </c>
      <c r="E459" s="2" t="s">
        <v>26</v>
      </c>
      <c r="F459" s="2" t="s">
        <v>27</v>
      </c>
      <c r="G459" s="2" t="s">
        <v>28</v>
      </c>
      <c r="H459" s="2" t="s">
        <v>29</v>
      </c>
      <c r="I459" s="2" t="s">
        <v>30</v>
      </c>
      <c r="J459" t="s">
        <v>31</v>
      </c>
      <c r="K459">
        <v>2</v>
      </c>
      <c r="L459" s="3"/>
      <c r="M459" s="3"/>
      <c r="N459" s="3"/>
      <c r="O459" s="3">
        <f t="shared" si="22"/>
        <v>0</v>
      </c>
      <c r="P459">
        <v>748.8</v>
      </c>
      <c r="Q459">
        <v>192</v>
      </c>
      <c r="R459">
        <v>8</v>
      </c>
      <c r="S459">
        <v>111</v>
      </c>
      <c r="T459">
        <f t="shared" si="23"/>
        <v>0</v>
      </c>
    </row>
    <row r="460" spans="1:20" x14ac:dyDescent="0.3">
      <c r="A460" s="1">
        <v>45108</v>
      </c>
      <c r="B460" s="1" t="str">
        <f t="shared" si="21"/>
        <v>Reliance_Ahmedabad_Product_9_45108</v>
      </c>
      <c r="C460" s="2" t="s">
        <v>151</v>
      </c>
      <c r="D460" s="2" t="s">
        <v>152</v>
      </c>
      <c r="E460" s="2" t="s">
        <v>34</v>
      </c>
      <c r="F460" s="2" t="s">
        <v>51</v>
      </c>
      <c r="G460" s="2" t="s">
        <v>52</v>
      </c>
      <c r="H460" s="2" t="s">
        <v>37</v>
      </c>
      <c r="I460" s="2" t="s">
        <v>71</v>
      </c>
      <c r="J460" t="s">
        <v>31</v>
      </c>
      <c r="K460">
        <v>18</v>
      </c>
      <c r="L460" s="3"/>
      <c r="M460" s="3"/>
      <c r="N460" s="3"/>
      <c r="O460" s="3">
        <f t="shared" si="22"/>
        <v>0</v>
      </c>
      <c r="P460">
        <v>84</v>
      </c>
      <c r="Q460">
        <v>412</v>
      </c>
      <c r="R460">
        <v>8</v>
      </c>
      <c r="S460">
        <v>119</v>
      </c>
      <c r="T460">
        <f t="shared" si="23"/>
        <v>-6.6479999999999997</v>
      </c>
    </row>
    <row r="461" spans="1:20" x14ac:dyDescent="0.3">
      <c r="A461" s="1">
        <v>45108</v>
      </c>
      <c r="B461" s="1" t="str">
        <f t="shared" si="21"/>
        <v>Jharkhand_JH-Aggregated_Product_19_45108</v>
      </c>
      <c r="C461" s="2" t="s">
        <v>124</v>
      </c>
      <c r="D461" s="2" t="s">
        <v>125</v>
      </c>
      <c r="E461" s="2" t="s">
        <v>26</v>
      </c>
      <c r="F461" s="2" t="s">
        <v>27</v>
      </c>
      <c r="G461" s="2" t="s">
        <v>28</v>
      </c>
      <c r="H461" s="2" t="s">
        <v>126</v>
      </c>
      <c r="I461" s="2" t="s">
        <v>127</v>
      </c>
      <c r="J461" t="s">
        <v>31</v>
      </c>
      <c r="K461">
        <v>41</v>
      </c>
      <c r="L461" s="3"/>
      <c r="M461" s="3"/>
      <c r="N461" s="3"/>
      <c r="O461" s="3">
        <f t="shared" si="22"/>
        <v>0</v>
      </c>
      <c r="P461">
        <v>48</v>
      </c>
      <c r="Q461">
        <v>358</v>
      </c>
      <c r="R461">
        <v>5</v>
      </c>
      <c r="S461">
        <v>94</v>
      </c>
      <c r="T461">
        <f t="shared" si="23"/>
        <v>-0.36</v>
      </c>
    </row>
    <row r="462" spans="1:20" x14ac:dyDescent="0.3">
      <c r="A462" s="1">
        <v>45108</v>
      </c>
      <c r="B462" s="1" t="str">
        <f t="shared" si="21"/>
        <v>Reliance_Ahmedabad_Product_18_45108</v>
      </c>
      <c r="C462" s="2" t="s">
        <v>121</v>
      </c>
      <c r="D462" s="2" t="s">
        <v>122</v>
      </c>
      <c r="E462" s="2" t="s">
        <v>34</v>
      </c>
      <c r="F462" s="2" t="s">
        <v>51</v>
      </c>
      <c r="G462" s="2" t="s">
        <v>52</v>
      </c>
      <c r="H462" s="2" t="s">
        <v>29</v>
      </c>
      <c r="I462" s="2" t="s">
        <v>123</v>
      </c>
      <c r="J462" t="s">
        <v>31</v>
      </c>
      <c r="K462">
        <v>30</v>
      </c>
      <c r="L462" s="3"/>
      <c r="M462" s="3"/>
      <c r="N462" s="3"/>
      <c r="O462" s="3">
        <f t="shared" si="22"/>
        <v>0</v>
      </c>
      <c r="P462">
        <v>383.52</v>
      </c>
      <c r="Q462">
        <v>241</v>
      </c>
      <c r="R462">
        <v>0</v>
      </c>
      <c r="S462">
        <v>129</v>
      </c>
      <c r="T462">
        <f t="shared" si="23"/>
        <v>3.3552</v>
      </c>
    </row>
    <row r="463" spans="1:20" x14ac:dyDescent="0.3">
      <c r="A463" s="1">
        <v>45108</v>
      </c>
      <c r="B463" s="1" t="str">
        <f t="shared" si="21"/>
        <v>Swiggy_Kolkata CFA_Product_20_45108</v>
      </c>
      <c r="C463" s="2" t="s">
        <v>128</v>
      </c>
      <c r="D463" s="2" t="s">
        <v>129</v>
      </c>
      <c r="E463" s="2" t="s">
        <v>34</v>
      </c>
      <c r="F463" s="2" t="s">
        <v>35</v>
      </c>
      <c r="G463" s="2" t="s">
        <v>63</v>
      </c>
      <c r="H463" s="2" t="s">
        <v>47</v>
      </c>
      <c r="I463" s="2" t="s">
        <v>130</v>
      </c>
      <c r="J463" t="s">
        <v>31</v>
      </c>
      <c r="K463">
        <v>6</v>
      </c>
      <c r="L463" s="3"/>
      <c r="M463" s="3"/>
      <c r="N463" s="3"/>
      <c r="O463" s="3">
        <f t="shared" si="22"/>
        <v>0</v>
      </c>
      <c r="P463">
        <v>383.52</v>
      </c>
      <c r="Q463">
        <v>118</v>
      </c>
      <c r="R463">
        <v>0</v>
      </c>
      <c r="S463">
        <v>125</v>
      </c>
      <c r="T463">
        <f t="shared" si="23"/>
        <v>0</v>
      </c>
    </row>
    <row r="464" spans="1:20" x14ac:dyDescent="0.3">
      <c r="A464" s="1">
        <v>45108</v>
      </c>
      <c r="B464" s="1" t="str">
        <f t="shared" si="21"/>
        <v>Reliance_Bangalore_Product_8_45108</v>
      </c>
      <c r="C464" s="2" t="s">
        <v>77</v>
      </c>
      <c r="D464" s="2" t="s">
        <v>78</v>
      </c>
      <c r="E464" s="2" t="s">
        <v>34</v>
      </c>
      <c r="F464" s="2" t="s">
        <v>51</v>
      </c>
      <c r="G464" s="2" t="s">
        <v>79</v>
      </c>
      <c r="H464" s="2" t="s">
        <v>67</v>
      </c>
      <c r="I464" s="2" t="s">
        <v>68</v>
      </c>
      <c r="J464" t="s">
        <v>31</v>
      </c>
      <c r="K464">
        <v>12</v>
      </c>
      <c r="L464" s="3"/>
      <c r="M464" s="3"/>
      <c r="N464" s="3"/>
      <c r="O464" s="3">
        <f t="shared" si="22"/>
        <v>0</v>
      </c>
      <c r="P464">
        <v>672</v>
      </c>
      <c r="Q464">
        <v>437</v>
      </c>
      <c r="R464">
        <v>5</v>
      </c>
      <c r="S464">
        <v>126</v>
      </c>
      <c r="T464">
        <f t="shared" si="23"/>
        <v>2.8848000000000003</v>
      </c>
    </row>
    <row r="465" spans="1:20" x14ac:dyDescent="0.3">
      <c r="A465" s="1">
        <v>45108</v>
      </c>
      <c r="B465" s="1" t="str">
        <f t="shared" si="21"/>
        <v>Reliance_Bhiwandi_Product_10_45108</v>
      </c>
      <c r="C465" s="2" t="s">
        <v>85</v>
      </c>
      <c r="D465" s="2" t="s">
        <v>86</v>
      </c>
      <c r="E465" s="2" t="s">
        <v>34</v>
      </c>
      <c r="F465" s="2" t="s">
        <v>51</v>
      </c>
      <c r="G465" s="2" t="s">
        <v>66</v>
      </c>
      <c r="H465" s="2" t="s">
        <v>67</v>
      </c>
      <c r="I465" s="2" t="s">
        <v>76</v>
      </c>
      <c r="J465" t="s">
        <v>31</v>
      </c>
      <c r="K465">
        <v>2</v>
      </c>
      <c r="L465" s="3"/>
      <c r="M465" s="3"/>
      <c r="N465" s="3"/>
      <c r="O465" s="3">
        <f t="shared" si="22"/>
        <v>0</v>
      </c>
      <c r="P465">
        <v>672</v>
      </c>
      <c r="Q465">
        <v>216</v>
      </c>
      <c r="R465">
        <v>0</v>
      </c>
      <c r="S465">
        <v>106</v>
      </c>
      <c r="T465">
        <f t="shared" si="23"/>
        <v>0</v>
      </c>
    </row>
    <row r="466" spans="1:20" x14ac:dyDescent="0.3">
      <c r="A466" s="1">
        <v>45108</v>
      </c>
      <c r="B466" s="1" t="str">
        <f t="shared" si="21"/>
        <v>Reliance_Mundka_Product_9_45108</v>
      </c>
      <c r="C466" s="2" t="s">
        <v>145</v>
      </c>
      <c r="D466" s="2" t="s">
        <v>146</v>
      </c>
      <c r="E466" s="2" t="s">
        <v>34</v>
      </c>
      <c r="F466" s="2" t="s">
        <v>51</v>
      </c>
      <c r="G466" s="2" t="s">
        <v>36</v>
      </c>
      <c r="H466" s="2" t="s">
        <v>37</v>
      </c>
      <c r="I466" s="2" t="s">
        <v>71</v>
      </c>
      <c r="J466" t="s">
        <v>31</v>
      </c>
      <c r="K466">
        <v>70</v>
      </c>
      <c r="L466" s="3"/>
      <c r="M466" s="3"/>
      <c r="N466" s="3"/>
      <c r="O466" s="3">
        <f t="shared" si="22"/>
        <v>0</v>
      </c>
      <c r="P466">
        <v>421.92</v>
      </c>
      <c r="Q466">
        <v>159</v>
      </c>
      <c r="R466">
        <v>0</v>
      </c>
      <c r="S466">
        <v>119</v>
      </c>
      <c r="T466">
        <f t="shared" si="23"/>
        <v>-2.5007999999999999</v>
      </c>
    </row>
    <row r="467" spans="1:20" x14ac:dyDescent="0.3">
      <c r="A467" s="1">
        <v>45108</v>
      </c>
      <c r="B467" s="1" t="str">
        <f t="shared" si="21"/>
        <v>Swiggy_Bangalore_Product_16_45108</v>
      </c>
      <c r="C467" s="2" t="s">
        <v>107</v>
      </c>
      <c r="D467" s="2" t="s">
        <v>108</v>
      </c>
      <c r="E467" s="2" t="s">
        <v>34</v>
      </c>
      <c r="F467" s="2" t="s">
        <v>35</v>
      </c>
      <c r="G467" s="2" t="s">
        <v>79</v>
      </c>
      <c r="H467" s="2" t="s">
        <v>47</v>
      </c>
      <c r="I467" s="2" t="s">
        <v>109</v>
      </c>
      <c r="J467" t="s">
        <v>31</v>
      </c>
      <c r="K467">
        <v>12</v>
      </c>
      <c r="L467" s="3"/>
      <c r="M467" s="3"/>
      <c r="N467" s="3"/>
      <c r="O467" s="3">
        <f t="shared" si="22"/>
        <v>0</v>
      </c>
      <c r="P467">
        <v>421.92</v>
      </c>
      <c r="Q467">
        <v>126</v>
      </c>
      <c r="R467">
        <v>14</v>
      </c>
      <c r="S467">
        <v>122</v>
      </c>
      <c r="T467">
        <f t="shared" si="23"/>
        <v>0</v>
      </c>
    </row>
    <row r="468" spans="1:20" x14ac:dyDescent="0.3">
      <c r="A468" s="1">
        <v>45108</v>
      </c>
      <c r="B468" s="1" t="str">
        <f t="shared" si="21"/>
        <v>Reliance_Mundka_Product_7_45108</v>
      </c>
      <c r="C468" s="2" t="s">
        <v>58</v>
      </c>
      <c r="D468" s="2" t="s">
        <v>59</v>
      </c>
      <c r="E468" s="2" t="s">
        <v>34</v>
      </c>
      <c r="F468" s="2" t="s">
        <v>51</v>
      </c>
      <c r="G468" s="2" t="s">
        <v>36</v>
      </c>
      <c r="H468" s="2" t="s">
        <v>37</v>
      </c>
      <c r="I468" s="2" t="s">
        <v>60</v>
      </c>
      <c r="J468" t="s">
        <v>31</v>
      </c>
      <c r="K468">
        <v>23</v>
      </c>
      <c r="L468" s="3"/>
      <c r="M468" s="3"/>
      <c r="N468" s="3"/>
      <c r="O468" s="3">
        <f t="shared" si="22"/>
        <v>0</v>
      </c>
      <c r="P468">
        <v>748.8</v>
      </c>
      <c r="Q468">
        <v>291</v>
      </c>
      <c r="R468">
        <v>0</v>
      </c>
      <c r="S468">
        <v>117</v>
      </c>
      <c r="T468">
        <f t="shared" si="23"/>
        <v>3.2687999999999993</v>
      </c>
    </row>
    <row r="469" spans="1:20" x14ac:dyDescent="0.3">
      <c r="A469" s="1">
        <v>45108</v>
      </c>
      <c r="B469" s="1" t="str">
        <f t="shared" si="21"/>
        <v>Reliance_Chennai_Product_11_45108</v>
      </c>
      <c r="C469" s="2" t="s">
        <v>110</v>
      </c>
      <c r="D469" s="2" t="s">
        <v>111</v>
      </c>
      <c r="E469" s="2" t="s">
        <v>34</v>
      </c>
      <c r="F469" s="2" t="s">
        <v>51</v>
      </c>
      <c r="G469" s="2" t="s">
        <v>84</v>
      </c>
      <c r="H469" s="2" t="s">
        <v>67</v>
      </c>
      <c r="I469" s="2" t="s">
        <v>89</v>
      </c>
      <c r="J469" t="s">
        <v>31</v>
      </c>
      <c r="K469">
        <v>4</v>
      </c>
      <c r="L469" s="3"/>
      <c r="M469" s="3"/>
      <c r="N469" s="3"/>
      <c r="O469" s="3">
        <f t="shared" si="22"/>
        <v>0</v>
      </c>
      <c r="P469">
        <v>748.8</v>
      </c>
      <c r="Q469">
        <v>285</v>
      </c>
      <c r="R469">
        <v>0</v>
      </c>
      <c r="S469">
        <v>131</v>
      </c>
      <c r="T469">
        <f t="shared" si="23"/>
        <v>0</v>
      </c>
    </row>
    <row r="470" spans="1:20" x14ac:dyDescent="0.3">
      <c r="A470" s="1">
        <v>45108</v>
      </c>
      <c r="B470" s="1" t="str">
        <f t="shared" si="21"/>
        <v>Swiggy_Mundka_Product_14_45108</v>
      </c>
      <c r="C470" s="2" t="s">
        <v>96</v>
      </c>
      <c r="D470" s="2" t="s">
        <v>97</v>
      </c>
      <c r="E470" s="2" t="s">
        <v>34</v>
      </c>
      <c r="F470" s="2" t="s">
        <v>35</v>
      </c>
      <c r="G470" s="2" t="s">
        <v>36</v>
      </c>
      <c r="H470" s="2" t="s">
        <v>47</v>
      </c>
      <c r="I470" s="2" t="s">
        <v>98</v>
      </c>
      <c r="J470" t="s">
        <v>31</v>
      </c>
      <c r="K470">
        <v>41</v>
      </c>
      <c r="L470" s="3"/>
      <c r="M470" s="3"/>
      <c r="N470" s="3"/>
      <c r="O470" s="3">
        <f t="shared" si="22"/>
        <v>0</v>
      </c>
      <c r="P470">
        <v>84</v>
      </c>
      <c r="Q470">
        <v>462</v>
      </c>
      <c r="R470">
        <v>0</v>
      </c>
      <c r="S470">
        <v>97</v>
      </c>
      <c r="T470">
        <f t="shared" si="23"/>
        <v>-6.6479999999999997</v>
      </c>
    </row>
    <row r="471" spans="1:20" x14ac:dyDescent="0.3">
      <c r="A471" s="1">
        <v>45108</v>
      </c>
      <c r="B471" s="1" t="str">
        <f t="shared" si="21"/>
        <v>Maharashtra_MH-Aggregated_Product_22_45108</v>
      </c>
      <c r="C471" s="2" t="s">
        <v>138</v>
      </c>
      <c r="D471" s="2" t="s">
        <v>139</v>
      </c>
      <c r="E471" s="2" t="s">
        <v>26</v>
      </c>
      <c r="F471" s="2" t="s">
        <v>41</v>
      </c>
      <c r="G471" s="2" t="s">
        <v>42</v>
      </c>
      <c r="H471" s="2" t="s">
        <v>140</v>
      </c>
      <c r="I471" s="2" t="s">
        <v>141</v>
      </c>
      <c r="J471" t="s">
        <v>31</v>
      </c>
      <c r="K471">
        <v>94</v>
      </c>
      <c r="L471" s="3"/>
      <c r="M471" s="3"/>
      <c r="N471" s="3"/>
      <c r="O471" s="3">
        <f t="shared" si="22"/>
        <v>0</v>
      </c>
      <c r="P471">
        <v>48</v>
      </c>
      <c r="Q471">
        <v>189</v>
      </c>
      <c r="R471">
        <v>5</v>
      </c>
      <c r="S471">
        <v>126</v>
      </c>
      <c r="T471">
        <f t="shared" si="23"/>
        <v>-0.36</v>
      </c>
    </row>
    <row r="472" spans="1:20" x14ac:dyDescent="0.3">
      <c r="A472" s="1">
        <v>45108</v>
      </c>
      <c r="B472" s="1" t="str">
        <f t="shared" si="21"/>
        <v>Grofers_Ahmedabad_Product_9_45108</v>
      </c>
      <c r="C472" s="2" t="s">
        <v>112</v>
      </c>
      <c r="D472" s="2" t="s">
        <v>113</v>
      </c>
      <c r="E472" s="2" t="s">
        <v>34</v>
      </c>
      <c r="F472" s="2" t="s">
        <v>114</v>
      </c>
      <c r="G472" s="2" t="s">
        <v>52</v>
      </c>
      <c r="H472" s="2" t="s">
        <v>37</v>
      </c>
      <c r="I472" s="2" t="s">
        <v>71</v>
      </c>
      <c r="J472" t="s">
        <v>31</v>
      </c>
      <c r="K472">
        <v>3</v>
      </c>
      <c r="L472" s="3"/>
      <c r="M472" s="3"/>
      <c r="N472" s="3"/>
      <c r="O472" s="3">
        <f t="shared" si="22"/>
        <v>0</v>
      </c>
      <c r="P472">
        <v>383.52</v>
      </c>
      <c r="Q472">
        <v>188</v>
      </c>
      <c r="R472">
        <v>0</v>
      </c>
      <c r="S472">
        <v>119</v>
      </c>
      <c r="T472">
        <f t="shared" si="23"/>
        <v>3.3552</v>
      </c>
    </row>
    <row r="473" spans="1:20" x14ac:dyDescent="0.3">
      <c r="A473" s="1">
        <v>45108</v>
      </c>
      <c r="B473" s="1" t="str">
        <f t="shared" si="21"/>
        <v>Grofers_Mundka_Product_21_45108</v>
      </c>
      <c r="C473" s="2" t="s">
        <v>131</v>
      </c>
      <c r="D473" s="2" t="s">
        <v>132</v>
      </c>
      <c r="E473" s="2" t="s">
        <v>34</v>
      </c>
      <c r="F473" s="2" t="s">
        <v>114</v>
      </c>
      <c r="G473" s="2" t="s">
        <v>36</v>
      </c>
      <c r="H473" s="2" t="s">
        <v>133</v>
      </c>
      <c r="I473" s="2" t="s">
        <v>134</v>
      </c>
      <c r="J473" t="s">
        <v>31</v>
      </c>
      <c r="K473">
        <v>1</v>
      </c>
      <c r="L473" s="3"/>
      <c r="M473" s="3"/>
      <c r="N473" s="3"/>
      <c r="O473" s="3">
        <f t="shared" si="22"/>
        <v>0</v>
      </c>
      <c r="P473">
        <v>383.52</v>
      </c>
      <c r="Q473">
        <v>229</v>
      </c>
      <c r="R473">
        <v>9</v>
      </c>
      <c r="S473">
        <v>115</v>
      </c>
      <c r="T473">
        <f t="shared" si="23"/>
        <v>0</v>
      </c>
    </row>
    <row r="474" spans="1:20" x14ac:dyDescent="0.3">
      <c r="A474" s="1">
        <v>45108</v>
      </c>
      <c r="B474" s="1" t="str">
        <f t="shared" si="21"/>
        <v>Reliance_Bangalore_Product_13_45108</v>
      </c>
      <c r="C474" s="2" t="s">
        <v>93</v>
      </c>
      <c r="D474" s="2" t="s">
        <v>94</v>
      </c>
      <c r="E474" s="2" t="s">
        <v>34</v>
      </c>
      <c r="F474" s="2" t="s">
        <v>51</v>
      </c>
      <c r="G474" s="2" t="s">
        <v>79</v>
      </c>
      <c r="H474" s="2" t="s">
        <v>67</v>
      </c>
      <c r="I474" s="2" t="s">
        <v>95</v>
      </c>
      <c r="J474" t="s">
        <v>31</v>
      </c>
      <c r="K474">
        <v>2</v>
      </c>
      <c r="L474" s="3"/>
      <c r="M474" s="3"/>
      <c r="N474" s="3"/>
      <c r="O474" s="3">
        <f t="shared" si="22"/>
        <v>0</v>
      </c>
      <c r="P474">
        <v>672</v>
      </c>
      <c r="Q474">
        <v>493</v>
      </c>
      <c r="R474">
        <v>0</v>
      </c>
      <c r="S474">
        <v>113</v>
      </c>
      <c r="T474">
        <f t="shared" si="23"/>
        <v>2.8848000000000003</v>
      </c>
    </row>
    <row r="475" spans="1:20" x14ac:dyDescent="0.3">
      <c r="A475" s="1">
        <v>45108</v>
      </c>
      <c r="B475" s="1" t="str">
        <f t="shared" si="21"/>
        <v>Swiggy_Kolkata CFA_Product_11_45108</v>
      </c>
      <c r="C475" s="2" t="s">
        <v>119</v>
      </c>
      <c r="D475" s="2" t="s">
        <v>120</v>
      </c>
      <c r="E475" s="2" t="s">
        <v>34</v>
      </c>
      <c r="F475" s="2" t="s">
        <v>35</v>
      </c>
      <c r="G475" s="2" t="s">
        <v>63</v>
      </c>
      <c r="H475" s="2" t="s">
        <v>67</v>
      </c>
      <c r="I475" s="2" t="s">
        <v>89</v>
      </c>
      <c r="J475" t="s">
        <v>31</v>
      </c>
      <c r="K475">
        <v>1</v>
      </c>
      <c r="L475" s="3"/>
      <c r="M475" s="3"/>
      <c r="N475" s="3"/>
      <c r="O475" s="3">
        <f t="shared" si="22"/>
        <v>0</v>
      </c>
      <c r="P475">
        <v>672</v>
      </c>
      <c r="Q475">
        <v>276</v>
      </c>
      <c r="R475">
        <v>1</v>
      </c>
      <c r="S475">
        <v>131</v>
      </c>
      <c r="T475">
        <f t="shared" si="23"/>
        <v>0</v>
      </c>
    </row>
    <row r="476" spans="1:20" x14ac:dyDescent="0.3">
      <c r="A476" s="1">
        <v>45108</v>
      </c>
      <c r="B476" s="1" t="str">
        <f t="shared" si="21"/>
        <v>Reliance_Bhiwandi_Product_11_45108</v>
      </c>
      <c r="C476" s="2" t="s">
        <v>87</v>
      </c>
      <c r="D476" s="2" t="s">
        <v>88</v>
      </c>
      <c r="E476" s="2" t="s">
        <v>34</v>
      </c>
      <c r="F476" s="2" t="s">
        <v>51</v>
      </c>
      <c r="G476" s="2" t="s">
        <v>66</v>
      </c>
      <c r="H476" s="2" t="s">
        <v>67</v>
      </c>
      <c r="I476" s="2" t="s">
        <v>89</v>
      </c>
      <c r="J476" t="s">
        <v>31</v>
      </c>
      <c r="K476">
        <v>4</v>
      </c>
      <c r="L476" s="3"/>
      <c r="M476" s="3"/>
      <c r="N476" s="3"/>
      <c r="O476" s="3">
        <f t="shared" si="22"/>
        <v>0</v>
      </c>
      <c r="P476">
        <v>421.92</v>
      </c>
      <c r="Q476">
        <v>183</v>
      </c>
      <c r="R476">
        <v>0</v>
      </c>
      <c r="S476">
        <v>131</v>
      </c>
      <c r="T476">
        <f t="shared" si="23"/>
        <v>-2.5007999999999999</v>
      </c>
    </row>
    <row r="477" spans="1:20" x14ac:dyDescent="0.3">
      <c r="A477" s="1">
        <v>45108</v>
      </c>
      <c r="B477" s="1" t="str">
        <f t="shared" si="21"/>
        <v>Reliance_Bhiwandi_Product_8_45108</v>
      </c>
      <c r="C477" s="2" t="s">
        <v>64</v>
      </c>
      <c r="D477" s="2" t="s">
        <v>65</v>
      </c>
      <c r="E477" s="2" t="s">
        <v>34</v>
      </c>
      <c r="F477" s="2" t="s">
        <v>51</v>
      </c>
      <c r="G477" s="2" t="s">
        <v>66</v>
      </c>
      <c r="H477" s="2" t="s">
        <v>67</v>
      </c>
      <c r="I477" s="2" t="s">
        <v>68</v>
      </c>
      <c r="J477" t="s">
        <v>31</v>
      </c>
      <c r="K477">
        <v>2</v>
      </c>
      <c r="L477" s="3"/>
      <c r="M477" s="3"/>
      <c r="N477" s="3"/>
      <c r="O477" s="3">
        <f t="shared" si="22"/>
        <v>0</v>
      </c>
      <c r="P477">
        <v>421.92</v>
      </c>
      <c r="Q477">
        <v>300</v>
      </c>
      <c r="R477">
        <v>1</v>
      </c>
      <c r="S477">
        <v>126</v>
      </c>
      <c r="T477">
        <f t="shared" si="23"/>
        <v>0</v>
      </c>
    </row>
    <row r="478" spans="1:20" x14ac:dyDescent="0.3">
      <c r="A478" s="1">
        <v>45108</v>
      </c>
      <c r="B478" s="1" t="str">
        <f t="shared" si="21"/>
        <v>Reliance_Ahmedabad_Product_5_45108</v>
      </c>
      <c r="C478" s="2" t="s">
        <v>49</v>
      </c>
      <c r="D478" s="2" t="s">
        <v>50</v>
      </c>
      <c r="E478" s="2" t="s">
        <v>34</v>
      </c>
      <c r="F478" s="2" t="s">
        <v>51</v>
      </c>
      <c r="G478" s="2" t="s">
        <v>52</v>
      </c>
      <c r="H478" s="2" t="s">
        <v>53</v>
      </c>
      <c r="I478" s="2" t="s">
        <v>54</v>
      </c>
      <c r="J478" t="s">
        <v>31</v>
      </c>
      <c r="K478">
        <v>3</v>
      </c>
      <c r="L478" s="3"/>
      <c r="M478" s="3"/>
      <c r="N478" s="3"/>
      <c r="O478" s="3">
        <f t="shared" si="22"/>
        <v>0</v>
      </c>
      <c r="P478">
        <v>748.8</v>
      </c>
      <c r="Q478">
        <v>164</v>
      </c>
      <c r="R478">
        <v>3</v>
      </c>
      <c r="S478">
        <v>132</v>
      </c>
      <c r="T478">
        <f t="shared" si="23"/>
        <v>3.2687999999999993</v>
      </c>
    </row>
    <row r="479" spans="1:20" x14ac:dyDescent="0.3">
      <c r="A479" s="1">
        <v>45108</v>
      </c>
      <c r="B479" s="1" t="str">
        <f t="shared" si="21"/>
        <v>Swiggy_Kolkata CFA_Product_3_45108</v>
      </c>
      <c r="C479" s="2" t="s">
        <v>61</v>
      </c>
      <c r="D479" s="2" t="s">
        <v>62</v>
      </c>
      <c r="E479" s="2" t="s">
        <v>34</v>
      </c>
      <c r="F479" s="2" t="s">
        <v>35</v>
      </c>
      <c r="G479" s="2" t="s">
        <v>63</v>
      </c>
      <c r="H479" s="2" t="s">
        <v>37</v>
      </c>
      <c r="I479" s="2" t="s">
        <v>43</v>
      </c>
      <c r="J479" t="s">
        <v>31</v>
      </c>
      <c r="K479">
        <v>2</v>
      </c>
      <c r="L479" s="3"/>
      <c r="M479" s="3"/>
      <c r="N479" s="3"/>
      <c r="O479" s="3">
        <f t="shared" si="22"/>
        <v>0</v>
      </c>
      <c r="P479">
        <v>748.8</v>
      </c>
      <c r="Q479">
        <v>286</v>
      </c>
      <c r="R479">
        <v>0</v>
      </c>
      <c r="S479">
        <v>127</v>
      </c>
      <c r="T479">
        <f t="shared" si="23"/>
        <v>0</v>
      </c>
    </row>
    <row r="480" spans="1:20" x14ac:dyDescent="0.3">
      <c r="A480" s="1">
        <v>45108</v>
      </c>
      <c r="B480" s="1" t="str">
        <f t="shared" si="21"/>
        <v>Maharashtra_MH-Aggregated_Product_23_45108</v>
      </c>
      <c r="C480" s="2" t="s">
        <v>142</v>
      </c>
      <c r="D480" s="2" t="s">
        <v>143</v>
      </c>
      <c r="E480" s="2" t="s">
        <v>26</v>
      </c>
      <c r="F480" s="2" t="s">
        <v>41</v>
      </c>
      <c r="G480" s="2" t="s">
        <v>42</v>
      </c>
      <c r="H480" s="2" t="s">
        <v>140</v>
      </c>
      <c r="I480" s="2" t="s">
        <v>144</v>
      </c>
      <c r="J480" t="s">
        <v>31</v>
      </c>
      <c r="K480">
        <v>3</v>
      </c>
      <c r="L480" s="3"/>
      <c r="M480" s="3"/>
      <c r="N480" s="3"/>
      <c r="O480" s="3">
        <f t="shared" si="22"/>
        <v>0</v>
      </c>
      <c r="P480">
        <v>84</v>
      </c>
      <c r="Q480">
        <v>271</v>
      </c>
      <c r="R480">
        <v>3</v>
      </c>
      <c r="S480">
        <v>144</v>
      </c>
      <c r="T480">
        <f t="shared" si="23"/>
        <v>-6.6479999999999997</v>
      </c>
    </row>
    <row r="481" spans="1:20" x14ac:dyDescent="0.3">
      <c r="A481" s="1">
        <v>45108</v>
      </c>
      <c r="B481" s="1" t="str">
        <f t="shared" si="21"/>
        <v>Swiggy_Mundka_Product_2_45108</v>
      </c>
      <c r="C481" s="2" t="s">
        <v>32</v>
      </c>
      <c r="D481" s="2" t="s">
        <v>33</v>
      </c>
      <c r="E481" s="2" t="s">
        <v>34</v>
      </c>
      <c r="F481" s="2" t="s">
        <v>35</v>
      </c>
      <c r="G481" s="2" t="s">
        <v>36</v>
      </c>
      <c r="H481" s="2" t="s">
        <v>37</v>
      </c>
      <c r="I481" s="2" t="s">
        <v>38</v>
      </c>
      <c r="J481" t="s">
        <v>31</v>
      </c>
      <c r="K481">
        <v>5</v>
      </c>
      <c r="L481" s="3"/>
      <c r="M481" s="3"/>
      <c r="N481" s="3"/>
      <c r="O481" s="3">
        <f t="shared" si="22"/>
        <v>0</v>
      </c>
      <c r="P481">
        <v>48</v>
      </c>
      <c r="Q481">
        <v>350</v>
      </c>
      <c r="R481">
        <v>0</v>
      </c>
      <c r="S481">
        <v>134</v>
      </c>
      <c r="T481">
        <f t="shared" si="23"/>
        <v>-0.36</v>
      </c>
    </row>
    <row r="482" spans="1:20" x14ac:dyDescent="0.3">
      <c r="A482" s="1">
        <v>45108</v>
      </c>
      <c r="B482" s="1" t="str">
        <f t="shared" si="21"/>
        <v>Grofers_Hyderabad_Product_21_45108</v>
      </c>
      <c r="C482" s="2" t="s">
        <v>135</v>
      </c>
      <c r="D482" s="2" t="s">
        <v>136</v>
      </c>
      <c r="E482" s="2" t="s">
        <v>34</v>
      </c>
      <c r="F482" s="2" t="s">
        <v>114</v>
      </c>
      <c r="G482" s="2" t="s">
        <v>137</v>
      </c>
      <c r="H482" s="2" t="s">
        <v>133</v>
      </c>
      <c r="I482" s="2" t="s">
        <v>134</v>
      </c>
      <c r="J482" t="s">
        <v>31</v>
      </c>
      <c r="K482">
        <v>8</v>
      </c>
      <c r="L482" s="3"/>
      <c r="M482" s="3"/>
      <c r="N482" s="3"/>
      <c r="O482" s="3">
        <f t="shared" si="22"/>
        <v>0</v>
      </c>
      <c r="P482">
        <v>383.52</v>
      </c>
      <c r="Q482">
        <v>459</v>
      </c>
      <c r="R482">
        <v>0</v>
      </c>
      <c r="S482">
        <v>115</v>
      </c>
      <c r="T482">
        <f t="shared" si="23"/>
        <v>3.3552</v>
      </c>
    </row>
    <row r="483" spans="1:20" x14ac:dyDescent="0.3">
      <c r="A483" s="1">
        <v>45108</v>
      </c>
      <c r="B483" s="1" t="str">
        <f t="shared" si="21"/>
        <v>Grofers_Kolkata CFA_Product_20_45108</v>
      </c>
      <c r="C483" s="2" t="s">
        <v>153</v>
      </c>
      <c r="D483" s="2" t="s">
        <v>154</v>
      </c>
      <c r="E483" s="2" t="s">
        <v>34</v>
      </c>
      <c r="F483" s="2" t="s">
        <v>114</v>
      </c>
      <c r="G483" s="2" t="s">
        <v>63</v>
      </c>
      <c r="H483" s="2" t="s">
        <v>47</v>
      </c>
      <c r="I483" s="2" t="s">
        <v>130</v>
      </c>
      <c r="J483" t="s">
        <v>31</v>
      </c>
      <c r="K483">
        <v>2</v>
      </c>
      <c r="L483" s="3"/>
      <c r="M483" s="3"/>
      <c r="N483" s="3"/>
      <c r="O483" s="3">
        <f t="shared" si="22"/>
        <v>0</v>
      </c>
      <c r="P483">
        <v>383.52</v>
      </c>
      <c r="Q483">
        <v>116</v>
      </c>
      <c r="R483">
        <v>0</v>
      </c>
      <c r="S483">
        <v>125</v>
      </c>
      <c r="T483">
        <f t="shared" si="23"/>
        <v>0</v>
      </c>
    </row>
    <row r="484" spans="1:20" x14ac:dyDescent="0.3">
      <c r="A484" s="1">
        <v>45108</v>
      </c>
      <c r="B484" s="1" t="str">
        <f t="shared" si="21"/>
        <v>Reliance_Ahmedabad_Product_7_45108</v>
      </c>
      <c r="C484" s="2" t="s">
        <v>99</v>
      </c>
      <c r="D484" s="2" t="s">
        <v>100</v>
      </c>
      <c r="E484" s="2" t="s">
        <v>34</v>
      </c>
      <c r="F484" s="2" t="s">
        <v>51</v>
      </c>
      <c r="G484" s="2" t="s">
        <v>52</v>
      </c>
      <c r="H484" s="2" t="s">
        <v>37</v>
      </c>
      <c r="I484" s="2" t="s">
        <v>60</v>
      </c>
      <c r="J484" t="s">
        <v>31</v>
      </c>
      <c r="K484">
        <v>5</v>
      </c>
      <c r="L484" s="3"/>
      <c r="M484" s="3"/>
      <c r="N484" s="3"/>
      <c r="O484" s="3">
        <f t="shared" si="22"/>
        <v>0</v>
      </c>
      <c r="P484">
        <v>383.52</v>
      </c>
      <c r="Q484">
        <v>336</v>
      </c>
      <c r="R484">
        <v>0</v>
      </c>
      <c r="S484">
        <v>117</v>
      </c>
      <c r="T484">
        <f t="shared" si="23"/>
        <v>0</v>
      </c>
    </row>
    <row r="485" spans="1:20" x14ac:dyDescent="0.3">
      <c r="A485" s="1">
        <v>45108</v>
      </c>
      <c r="B485" s="1" t="str">
        <f t="shared" si="21"/>
        <v>Reliance_Kolkata CFA_Product_12_45108</v>
      </c>
      <c r="C485" s="2" t="s">
        <v>101</v>
      </c>
      <c r="D485" s="2" t="s">
        <v>102</v>
      </c>
      <c r="E485" s="2" t="s">
        <v>34</v>
      </c>
      <c r="F485" s="2" t="s">
        <v>51</v>
      </c>
      <c r="G485" s="2" t="s">
        <v>63</v>
      </c>
      <c r="H485" s="2" t="s">
        <v>67</v>
      </c>
      <c r="I485" s="2" t="s">
        <v>92</v>
      </c>
      <c r="J485" t="s">
        <v>31</v>
      </c>
      <c r="K485">
        <v>1</v>
      </c>
      <c r="L485" s="3"/>
      <c r="M485" s="3"/>
      <c r="N485" s="3"/>
      <c r="O485" s="3">
        <f t="shared" si="22"/>
        <v>0</v>
      </c>
      <c r="P485">
        <v>383.52</v>
      </c>
      <c r="Q485">
        <v>373</v>
      </c>
      <c r="R485">
        <v>5</v>
      </c>
      <c r="S485">
        <v>94</v>
      </c>
      <c r="T485">
        <f t="shared" si="23"/>
        <v>0</v>
      </c>
    </row>
    <row r="486" spans="1:20" x14ac:dyDescent="0.3">
      <c r="A486" s="1">
        <v>45108</v>
      </c>
      <c r="B486" s="1" t="str">
        <f t="shared" si="21"/>
        <v>Zepto_Bangalore_Product_12_45108</v>
      </c>
      <c r="C486" s="2" t="s">
        <v>90</v>
      </c>
      <c r="D486" s="2" t="s">
        <v>91</v>
      </c>
      <c r="E486" s="2" t="s">
        <v>34</v>
      </c>
      <c r="F486" s="2" t="s">
        <v>46</v>
      </c>
      <c r="G486" s="2" t="s">
        <v>79</v>
      </c>
      <c r="H486" s="2" t="s">
        <v>67</v>
      </c>
      <c r="I486" s="2" t="s">
        <v>92</v>
      </c>
      <c r="J486" t="s">
        <v>31</v>
      </c>
      <c r="K486">
        <v>6</v>
      </c>
      <c r="L486" s="3"/>
      <c r="M486" s="3"/>
      <c r="N486" s="3"/>
      <c r="O486" s="3">
        <f t="shared" si="22"/>
        <v>0</v>
      </c>
      <c r="P486">
        <v>383.52</v>
      </c>
      <c r="Q486">
        <v>282</v>
      </c>
      <c r="R486">
        <v>0</v>
      </c>
      <c r="S486">
        <v>94</v>
      </c>
      <c r="T486">
        <f t="shared" si="23"/>
        <v>0</v>
      </c>
    </row>
    <row r="487" spans="1:20" x14ac:dyDescent="0.3">
      <c r="A487" s="1">
        <v>45108</v>
      </c>
      <c r="B487" s="1" t="str">
        <f t="shared" si="21"/>
        <v>Maharashtra_MH-Aggregated_Product_3_45108</v>
      </c>
      <c r="C487" s="2" t="s">
        <v>39</v>
      </c>
      <c r="D487" s="2" t="s">
        <v>40</v>
      </c>
      <c r="E487" s="2" t="s">
        <v>26</v>
      </c>
      <c r="F487" s="2" t="s">
        <v>41</v>
      </c>
      <c r="G487" s="2" t="s">
        <v>42</v>
      </c>
      <c r="H487" s="2" t="s">
        <v>37</v>
      </c>
      <c r="I487" s="2" t="s">
        <v>43</v>
      </c>
      <c r="J487" t="s">
        <v>31</v>
      </c>
      <c r="K487">
        <v>1</v>
      </c>
      <c r="L487" s="3"/>
      <c r="M487" s="3"/>
      <c r="N487" s="3"/>
      <c r="O487" s="3">
        <f t="shared" si="22"/>
        <v>0</v>
      </c>
      <c r="P487">
        <v>383.52</v>
      </c>
      <c r="Q487">
        <v>140</v>
      </c>
      <c r="R487">
        <v>0</v>
      </c>
      <c r="S487">
        <v>127</v>
      </c>
      <c r="T487">
        <f t="shared" si="23"/>
        <v>0</v>
      </c>
    </row>
    <row r="488" spans="1:20" x14ac:dyDescent="0.3">
      <c r="A488" s="1">
        <v>45108</v>
      </c>
      <c r="B488" s="1" t="str">
        <f t="shared" si="21"/>
        <v>Reliance_Hyderabad_Product_2_45108</v>
      </c>
      <c r="C488" s="2" t="s">
        <v>149</v>
      </c>
      <c r="D488" s="2" t="s">
        <v>150</v>
      </c>
      <c r="E488" s="2" t="s">
        <v>34</v>
      </c>
      <c r="F488" s="2" t="s">
        <v>51</v>
      </c>
      <c r="G488" s="2" t="s">
        <v>137</v>
      </c>
      <c r="H488" s="2" t="s">
        <v>37</v>
      </c>
      <c r="I488" s="2" t="s">
        <v>38</v>
      </c>
      <c r="J488" t="s">
        <v>31</v>
      </c>
      <c r="K488">
        <v>3</v>
      </c>
      <c r="L488" s="3"/>
      <c r="M488" s="3"/>
      <c r="N488" s="3"/>
      <c r="O488" s="3">
        <f t="shared" si="22"/>
        <v>0</v>
      </c>
      <c r="P488">
        <v>672</v>
      </c>
      <c r="Q488">
        <v>368</v>
      </c>
      <c r="R488">
        <v>0</v>
      </c>
      <c r="S488">
        <v>134</v>
      </c>
      <c r="T488">
        <f t="shared" si="23"/>
        <v>2.8848000000000003</v>
      </c>
    </row>
    <row r="489" spans="1:20" x14ac:dyDescent="0.3">
      <c r="A489" s="1">
        <v>45108</v>
      </c>
      <c r="B489" s="1" t="str">
        <f t="shared" si="21"/>
        <v>Jharkhand_JH-Aggregated_Product_15_45108</v>
      </c>
      <c r="C489" s="2" t="s">
        <v>103</v>
      </c>
      <c r="D489" s="2" t="s">
        <v>104</v>
      </c>
      <c r="E489" s="2" t="s">
        <v>26</v>
      </c>
      <c r="F489" s="2" t="s">
        <v>27</v>
      </c>
      <c r="G489" s="2" t="s">
        <v>28</v>
      </c>
      <c r="H489" s="2" t="s">
        <v>105</v>
      </c>
      <c r="I489" s="2" t="s">
        <v>106</v>
      </c>
      <c r="J489" t="s">
        <v>31</v>
      </c>
      <c r="K489">
        <v>1</v>
      </c>
      <c r="L489" s="3"/>
      <c r="M489" s="3"/>
      <c r="N489" s="3"/>
      <c r="O489" s="3">
        <f t="shared" si="22"/>
        <v>0</v>
      </c>
      <c r="P489">
        <v>672</v>
      </c>
      <c r="Q489">
        <v>275</v>
      </c>
      <c r="R489">
        <v>0</v>
      </c>
      <c r="S489">
        <v>143</v>
      </c>
      <c r="T489">
        <f t="shared" si="23"/>
        <v>0</v>
      </c>
    </row>
    <row r="490" spans="1:20" x14ac:dyDescent="0.3">
      <c r="A490" s="1">
        <v>45108</v>
      </c>
      <c r="B490" s="1" t="str">
        <f t="shared" si="21"/>
        <v>Maharashtra_MH-Aggregated_Product_9_45108</v>
      </c>
      <c r="C490" s="2" t="s">
        <v>69</v>
      </c>
      <c r="D490" s="2" t="s">
        <v>70</v>
      </c>
      <c r="E490" s="2" t="s">
        <v>26</v>
      </c>
      <c r="F490" s="2" t="s">
        <v>41</v>
      </c>
      <c r="G490" s="2" t="s">
        <v>42</v>
      </c>
      <c r="H490" s="2" t="s">
        <v>37</v>
      </c>
      <c r="I490" s="2" t="s">
        <v>71</v>
      </c>
      <c r="J490" t="s">
        <v>31</v>
      </c>
      <c r="K490">
        <v>13</v>
      </c>
      <c r="L490" s="3"/>
      <c r="M490" s="3"/>
      <c r="N490" s="3"/>
      <c r="O490" s="3">
        <f t="shared" si="22"/>
        <v>0</v>
      </c>
      <c r="P490">
        <v>421.92</v>
      </c>
      <c r="Q490">
        <v>417</v>
      </c>
      <c r="R490">
        <v>2</v>
      </c>
      <c r="S490">
        <v>119</v>
      </c>
      <c r="T490">
        <f t="shared" si="23"/>
        <v>-2.5007999999999999</v>
      </c>
    </row>
    <row r="491" spans="1:20" x14ac:dyDescent="0.3">
      <c r="A491" s="1">
        <v>45108</v>
      </c>
      <c r="B491" s="1" t="str">
        <f t="shared" si="21"/>
        <v>Swiggy_Chennai_Product_3_45108</v>
      </c>
      <c r="C491" s="2" t="s">
        <v>82</v>
      </c>
      <c r="D491" s="2" t="s">
        <v>83</v>
      </c>
      <c r="E491" s="2" t="s">
        <v>34</v>
      </c>
      <c r="F491" s="2" t="s">
        <v>35</v>
      </c>
      <c r="G491" s="2" t="s">
        <v>84</v>
      </c>
      <c r="H491" s="2" t="s">
        <v>37</v>
      </c>
      <c r="I491" s="2" t="s">
        <v>43</v>
      </c>
      <c r="J491" t="s">
        <v>31</v>
      </c>
      <c r="K491">
        <v>3</v>
      </c>
      <c r="L491" s="3"/>
      <c r="M491" s="3"/>
      <c r="N491" s="3"/>
      <c r="O491" s="3">
        <f t="shared" si="22"/>
        <v>0</v>
      </c>
      <c r="P491">
        <v>421.92</v>
      </c>
      <c r="Q491">
        <v>134</v>
      </c>
      <c r="R491">
        <v>5</v>
      </c>
      <c r="S491">
        <v>127</v>
      </c>
      <c r="T491">
        <f t="shared" si="23"/>
        <v>0</v>
      </c>
    </row>
    <row r="492" spans="1:20" x14ac:dyDescent="0.3">
      <c r="A492" s="1">
        <v>45139</v>
      </c>
      <c r="B492" s="1" t="str">
        <f t="shared" si="21"/>
        <v>Reliance_Bangalore_Product_13_45139</v>
      </c>
      <c r="C492" s="2" t="s">
        <v>93</v>
      </c>
      <c r="D492" s="2" t="s">
        <v>94</v>
      </c>
      <c r="E492" s="2" t="s">
        <v>34</v>
      </c>
      <c r="F492" s="2" t="s">
        <v>51</v>
      </c>
      <c r="G492" s="2" t="s">
        <v>79</v>
      </c>
      <c r="H492" s="2" t="s">
        <v>67</v>
      </c>
      <c r="I492" s="2" t="s">
        <v>95</v>
      </c>
      <c r="J492" t="s">
        <v>31</v>
      </c>
      <c r="K492">
        <v>5</v>
      </c>
      <c r="L492" s="3"/>
      <c r="M492" s="3"/>
      <c r="N492" s="3"/>
      <c r="O492" s="3">
        <f t="shared" si="22"/>
        <v>0</v>
      </c>
      <c r="P492">
        <v>748.8</v>
      </c>
      <c r="Q492">
        <v>276</v>
      </c>
      <c r="R492">
        <v>4</v>
      </c>
      <c r="S492">
        <v>113</v>
      </c>
      <c r="T492">
        <f t="shared" si="23"/>
        <v>3.2687999999999993</v>
      </c>
    </row>
    <row r="493" spans="1:20" x14ac:dyDescent="0.3">
      <c r="A493" s="1">
        <v>45139</v>
      </c>
      <c r="B493" s="1" t="str">
        <f t="shared" si="21"/>
        <v>Reliance_Bhiwandi_Product_10_45139</v>
      </c>
      <c r="C493" s="2" t="s">
        <v>85</v>
      </c>
      <c r="D493" s="2" t="s">
        <v>86</v>
      </c>
      <c r="E493" s="2" t="s">
        <v>34</v>
      </c>
      <c r="F493" s="2" t="s">
        <v>51</v>
      </c>
      <c r="G493" s="2" t="s">
        <v>66</v>
      </c>
      <c r="H493" s="2" t="s">
        <v>67</v>
      </c>
      <c r="I493" s="2" t="s">
        <v>76</v>
      </c>
      <c r="J493" t="s">
        <v>31</v>
      </c>
      <c r="K493">
        <v>2</v>
      </c>
      <c r="L493" s="3"/>
      <c r="M493" s="3"/>
      <c r="N493" s="3"/>
      <c r="O493" s="3">
        <f t="shared" si="22"/>
        <v>0</v>
      </c>
      <c r="P493">
        <v>748.8</v>
      </c>
      <c r="Q493">
        <v>200</v>
      </c>
      <c r="R493">
        <v>0</v>
      </c>
      <c r="S493">
        <v>106</v>
      </c>
      <c r="T493">
        <f t="shared" si="23"/>
        <v>0</v>
      </c>
    </row>
    <row r="494" spans="1:20" x14ac:dyDescent="0.3">
      <c r="A494" s="1">
        <v>45139</v>
      </c>
      <c r="B494" s="1" t="str">
        <f t="shared" si="21"/>
        <v>Reliance_Bhiwandi_Product_11_45139</v>
      </c>
      <c r="C494" s="2" t="s">
        <v>87</v>
      </c>
      <c r="D494" s="2" t="s">
        <v>88</v>
      </c>
      <c r="E494" s="2" t="s">
        <v>34</v>
      </c>
      <c r="F494" s="2" t="s">
        <v>51</v>
      </c>
      <c r="G494" s="2" t="s">
        <v>66</v>
      </c>
      <c r="H494" s="2" t="s">
        <v>67</v>
      </c>
      <c r="I494" s="2" t="s">
        <v>89</v>
      </c>
      <c r="J494" t="s">
        <v>31</v>
      </c>
      <c r="K494">
        <v>8</v>
      </c>
      <c r="L494" s="3"/>
      <c r="M494" s="3"/>
      <c r="N494" s="3"/>
      <c r="O494" s="3">
        <f t="shared" si="22"/>
        <v>0</v>
      </c>
      <c r="P494">
        <v>84</v>
      </c>
      <c r="Q494">
        <v>361</v>
      </c>
      <c r="R494">
        <v>0</v>
      </c>
      <c r="S494">
        <v>131</v>
      </c>
      <c r="T494">
        <f t="shared" si="23"/>
        <v>-6.6479999999999997</v>
      </c>
    </row>
    <row r="495" spans="1:20" x14ac:dyDescent="0.3">
      <c r="A495" s="1">
        <v>45139</v>
      </c>
      <c r="B495" s="1" t="str">
        <f t="shared" si="21"/>
        <v>Reliance_Bangalore_Product_3_45139</v>
      </c>
      <c r="C495" s="2" t="s">
        <v>80</v>
      </c>
      <c r="D495" s="2" t="s">
        <v>81</v>
      </c>
      <c r="E495" s="2" t="s">
        <v>34</v>
      </c>
      <c r="F495" s="2" t="s">
        <v>51</v>
      </c>
      <c r="G495" s="2" t="s">
        <v>79</v>
      </c>
      <c r="H495" s="2" t="s">
        <v>37</v>
      </c>
      <c r="I495" s="2" t="s">
        <v>43</v>
      </c>
      <c r="J495" t="s">
        <v>31</v>
      </c>
      <c r="K495">
        <v>16</v>
      </c>
      <c r="L495" s="3"/>
      <c r="M495" s="3"/>
      <c r="N495" s="3"/>
      <c r="O495" s="3">
        <f t="shared" si="22"/>
        <v>0</v>
      </c>
      <c r="P495">
        <v>48</v>
      </c>
      <c r="Q495">
        <v>346</v>
      </c>
      <c r="R495">
        <v>0</v>
      </c>
      <c r="S495">
        <v>127</v>
      </c>
      <c r="T495">
        <f t="shared" si="23"/>
        <v>-0.36</v>
      </c>
    </row>
    <row r="496" spans="1:20" x14ac:dyDescent="0.3">
      <c r="A496" s="1">
        <v>45139</v>
      </c>
      <c r="B496" s="1" t="str">
        <f t="shared" si="21"/>
        <v>Swiggy_Kolkata CFA_Product_3_45139</v>
      </c>
      <c r="C496" s="2" t="s">
        <v>61</v>
      </c>
      <c r="D496" s="2" t="s">
        <v>62</v>
      </c>
      <c r="E496" s="2" t="s">
        <v>34</v>
      </c>
      <c r="F496" s="2" t="s">
        <v>35</v>
      </c>
      <c r="G496" s="2" t="s">
        <v>63</v>
      </c>
      <c r="H496" s="2" t="s">
        <v>37</v>
      </c>
      <c r="I496" s="2" t="s">
        <v>43</v>
      </c>
      <c r="J496" t="s">
        <v>31</v>
      </c>
      <c r="K496">
        <v>17</v>
      </c>
      <c r="L496" s="3"/>
      <c r="M496" s="3"/>
      <c r="N496" s="3"/>
      <c r="O496" s="3">
        <f t="shared" si="22"/>
        <v>0</v>
      </c>
      <c r="P496">
        <v>383.52</v>
      </c>
      <c r="Q496">
        <v>389</v>
      </c>
      <c r="R496">
        <v>0</v>
      </c>
      <c r="S496">
        <v>127</v>
      </c>
      <c r="T496">
        <f t="shared" si="23"/>
        <v>3.3552</v>
      </c>
    </row>
    <row r="497" spans="1:20" x14ac:dyDescent="0.3">
      <c r="A497" s="1">
        <v>45139</v>
      </c>
      <c r="B497" s="1" t="str">
        <f t="shared" si="21"/>
        <v>Swiggy_Kolkata CFA_Product_20_45139</v>
      </c>
      <c r="C497" s="2" t="s">
        <v>128</v>
      </c>
      <c r="D497" s="2" t="s">
        <v>129</v>
      </c>
      <c r="E497" s="2" t="s">
        <v>34</v>
      </c>
      <c r="F497" s="2" t="s">
        <v>35</v>
      </c>
      <c r="G497" s="2" t="s">
        <v>63</v>
      </c>
      <c r="H497" s="2" t="s">
        <v>47</v>
      </c>
      <c r="I497" s="2" t="s">
        <v>130</v>
      </c>
      <c r="J497" t="s">
        <v>31</v>
      </c>
      <c r="K497">
        <v>3</v>
      </c>
      <c r="L497" s="3"/>
      <c r="M497" s="3"/>
      <c r="N497" s="3"/>
      <c r="O497" s="3">
        <f t="shared" si="22"/>
        <v>0</v>
      </c>
      <c r="P497">
        <v>383.52</v>
      </c>
      <c r="Q497">
        <v>254</v>
      </c>
      <c r="R497">
        <v>5</v>
      </c>
      <c r="S497">
        <v>125</v>
      </c>
      <c r="T497">
        <f t="shared" si="23"/>
        <v>0</v>
      </c>
    </row>
    <row r="498" spans="1:20" x14ac:dyDescent="0.3">
      <c r="A498" s="1">
        <v>45139</v>
      </c>
      <c r="B498" s="1" t="str">
        <f t="shared" si="21"/>
        <v>Swiggy_Chennai_Product_3_45139</v>
      </c>
      <c r="C498" s="2" t="s">
        <v>82</v>
      </c>
      <c r="D498" s="2" t="s">
        <v>83</v>
      </c>
      <c r="E498" s="2" t="s">
        <v>34</v>
      </c>
      <c r="F498" s="2" t="s">
        <v>35</v>
      </c>
      <c r="G498" s="2" t="s">
        <v>84</v>
      </c>
      <c r="H498" s="2" t="s">
        <v>37</v>
      </c>
      <c r="I498" s="2" t="s">
        <v>43</v>
      </c>
      <c r="J498" t="s">
        <v>31</v>
      </c>
      <c r="K498">
        <v>7</v>
      </c>
      <c r="L498" s="3"/>
      <c r="M498" s="3"/>
      <c r="N498" s="3"/>
      <c r="O498" s="3">
        <f t="shared" si="22"/>
        <v>0</v>
      </c>
      <c r="P498">
        <v>672</v>
      </c>
      <c r="Q498">
        <v>101</v>
      </c>
      <c r="R498">
        <v>3</v>
      </c>
      <c r="S498">
        <v>127</v>
      </c>
      <c r="T498">
        <f t="shared" si="23"/>
        <v>2.8848000000000003</v>
      </c>
    </row>
    <row r="499" spans="1:20" x14ac:dyDescent="0.3">
      <c r="A499" s="1">
        <v>45139</v>
      </c>
      <c r="B499" s="1" t="str">
        <f t="shared" si="21"/>
        <v>Reliance_Ahmedabad_Product_18_45139</v>
      </c>
      <c r="C499" s="2" t="s">
        <v>121</v>
      </c>
      <c r="D499" s="2" t="s">
        <v>122</v>
      </c>
      <c r="E499" s="2" t="s">
        <v>34</v>
      </c>
      <c r="F499" s="2" t="s">
        <v>51</v>
      </c>
      <c r="G499" s="2" t="s">
        <v>52</v>
      </c>
      <c r="H499" s="2" t="s">
        <v>29</v>
      </c>
      <c r="I499" s="2" t="s">
        <v>123</v>
      </c>
      <c r="J499" t="s">
        <v>31</v>
      </c>
      <c r="K499">
        <v>2</v>
      </c>
      <c r="L499" s="3"/>
      <c r="M499" s="3"/>
      <c r="N499" s="3"/>
      <c r="O499" s="3">
        <f t="shared" si="22"/>
        <v>0</v>
      </c>
      <c r="P499">
        <v>672</v>
      </c>
      <c r="Q499">
        <v>355</v>
      </c>
      <c r="R499">
        <v>4</v>
      </c>
      <c r="S499">
        <v>129</v>
      </c>
      <c r="T499">
        <f t="shared" si="23"/>
        <v>0</v>
      </c>
    </row>
    <row r="500" spans="1:20" x14ac:dyDescent="0.3">
      <c r="A500" s="1">
        <v>45139</v>
      </c>
      <c r="B500" s="1" t="str">
        <f t="shared" si="21"/>
        <v>Swiggy_Bangalore_Product_16_45139</v>
      </c>
      <c r="C500" s="2" t="s">
        <v>107</v>
      </c>
      <c r="D500" s="2" t="s">
        <v>108</v>
      </c>
      <c r="E500" s="2" t="s">
        <v>34</v>
      </c>
      <c r="F500" s="2" t="s">
        <v>35</v>
      </c>
      <c r="G500" s="2" t="s">
        <v>79</v>
      </c>
      <c r="H500" s="2" t="s">
        <v>47</v>
      </c>
      <c r="I500" s="2" t="s">
        <v>109</v>
      </c>
      <c r="J500" t="s">
        <v>31</v>
      </c>
      <c r="K500">
        <v>39</v>
      </c>
      <c r="L500" s="3"/>
      <c r="M500" s="3"/>
      <c r="N500" s="3"/>
      <c r="O500" s="3">
        <f t="shared" si="22"/>
        <v>0</v>
      </c>
      <c r="P500">
        <v>421.92</v>
      </c>
      <c r="Q500">
        <v>451</v>
      </c>
      <c r="R500">
        <v>0</v>
      </c>
      <c r="S500">
        <v>122</v>
      </c>
      <c r="T500">
        <f t="shared" si="23"/>
        <v>-2.5007999999999999</v>
      </c>
    </row>
    <row r="501" spans="1:20" x14ac:dyDescent="0.3">
      <c r="A501" s="1">
        <v>45139</v>
      </c>
      <c r="B501" s="1" t="str">
        <f t="shared" si="21"/>
        <v>Grofers_Ahmedabad_Product_9_45139</v>
      </c>
      <c r="C501" s="2" t="s">
        <v>112</v>
      </c>
      <c r="D501" s="2" t="s">
        <v>113</v>
      </c>
      <c r="E501" s="2" t="s">
        <v>34</v>
      </c>
      <c r="F501" s="2" t="s">
        <v>114</v>
      </c>
      <c r="G501" s="2" t="s">
        <v>52</v>
      </c>
      <c r="H501" s="2" t="s">
        <v>37</v>
      </c>
      <c r="I501" s="2" t="s">
        <v>71</v>
      </c>
      <c r="J501" t="s">
        <v>31</v>
      </c>
      <c r="K501">
        <v>7</v>
      </c>
      <c r="L501" s="3"/>
      <c r="M501" s="3"/>
      <c r="N501" s="3"/>
      <c r="O501" s="3">
        <f t="shared" si="22"/>
        <v>0</v>
      </c>
      <c r="P501">
        <v>421.92</v>
      </c>
      <c r="Q501">
        <v>288</v>
      </c>
      <c r="R501">
        <v>11</v>
      </c>
      <c r="S501">
        <v>119</v>
      </c>
      <c r="T501">
        <f t="shared" si="23"/>
        <v>0</v>
      </c>
    </row>
    <row r="502" spans="1:20" x14ac:dyDescent="0.3">
      <c r="A502" s="1">
        <v>45139</v>
      </c>
      <c r="B502" s="1" t="str">
        <f t="shared" si="21"/>
        <v>Maharashtra_MH-Aggregated_Product_9_45139</v>
      </c>
      <c r="C502" s="2" t="s">
        <v>69</v>
      </c>
      <c r="D502" s="2" t="s">
        <v>70</v>
      </c>
      <c r="E502" s="2" t="s">
        <v>26</v>
      </c>
      <c r="F502" s="2" t="s">
        <v>41</v>
      </c>
      <c r="G502" s="2" t="s">
        <v>42</v>
      </c>
      <c r="H502" s="2" t="s">
        <v>37</v>
      </c>
      <c r="I502" s="2" t="s">
        <v>71</v>
      </c>
      <c r="J502" t="s">
        <v>31</v>
      </c>
      <c r="K502">
        <v>13</v>
      </c>
      <c r="L502" s="3"/>
      <c r="M502" s="3"/>
      <c r="N502" s="3"/>
      <c r="O502" s="3">
        <f t="shared" si="22"/>
        <v>0</v>
      </c>
      <c r="P502">
        <v>748.8</v>
      </c>
      <c r="Q502">
        <v>379</v>
      </c>
      <c r="R502">
        <v>0</v>
      </c>
      <c r="S502">
        <v>119</v>
      </c>
      <c r="T502">
        <f t="shared" si="23"/>
        <v>3.2687999999999993</v>
      </c>
    </row>
    <row r="503" spans="1:20" x14ac:dyDescent="0.3">
      <c r="A503" s="1">
        <v>45139</v>
      </c>
      <c r="B503" s="1" t="str">
        <f t="shared" si="21"/>
        <v>Swiggy_Kolkata CFA_Product_11_45139</v>
      </c>
      <c r="C503" s="2" t="s">
        <v>119</v>
      </c>
      <c r="D503" s="2" t="s">
        <v>120</v>
      </c>
      <c r="E503" s="2" t="s">
        <v>34</v>
      </c>
      <c r="F503" s="2" t="s">
        <v>35</v>
      </c>
      <c r="G503" s="2" t="s">
        <v>63</v>
      </c>
      <c r="H503" s="2" t="s">
        <v>67</v>
      </c>
      <c r="I503" s="2" t="s">
        <v>89</v>
      </c>
      <c r="J503" t="s">
        <v>31</v>
      </c>
      <c r="K503">
        <v>3</v>
      </c>
      <c r="L503" s="3"/>
      <c r="M503" s="3"/>
      <c r="N503" s="3"/>
      <c r="O503" s="3">
        <f t="shared" si="22"/>
        <v>0</v>
      </c>
      <c r="P503">
        <v>748.8</v>
      </c>
      <c r="Q503">
        <v>266</v>
      </c>
      <c r="R503">
        <v>5</v>
      </c>
      <c r="S503">
        <v>131</v>
      </c>
      <c r="T503">
        <f t="shared" si="23"/>
        <v>0</v>
      </c>
    </row>
    <row r="504" spans="1:20" x14ac:dyDescent="0.3">
      <c r="A504" s="1">
        <v>45139</v>
      </c>
      <c r="B504" s="1" t="str">
        <f t="shared" si="21"/>
        <v>Reliance_Bangalore_Product_8_45139</v>
      </c>
      <c r="C504" s="2" t="s">
        <v>77</v>
      </c>
      <c r="D504" s="2" t="s">
        <v>78</v>
      </c>
      <c r="E504" s="2" t="s">
        <v>34</v>
      </c>
      <c r="F504" s="2" t="s">
        <v>51</v>
      </c>
      <c r="G504" s="2" t="s">
        <v>79</v>
      </c>
      <c r="H504" s="2" t="s">
        <v>67</v>
      </c>
      <c r="I504" s="2" t="s">
        <v>68</v>
      </c>
      <c r="J504" t="s">
        <v>31</v>
      </c>
      <c r="K504">
        <v>23</v>
      </c>
      <c r="L504" s="3"/>
      <c r="M504" s="3"/>
      <c r="N504" s="3"/>
      <c r="O504" s="3">
        <f t="shared" si="22"/>
        <v>0</v>
      </c>
      <c r="P504">
        <v>84</v>
      </c>
      <c r="Q504">
        <v>204</v>
      </c>
      <c r="R504">
        <v>0</v>
      </c>
      <c r="S504">
        <v>126</v>
      </c>
      <c r="T504">
        <f t="shared" si="23"/>
        <v>-6.6479999999999997</v>
      </c>
    </row>
    <row r="505" spans="1:20" x14ac:dyDescent="0.3">
      <c r="A505" s="1">
        <v>45139</v>
      </c>
      <c r="B505" s="1" t="str">
        <f t="shared" si="21"/>
        <v>Reliance_Chennai_Product_11_45139</v>
      </c>
      <c r="C505" s="2" t="s">
        <v>110</v>
      </c>
      <c r="D505" s="2" t="s">
        <v>111</v>
      </c>
      <c r="E505" s="2" t="s">
        <v>34</v>
      </c>
      <c r="F505" s="2" t="s">
        <v>51</v>
      </c>
      <c r="G505" s="2" t="s">
        <v>84</v>
      </c>
      <c r="H505" s="2" t="s">
        <v>67</v>
      </c>
      <c r="I505" s="2" t="s">
        <v>89</v>
      </c>
      <c r="J505" t="s">
        <v>31</v>
      </c>
      <c r="K505">
        <v>51</v>
      </c>
      <c r="L505" s="3"/>
      <c r="M505" s="3"/>
      <c r="N505" s="3"/>
      <c r="O505" s="3">
        <f t="shared" si="22"/>
        <v>0</v>
      </c>
      <c r="P505">
        <v>48</v>
      </c>
      <c r="Q505">
        <v>177</v>
      </c>
      <c r="R505">
        <v>9</v>
      </c>
      <c r="S505">
        <v>131</v>
      </c>
      <c r="T505">
        <f t="shared" si="23"/>
        <v>-0.36</v>
      </c>
    </row>
    <row r="506" spans="1:20" x14ac:dyDescent="0.3">
      <c r="A506" s="1">
        <v>45139</v>
      </c>
      <c r="B506" s="1" t="str">
        <f t="shared" si="21"/>
        <v>Reliance_Mundka_Product_9_45139</v>
      </c>
      <c r="C506" s="2" t="s">
        <v>145</v>
      </c>
      <c r="D506" s="2" t="s">
        <v>146</v>
      </c>
      <c r="E506" s="2" t="s">
        <v>34</v>
      </c>
      <c r="F506" s="2" t="s">
        <v>51</v>
      </c>
      <c r="G506" s="2" t="s">
        <v>36</v>
      </c>
      <c r="H506" s="2" t="s">
        <v>37</v>
      </c>
      <c r="I506" s="2" t="s">
        <v>71</v>
      </c>
      <c r="J506" t="s">
        <v>31</v>
      </c>
      <c r="K506">
        <v>5</v>
      </c>
      <c r="L506" s="3"/>
      <c r="M506" s="3"/>
      <c r="N506" s="3"/>
      <c r="O506" s="3">
        <f t="shared" si="22"/>
        <v>0</v>
      </c>
      <c r="P506">
        <v>383.52</v>
      </c>
      <c r="Q506">
        <v>474</v>
      </c>
      <c r="R506">
        <v>4</v>
      </c>
      <c r="S506">
        <v>119</v>
      </c>
      <c r="T506">
        <f t="shared" si="23"/>
        <v>3.3552</v>
      </c>
    </row>
    <row r="507" spans="1:20" x14ac:dyDescent="0.3">
      <c r="A507" s="1">
        <v>45139</v>
      </c>
      <c r="B507" s="1" t="str">
        <f t="shared" si="21"/>
        <v>Reliance_Bhiwandi_Product_8_45139</v>
      </c>
      <c r="C507" s="2" t="s">
        <v>64</v>
      </c>
      <c r="D507" s="2" t="s">
        <v>65</v>
      </c>
      <c r="E507" s="2" t="s">
        <v>34</v>
      </c>
      <c r="F507" s="2" t="s">
        <v>51</v>
      </c>
      <c r="G507" s="2" t="s">
        <v>66</v>
      </c>
      <c r="H507" s="2" t="s">
        <v>67</v>
      </c>
      <c r="I507" s="2" t="s">
        <v>68</v>
      </c>
      <c r="J507" t="s">
        <v>31</v>
      </c>
      <c r="K507">
        <v>1</v>
      </c>
      <c r="L507" s="3"/>
      <c r="M507" s="3"/>
      <c r="N507" s="3"/>
      <c r="O507" s="3">
        <f t="shared" si="22"/>
        <v>0</v>
      </c>
      <c r="P507">
        <v>383.52</v>
      </c>
      <c r="Q507">
        <v>418</v>
      </c>
      <c r="R507">
        <v>0</v>
      </c>
      <c r="S507">
        <v>126</v>
      </c>
      <c r="T507">
        <f t="shared" si="23"/>
        <v>0</v>
      </c>
    </row>
    <row r="508" spans="1:20" x14ac:dyDescent="0.3">
      <c r="A508" s="1">
        <v>45139</v>
      </c>
      <c r="B508" s="1" t="str">
        <f t="shared" si="21"/>
        <v>Reliance_Ahmedabad_Product_5_45139</v>
      </c>
      <c r="C508" s="2" t="s">
        <v>49</v>
      </c>
      <c r="D508" s="2" t="s">
        <v>50</v>
      </c>
      <c r="E508" s="2" t="s">
        <v>34</v>
      </c>
      <c r="F508" s="2" t="s">
        <v>51</v>
      </c>
      <c r="G508" s="2" t="s">
        <v>52</v>
      </c>
      <c r="H508" s="2" t="s">
        <v>53</v>
      </c>
      <c r="I508" s="2" t="s">
        <v>54</v>
      </c>
      <c r="J508" t="s">
        <v>31</v>
      </c>
      <c r="K508">
        <v>3</v>
      </c>
      <c r="L508" s="3"/>
      <c r="M508" s="3"/>
      <c r="N508" s="3"/>
      <c r="O508" s="3">
        <f t="shared" si="22"/>
        <v>0</v>
      </c>
      <c r="P508">
        <v>672</v>
      </c>
      <c r="Q508">
        <v>246</v>
      </c>
      <c r="R508">
        <v>2</v>
      </c>
      <c r="S508">
        <v>132</v>
      </c>
      <c r="T508">
        <f t="shared" si="23"/>
        <v>2.8848000000000003</v>
      </c>
    </row>
    <row r="509" spans="1:20" x14ac:dyDescent="0.3">
      <c r="A509" s="1">
        <v>45139</v>
      </c>
      <c r="B509" s="1" t="str">
        <f t="shared" si="21"/>
        <v>Jharkhand_JH-Aggregated_Product_15_45139</v>
      </c>
      <c r="C509" s="2" t="s">
        <v>103</v>
      </c>
      <c r="D509" s="2" t="s">
        <v>104</v>
      </c>
      <c r="E509" s="2" t="s">
        <v>26</v>
      </c>
      <c r="F509" s="2" t="s">
        <v>27</v>
      </c>
      <c r="G509" s="2" t="s">
        <v>28</v>
      </c>
      <c r="H509" s="2" t="s">
        <v>105</v>
      </c>
      <c r="I509" s="2" t="s">
        <v>106</v>
      </c>
      <c r="J509" t="s">
        <v>31</v>
      </c>
      <c r="K509">
        <v>1</v>
      </c>
      <c r="L509" s="3"/>
      <c r="M509" s="3"/>
      <c r="N509" s="3"/>
      <c r="O509" s="3">
        <f t="shared" si="22"/>
        <v>0</v>
      </c>
      <c r="P509">
        <v>672</v>
      </c>
      <c r="Q509">
        <v>365</v>
      </c>
      <c r="R509">
        <v>0</v>
      </c>
      <c r="S509">
        <v>143</v>
      </c>
      <c r="T509">
        <f t="shared" si="23"/>
        <v>0</v>
      </c>
    </row>
    <row r="510" spans="1:20" x14ac:dyDescent="0.3">
      <c r="A510" s="1">
        <v>45139</v>
      </c>
      <c r="B510" s="1" t="str">
        <f t="shared" si="21"/>
        <v>Reliance_Mundka_Product_7_45139</v>
      </c>
      <c r="C510" s="2" t="s">
        <v>58</v>
      </c>
      <c r="D510" s="2" t="s">
        <v>59</v>
      </c>
      <c r="E510" s="2" t="s">
        <v>34</v>
      </c>
      <c r="F510" s="2" t="s">
        <v>51</v>
      </c>
      <c r="G510" s="2" t="s">
        <v>36</v>
      </c>
      <c r="H510" s="2" t="s">
        <v>37</v>
      </c>
      <c r="I510" s="2" t="s">
        <v>60</v>
      </c>
      <c r="J510" t="s">
        <v>31</v>
      </c>
      <c r="K510">
        <v>9</v>
      </c>
      <c r="L510" s="3"/>
      <c r="M510" s="3"/>
      <c r="N510" s="3"/>
      <c r="O510" s="3">
        <f t="shared" si="22"/>
        <v>0</v>
      </c>
      <c r="P510">
        <v>421.92</v>
      </c>
      <c r="Q510">
        <v>464</v>
      </c>
      <c r="R510">
        <v>4</v>
      </c>
      <c r="S510">
        <v>117</v>
      </c>
      <c r="T510">
        <f t="shared" si="23"/>
        <v>-2.5007999999999999</v>
      </c>
    </row>
    <row r="511" spans="1:20" x14ac:dyDescent="0.3">
      <c r="A511" s="1">
        <v>45139</v>
      </c>
      <c r="B511" s="1" t="str">
        <f t="shared" si="21"/>
        <v>Reliance_Mundka_Product_6_45139</v>
      </c>
      <c r="C511" s="2" t="s">
        <v>55</v>
      </c>
      <c r="D511" s="2" t="s">
        <v>56</v>
      </c>
      <c r="E511" s="2" t="s">
        <v>34</v>
      </c>
      <c r="F511" s="2" t="s">
        <v>51</v>
      </c>
      <c r="G511" s="2" t="s">
        <v>36</v>
      </c>
      <c r="H511" s="2" t="s">
        <v>37</v>
      </c>
      <c r="I511" s="2" t="s">
        <v>57</v>
      </c>
      <c r="J511" t="s">
        <v>31</v>
      </c>
      <c r="K511">
        <v>3</v>
      </c>
      <c r="L511" s="3"/>
      <c r="M511" s="3"/>
      <c r="N511" s="3"/>
      <c r="O511" s="3">
        <f t="shared" si="22"/>
        <v>0</v>
      </c>
      <c r="P511">
        <v>421.92</v>
      </c>
      <c r="Q511">
        <v>412</v>
      </c>
      <c r="R511">
        <v>0</v>
      </c>
      <c r="S511">
        <v>135</v>
      </c>
      <c r="T511">
        <f t="shared" si="23"/>
        <v>0</v>
      </c>
    </row>
    <row r="512" spans="1:20" x14ac:dyDescent="0.3">
      <c r="A512" s="1">
        <v>45139</v>
      </c>
      <c r="B512" s="1" t="str">
        <f t="shared" si="21"/>
        <v>Maharashtra_MH-Aggregated_Product_22_45139</v>
      </c>
      <c r="C512" s="2" t="s">
        <v>138</v>
      </c>
      <c r="D512" s="2" t="s">
        <v>139</v>
      </c>
      <c r="E512" s="2" t="s">
        <v>26</v>
      </c>
      <c r="F512" s="2" t="s">
        <v>41</v>
      </c>
      <c r="G512" s="2" t="s">
        <v>42</v>
      </c>
      <c r="H512" s="2" t="s">
        <v>140</v>
      </c>
      <c r="I512" s="2" t="s">
        <v>141</v>
      </c>
      <c r="J512" t="s">
        <v>31</v>
      </c>
      <c r="K512">
        <v>4</v>
      </c>
      <c r="L512" s="3"/>
      <c r="M512" s="3"/>
      <c r="N512" s="3"/>
      <c r="O512" s="3">
        <f t="shared" si="22"/>
        <v>0</v>
      </c>
      <c r="P512">
        <v>748.8</v>
      </c>
      <c r="Q512">
        <v>477</v>
      </c>
      <c r="R512">
        <v>0</v>
      </c>
      <c r="S512">
        <v>126</v>
      </c>
      <c r="T512">
        <f t="shared" si="23"/>
        <v>3.2687999999999993</v>
      </c>
    </row>
    <row r="513" spans="1:20" x14ac:dyDescent="0.3">
      <c r="A513" s="1">
        <v>45139</v>
      </c>
      <c r="B513" s="1" t="str">
        <f t="shared" si="21"/>
        <v>Grofers_Mundka_Product_21_45139</v>
      </c>
      <c r="C513" s="2" t="s">
        <v>131</v>
      </c>
      <c r="D513" s="2" t="s">
        <v>132</v>
      </c>
      <c r="E513" s="2" t="s">
        <v>34</v>
      </c>
      <c r="F513" s="2" t="s">
        <v>114</v>
      </c>
      <c r="G513" s="2" t="s">
        <v>36</v>
      </c>
      <c r="H513" s="2" t="s">
        <v>133</v>
      </c>
      <c r="I513" s="2" t="s">
        <v>134</v>
      </c>
      <c r="J513" t="s">
        <v>31</v>
      </c>
      <c r="K513">
        <v>1</v>
      </c>
      <c r="L513" s="3"/>
      <c r="M513" s="3"/>
      <c r="N513" s="3"/>
      <c r="O513" s="3">
        <f t="shared" si="22"/>
        <v>0</v>
      </c>
      <c r="P513">
        <v>748.8</v>
      </c>
      <c r="Q513">
        <v>425</v>
      </c>
      <c r="R513">
        <v>0</v>
      </c>
      <c r="S513">
        <v>115</v>
      </c>
      <c r="T513">
        <f t="shared" si="23"/>
        <v>0</v>
      </c>
    </row>
    <row r="514" spans="1:20" x14ac:dyDescent="0.3">
      <c r="A514" s="1">
        <v>45139</v>
      </c>
      <c r="B514" s="1" t="str">
        <f t="shared" si="21"/>
        <v>Swiggy_Mundka_Product_2_45139</v>
      </c>
      <c r="C514" s="2" t="s">
        <v>32</v>
      </c>
      <c r="D514" s="2" t="s">
        <v>33</v>
      </c>
      <c r="E514" s="2" t="s">
        <v>34</v>
      </c>
      <c r="F514" s="2" t="s">
        <v>35</v>
      </c>
      <c r="G514" s="2" t="s">
        <v>36</v>
      </c>
      <c r="H514" s="2" t="s">
        <v>37</v>
      </c>
      <c r="I514" s="2" t="s">
        <v>38</v>
      </c>
      <c r="J514" t="s">
        <v>31</v>
      </c>
      <c r="K514">
        <v>6</v>
      </c>
      <c r="L514" s="3"/>
      <c r="M514" s="3"/>
      <c r="N514" s="3"/>
      <c r="O514" s="3">
        <f t="shared" si="22"/>
        <v>0</v>
      </c>
      <c r="P514">
        <v>84</v>
      </c>
      <c r="Q514">
        <v>390</v>
      </c>
      <c r="R514">
        <v>4</v>
      </c>
      <c r="S514">
        <v>134</v>
      </c>
      <c r="T514">
        <f t="shared" si="23"/>
        <v>-6.6479999999999997</v>
      </c>
    </row>
    <row r="515" spans="1:20" x14ac:dyDescent="0.3">
      <c r="A515" s="1">
        <v>45139</v>
      </c>
      <c r="B515" s="1" t="str">
        <f t="shared" ref="B515:B578" si="24">C515&amp;"_"&amp;A515</f>
        <v>Grofers_Kolkata CFA_Product_20_45139</v>
      </c>
      <c r="C515" s="2" t="s">
        <v>153</v>
      </c>
      <c r="D515" s="2" t="s">
        <v>154</v>
      </c>
      <c r="E515" s="2" t="s">
        <v>34</v>
      </c>
      <c r="F515" s="2" t="s">
        <v>114</v>
      </c>
      <c r="G515" s="2" t="s">
        <v>63</v>
      </c>
      <c r="H515" s="2" t="s">
        <v>47</v>
      </c>
      <c r="I515" s="2" t="s">
        <v>130</v>
      </c>
      <c r="J515" t="s">
        <v>31</v>
      </c>
      <c r="K515">
        <v>12</v>
      </c>
      <c r="L515" s="3"/>
      <c r="M515" s="3"/>
      <c r="N515" s="3"/>
      <c r="O515" s="3">
        <f t="shared" ref="O515:O578" si="25">L515</f>
        <v>0</v>
      </c>
      <c r="P515">
        <v>48</v>
      </c>
      <c r="Q515">
        <v>434</v>
      </c>
      <c r="R515">
        <v>11</v>
      </c>
      <c r="S515">
        <v>125</v>
      </c>
      <c r="T515">
        <f t="shared" si="23"/>
        <v>-0.36</v>
      </c>
    </row>
    <row r="516" spans="1:20" x14ac:dyDescent="0.3">
      <c r="A516" s="1">
        <v>45139</v>
      </c>
      <c r="B516" s="1" t="str">
        <f t="shared" si="24"/>
        <v>Reliance_Ahmedabad_Product_7_45139</v>
      </c>
      <c r="C516" s="2" t="s">
        <v>99</v>
      </c>
      <c r="D516" s="2" t="s">
        <v>100</v>
      </c>
      <c r="E516" s="2" t="s">
        <v>34</v>
      </c>
      <c r="F516" s="2" t="s">
        <v>51</v>
      </c>
      <c r="G516" s="2" t="s">
        <v>52</v>
      </c>
      <c r="H516" s="2" t="s">
        <v>37</v>
      </c>
      <c r="I516" s="2" t="s">
        <v>60</v>
      </c>
      <c r="J516" t="s">
        <v>31</v>
      </c>
      <c r="K516">
        <v>13</v>
      </c>
      <c r="L516" s="3"/>
      <c r="M516" s="3"/>
      <c r="N516" s="3"/>
      <c r="O516" s="3">
        <f t="shared" si="25"/>
        <v>0</v>
      </c>
      <c r="P516">
        <v>383.52</v>
      </c>
      <c r="Q516">
        <v>114</v>
      </c>
      <c r="R516">
        <v>10</v>
      </c>
      <c r="S516">
        <v>117</v>
      </c>
      <c r="T516">
        <f t="shared" ref="T516:T579" si="26">(P516-P515)/100</f>
        <v>3.3552</v>
      </c>
    </row>
    <row r="517" spans="1:20" x14ac:dyDescent="0.3">
      <c r="A517" s="1">
        <v>45139</v>
      </c>
      <c r="B517" s="1" t="str">
        <f t="shared" si="24"/>
        <v>Maharashtra_MH-Aggregated_Product_23_45139</v>
      </c>
      <c r="C517" s="2" t="s">
        <v>142</v>
      </c>
      <c r="D517" s="2" t="s">
        <v>143</v>
      </c>
      <c r="E517" s="2" t="s">
        <v>26</v>
      </c>
      <c r="F517" s="2" t="s">
        <v>41</v>
      </c>
      <c r="G517" s="2" t="s">
        <v>42</v>
      </c>
      <c r="H517" s="2" t="s">
        <v>140</v>
      </c>
      <c r="I517" s="2" t="s">
        <v>144</v>
      </c>
      <c r="J517" t="s">
        <v>31</v>
      </c>
      <c r="K517">
        <v>3</v>
      </c>
      <c r="L517" s="3"/>
      <c r="M517" s="3"/>
      <c r="N517" s="3"/>
      <c r="O517" s="3">
        <f t="shared" si="25"/>
        <v>0</v>
      </c>
      <c r="P517">
        <v>383.52</v>
      </c>
      <c r="Q517">
        <v>261</v>
      </c>
      <c r="R517">
        <v>0</v>
      </c>
      <c r="S517">
        <v>144</v>
      </c>
      <c r="T517">
        <f t="shared" si="26"/>
        <v>0</v>
      </c>
    </row>
    <row r="518" spans="1:20" x14ac:dyDescent="0.3">
      <c r="A518" s="1">
        <v>45139</v>
      </c>
      <c r="B518" s="1" t="str">
        <f t="shared" si="24"/>
        <v>Reliance_Ahmedabad_Product_9_45139</v>
      </c>
      <c r="C518" s="2" t="s">
        <v>151</v>
      </c>
      <c r="D518" s="2" t="s">
        <v>152</v>
      </c>
      <c r="E518" s="2" t="s">
        <v>34</v>
      </c>
      <c r="F518" s="2" t="s">
        <v>51</v>
      </c>
      <c r="G518" s="2" t="s">
        <v>52</v>
      </c>
      <c r="H518" s="2" t="s">
        <v>37</v>
      </c>
      <c r="I518" s="2" t="s">
        <v>71</v>
      </c>
      <c r="J518" t="s">
        <v>31</v>
      </c>
      <c r="K518">
        <v>6</v>
      </c>
      <c r="L518" s="3"/>
      <c r="M518" s="3"/>
      <c r="N518" s="3"/>
      <c r="O518" s="3">
        <f t="shared" si="25"/>
        <v>0</v>
      </c>
      <c r="P518">
        <v>672</v>
      </c>
      <c r="Q518">
        <v>456</v>
      </c>
      <c r="R518">
        <v>0</v>
      </c>
      <c r="S518">
        <v>119</v>
      </c>
      <c r="T518">
        <f t="shared" si="26"/>
        <v>2.8848000000000003</v>
      </c>
    </row>
    <row r="519" spans="1:20" x14ac:dyDescent="0.3">
      <c r="A519" s="1">
        <v>45139</v>
      </c>
      <c r="B519" s="1" t="str">
        <f t="shared" si="24"/>
        <v>Zepto_Bangalore_Product_12_45139</v>
      </c>
      <c r="C519" s="2" t="s">
        <v>90</v>
      </c>
      <c r="D519" s="2" t="s">
        <v>91</v>
      </c>
      <c r="E519" s="2" t="s">
        <v>34</v>
      </c>
      <c r="F519" s="2" t="s">
        <v>46</v>
      </c>
      <c r="G519" s="2" t="s">
        <v>79</v>
      </c>
      <c r="H519" s="2" t="s">
        <v>67</v>
      </c>
      <c r="I519" s="2" t="s">
        <v>92</v>
      </c>
      <c r="J519" t="s">
        <v>31</v>
      </c>
      <c r="K519">
        <v>1</v>
      </c>
      <c r="L519" s="3"/>
      <c r="M519" s="3"/>
      <c r="N519" s="3"/>
      <c r="O519" s="3">
        <f t="shared" si="25"/>
        <v>0</v>
      </c>
      <c r="P519">
        <v>672</v>
      </c>
      <c r="Q519">
        <v>489</v>
      </c>
      <c r="R519">
        <v>0</v>
      </c>
      <c r="S519">
        <v>94</v>
      </c>
      <c r="T519">
        <f t="shared" si="26"/>
        <v>0</v>
      </c>
    </row>
    <row r="520" spans="1:20" x14ac:dyDescent="0.3">
      <c r="A520" s="1">
        <v>45139</v>
      </c>
      <c r="B520" s="1" t="str">
        <f t="shared" si="24"/>
        <v>Reliance_Kolkata CFA_Product_12_45139</v>
      </c>
      <c r="C520" s="2" t="s">
        <v>101</v>
      </c>
      <c r="D520" s="2" t="s">
        <v>102</v>
      </c>
      <c r="E520" s="2" t="s">
        <v>34</v>
      </c>
      <c r="F520" s="2" t="s">
        <v>51</v>
      </c>
      <c r="G520" s="2" t="s">
        <v>63</v>
      </c>
      <c r="H520" s="2" t="s">
        <v>67</v>
      </c>
      <c r="I520" s="2" t="s">
        <v>92</v>
      </c>
      <c r="J520" t="s">
        <v>31</v>
      </c>
      <c r="K520">
        <v>31</v>
      </c>
      <c r="L520" s="3"/>
      <c r="M520" s="3"/>
      <c r="N520" s="3"/>
      <c r="O520" s="3">
        <f t="shared" si="25"/>
        <v>0</v>
      </c>
      <c r="P520">
        <v>421.92</v>
      </c>
      <c r="Q520">
        <v>293</v>
      </c>
      <c r="R520">
        <v>9</v>
      </c>
      <c r="S520">
        <v>94</v>
      </c>
      <c r="T520">
        <f t="shared" si="26"/>
        <v>-2.5007999999999999</v>
      </c>
    </row>
    <row r="521" spans="1:20" x14ac:dyDescent="0.3">
      <c r="A521" s="1">
        <v>45139</v>
      </c>
      <c r="B521" s="1" t="str">
        <f t="shared" si="24"/>
        <v>Reliance_Hyderabad_Product_2_45139</v>
      </c>
      <c r="C521" s="2" t="s">
        <v>149</v>
      </c>
      <c r="D521" s="2" t="s">
        <v>150</v>
      </c>
      <c r="E521" s="2" t="s">
        <v>34</v>
      </c>
      <c r="F521" s="2" t="s">
        <v>51</v>
      </c>
      <c r="G521" s="2" t="s">
        <v>137</v>
      </c>
      <c r="H521" s="2" t="s">
        <v>37</v>
      </c>
      <c r="I521" s="2" t="s">
        <v>38</v>
      </c>
      <c r="J521" t="s">
        <v>31</v>
      </c>
      <c r="K521">
        <v>6</v>
      </c>
      <c r="L521" s="3"/>
      <c r="M521" s="3"/>
      <c r="N521" s="3"/>
      <c r="O521" s="3">
        <f t="shared" si="25"/>
        <v>0</v>
      </c>
      <c r="P521">
        <v>421.92</v>
      </c>
      <c r="Q521">
        <v>464</v>
      </c>
      <c r="R521">
        <v>0</v>
      </c>
      <c r="S521">
        <v>134</v>
      </c>
      <c r="T521">
        <f t="shared" si="26"/>
        <v>0</v>
      </c>
    </row>
    <row r="522" spans="1:20" x14ac:dyDescent="0.3">
      <c r="A522" s="1">
        <v>45139</v>
      </c>
      <c r="B522" s="1" t="str">
        <f t="shared" si="24"/>
        <v>Grofers_Hyderabad_Product_21_45139</v>
      </c>
      <c r="C522" s="2" t="s">
        <v>135</v>
      </c>
      <c r="D522" s="2" t="s">
        <v>136</v>
      </c>
      <c r="E522" s="2" t="s">
        <v>34</v>
      </c>
      <c r="F522" s="2" t="s">
        <v>114</v>
      </c>
      <c r="G522" s="2" t="s">
        <v>137</v>
      </c>
      <c r="H522" s="2" t="s">
        <v>133</v>
      </c>
      <c r="I522" s="2" t="s">
        <v>134</v>
      </c>
      <c r="J522" t="s">
        <v>31</v>
      </c>
      <c r="K522">
        <v>11</v>
      </c>
      <c r="L522" s="4"/>
      <c r="M522" s="3"/>
      <c r="N522" s="3"/>
      <c r="O522" s="3">
        <f t="shared" si="25"/>
        <v>0</v>
      </c>
      <c r="P522">
        <v>748.8</v>
      </c>
      <c r="Q522">
        <v>195</v>
      </c>
      <c r="R522">
        <v>0</v>
      </c>
      <c r="S522">
        <v>115</v>
      </c>
      <c r="T522">
        <f t="shared" si="26"/>
        <v>3.2687999999999993</v>
      </c>
    </row>
    <row r="523" spans="1:20" x14ac:dyDescent="0.3">
      <c r="A523" s="1">
        <v>45139</v>
      </c>
      <c r="B523" s="1" t="str">
        <f t="shared" si="24"/>
        <v>Maharashtra_MH-Aggregated_Product_3_45139</v>
      </c>
      <c r="C523" s="2" t="s">
        <v>39</v>
      </c>
      <c r="D523" s="2" t="s">
        <v>40</v>
      </c>
      <c r="E523" s="2" t="s">
        <v>26</v>
      </c>
      <c r="F523" s="2" t="s">
        <v>41</v>
      </c>
      <c r="G523" s="2" t="s">
        <v>42</v>
      </c>
      <c r="H523" s="2" t="s">
        <v>37</v>
      </c>
      <c r="I523" s="2" t="s">
        <v>43</v>
      </c>
      <c r="J523" t="s">
        <v>31</v>
      </c>
      <c r="K523">
        <v>2</v>
      </c>
      <c r="L523" s="3"/>
      <c r="M523" s="3"/>
      <c r="N523" s="3"/>
      <c r="O523" s="3">
        <f t="shared" si="25"/>
        <v>0</v>
      </c>
      <c r="P523">
        <v>748.8</v>
      </c>
      <c r="Q523">
        <v>273</v>
      </c>
      <c r="R523">
        <v>13</v>
      </c>
      <c r="S523">
        <v>127</v>
      </c>
      <c r="T523">
        <f t="shared" si="26"/>
        <v>0</v>
      </c>
    </row>
    <row r="524" spans="1:20" x14ac:dyDescent="0.3">
      <c r="A524" s="1">
        <v>45139</v>
      </c>
      <c r="B524" s="1" t="str">
        <f t="shared" si="24"/>
        <v>Reliance_Chennai_Product_9_45139</v>
      </c>
      <c r="C524" s="2" t="s">
        <v>147</v>
      </c>
      <c r="D524" s="2" t="s">
        <v>148</v>
      </c>
      <c r="E524" s="2" t="s">
        <v>34</v>
      </c>
      <c r="F524" s="2" t="s">
        <v>51</v>
      </c>
      <c r="G524" s="2" t="s">
        <v>84</v>
      </c>
      <c r="H524" s="2" t="s">
        <v>37</v>
      </c>
      <c r="I524" s="2" t="s">
        <v>71</v>
      </c>
      <c r="J524" t="s">
        <v>31</v>
      </c>
      <c r="K524">
        <v>18</v>
      </c>
      <c r="L524" s="3"/>
      <c r="M524" s="3"/>
      <c r="N524" s="3"/>
      <c r="O524" s="3">
        <f t="shared" si="25"/>
        <v>0</v>
      </c>
      <c r="P524">
        <v>84</v>
      </c>
      <c r="Q524">
        <v>226</v>
      </c>
      <c r="R524">
        <v>0</v>
      </c>
      <c r="S524">
        <v>119</v>
      </c>
      <c r="T524">
        <f t="shared" si="26"/>
        <v>-6.6479999999999997</v>
      </c>
    </row>
    <row r="525" spans="1:20" x14ac:dyDescent="0.3">
      <c r="A525" s="1">
        <v>45170</v>
      </c>
      <c r="B525" s="1" t="str">
        <f t="shared" si="24"/>
        <v>Reliance_Bhiwandi_Product_10_45170</v>
      </c>
      <c r="C525" s="2" t="s">
        <v>85</v>
      </c>
      <c r="D525" s="2" t="s">
        <v>86</v>
      </c>
      <c r="E525" s="2" t="s">
        <v>34</v>
      </c>
      <c r="F525" s="2" t="s">
        <v>51</v>
      </c>
      <c r="G525" s="2" t="s">
        <v>66</v>
      </c>
      <c r="H525" s="2" t="s">
        <v>67</v>
      </c>
      <c r="I525" s="2" t="s">
        <v>76</v>
      </c>
      <c r="J525" t="s">
        <v>31</v>
      </c>
      <c r="K525">
        <v>41</v>
      </c>
      <c r="L525" s="3"/>
      <c r="M525" s="3"/>
      <c r="N525" s="3"/>
      <c r="O525" s="3">
        <f t="shared" si="25"/>
        <v>0</v>
      </c>
      <c r="P525">
        <v>48</v>
      </c>
      <c r="Q525">
        <v>141</v>
      </c>
      <c r="R525">
        <v>6</v>
      </c>
      <c r="S525">
        <v>106</v>
      </c>
      <c r="T525">
        <f t="shared" si="26"/>
        <v>-0.36</v>
      </c>
    </row>
    <row r="526" spans="1:20" x14ac:dyDescent="0.3">
      <c r="A526" s="1">
        <v>45170</v>
      </c>
      <c r="B526" s="1" t="str">
        <f t="shared" si="24"/>
        <v>Reliance_Chennai_Product_9_45170</v>
      </c>
      <c r="C526" s="2" t="s">
        <v>147</v>
      </c>
      <c r="D526" s="2" t="s">
        <v>148</v>
      </c>
      <c r="E526" s="2" t="s">
        <v>34</v>
      </c>
      <c r="F526" s="2" t="s">
        <v>51</v>
      </c>
      <c r="G526" s="2" t="s">
        <v>84</v>
      </c>
      <c r="H526" s="2" t="s">
        <v>37</v>
      </c>
      <c r="I526" s="2" t="s">
        <v>71</v>
      </c>
      <c r="J526" t="s">
        <v>31</v>
      </c>
      <c r="K526">
        <v>4</v>
      </c>
      <c r="L526" s="3"/>
      <c r="M526" s="3"/>
      <c r="N526" s="3"/>
      <c r="O526" s="3">
        <f t="shared" si="25"/>
        <v>0</v>
      </c>
      <c r="P526">
        <v>383.52</v>
      </c>
      <c r="Q526">
        <v>282</v>
      </c>
      <c r="R526">
        <v>13</v>
      </c>
      <c r="S526">
        <v>119</v>
      </c>
      <c r="T526">
        <f t="shared" si="26"/>
        <v>3.3552</v>
      </c>
    </row>
    <row r="527" spans="1:20" x14ac:dyDescent="0.3">
      <c r="A527" s="1">
        <v>45170</v>
      </c>
      <c r="B527" s="1" t="str">
        <f t="shared" si="24"/>
        <v>Reliance_Ahmedabad_Product_7_45170</v>
      </c>
      <c r="C527" s="2" t="s">
        <v>99</v>
      </c>
      <c r="D527" s="2" t="s">
        <v>100</v>
      </c>
      <c r="E527" s="2" t="s">
        <v>34</v>
      </c>
      <c r="F527" s="2" t="s">
        <v>51</v>
      </c>
      <c r="G527" s="2" t="s">
        <v>52</v>
      </c>
      <c r="H527" s="2" t="s">
        <v>37</v>
      </c>
      <c r="I527" s="2" t="s">
        <v>60</v>
      </c>
      <c r="J527" t="s">
        <v>31</v>
      </c>
      <c r="K527">
        <v>1</v>
      </c>
      <c r="L527" s="3"/>
      <c r="M527" s="3"/>
      <c r="N527" s="3"/>
      <c r="O527" s="3">
        <f t="shared" si="25"/>
        <v>0</v>
      </c>
      <c r="P527">
        <v>383.52</v>
      </c>
      <c r="Q527">
        <v>449</v>
      </c>
      <c r="R527">
        <v>0</v>
      </c>
      <c r="S527">
        <v>117</v>
      </c>
      <c r="T527">
        <f t="shared" si="26"/>
        <v>0</v>
      </c>
    </row>
    <row r="528" spans="1:20" x14ac:dyDescent="0.3">
      <c r="A528" s="1">
        <v>45170</v>
      </c>
      <c r="B528" s="1" t="str">
        <f t="shared" si="24"/>
        <v>Reliance_Chennai_Product_11_45170</v>
      </c>
      <c r="C528" s="2" t="s">
        <v>110</v>
      </c>
      <c r="D528" s="2" t="s">
        <v>111</v>
      </c>
      <c r="E528" s="2" t="s">
        <v>34</v>
      </c>
      <c r="F528" s="2" t="s">
        <v>51</v>
      </c>
      <c r="G528" s="2" t="s">
        <v>84</v>
      </c>
      <c r="H528" s="2" t="s">
        <v>67</v>
      </c>
      <c r="I528" s="2" t="s">
        <v>89</v>
      </c>
      <c r="J528" t="s">
        <v>31</v>
      </c>
      <c r="K528">
        <v>2</v>
      </c>
      <c r="L528" s="3"/>
      <c r="M528" s="3"/>
      <c r="N528" s="3"/>
      <c r="O528" s="3">
        <f t="shared" si="25"/>
        <v>0</v>
      </c>
      <c r="P528">
        <v>672</v>
      </c>
      <c r="Q528">
        <v>442</v>
      </c>
      <c r="R528">
        <v>2</v>
      </c>
      <c r="S528">
        <v>131</v>
      </c>
      <c r="T528">
        <f t="shared" si="26"/>
        <v>2.8848000000000003</v>
      </c>
    </row>
    <row r="529" spans="1:20" x14ac:dyDescent="0.3">
      <c r="A529" s="1">
        <v>45170</v>
      </c>
      <c r="B529" s="1" t="str">
        <f t="shared" si="24"/>
        <v>Maharashtra_MH-Aggregated_Product_3_45170</v>
      </c>
      <c r="C529" s="2" t="s">
        <v>39</v>
      </c>
      <c r="D529" s="2" t="s">
        <v>40</v>
      </c>
      <c r="E529" s="2" t="s">
        <v>26</v>
      </c>
      <c r="F529" s="2" t="s">
        <v>41</v>
      </c>
      <c r="G529" s="2" t="s">
        <v>42</v>
      </c>
      <c r="H529" s="2" t="s">
        <v>37</v>
      </c>
      <c r="I529" s="2" t="s">
        <v>43</v>
      </c>
      <c r="J529" t="s">
        <v>31</v>
      </c>
      <c r="K529">
        <v>1</v>
      </c>
      <c r="L529" s="3"/>
      <c r="M529" s="3"/>
      <c r="N529" s="3"/>
      <c r="O529" s="3">
        <f t="shared" si="25"/>
        <v>0</v>
      </c>
      <c r="P529">
        <v>672</v>
      </c>
      <c r="Q529">
        <v>162</v>
      </c>
      <c r="R529">
        <v>0</v>
      </c>
      <c r="S529">
        <v>127</v>
      </c>
      <c r="T529">
        <f t="shared" si="26"/>
        <v>0</v>
      </c>
    </row>
    <row r="530" spans="1:20" x14ac:dyDescent="0.3">
      <c r="A530" s="1">
        <v>45170</v>
      </c>
      <c r="B530" s="1" t="str">
        <f t="shared" si="24"/>
        <v>Reliance_Mundka_Product_6_45170</v>
      </c>
      <c r="C530" s="2" t="s">
        <v>55</v>
      </c>
      <c r="D530" s="2" t="s">
        <v>56</v>
      </c>
      <c r="E530" s="2" t="s">
        <v>34</v>
      </c>
      <c r="F530" s="2" t="s">
        <v>51</v>
      </c>
      <c r="G530" s="2" t="s">
        <v>36</v>
      </c>
      <c r="H530" s="2" t="s">
        <v>37</v>
      </c>
      <c r="I530" s="2" t="s">
        <v>57</v>
      </c>
      <c r="J530" t="s">
        <v>31</v>
      </c>
      <c r="K530">
        <v>7</v>
      </c>
      <c r="L530" s="3"/>
      <c r="M530" s="3"/>
      <c r="N530" s="3"/>
      <c r="O530" s="3">
        <f t="shared" si="25"/>
        <v>0</v>
      </c>
      <c r="P530">
        <v>421.92</v>
      </c>
      <c r="Q530">
        <v>109</v>
      </c>
      <c r="R530">
        <v>0</v>
      </c>
      <c r="S530">
        <v>135</v>
      </c>
      <c r="T530">
        <f t="shared" si="26"/>
        <v>-2.5007999999999999</v>
      </c>
    </row>
    <row r="531" spans="1:20" x14ac:dyDescent="0.3">
      <c r="A531" s="1">
        <v>45170</v>
      </c>
      <c r="B531" s="1" t="str">
        <f t="shared" si="24"/>
        <v>Reliance_Bangalore_Product_3_45170</v>
      </c>
      <c r="C531" s="2" t="s">
        <v>80</v>
      </c>
      <c r="D531" s="2" t="s">
        <v>81</v>
      </c>
      <c r="E531" s="2" t="s">
        <v>34</v>
      </c>
      <c r="F531" s="2" t="s">
        <v>51</v>
      </c>
      <c r="G531" s="2" t="s">
        <v>79</v>
      </c>
      <c r="H531" s="2" t="s">
        <v>37</v>
      </c>
      <c r="I531" s="2" t="s">
        <v>43</v>
      </c>
      <c r="J531" t="s">
        <v>31</v>
      </c>
      <c r="K531">
        <v>2</v>
      </c>
      <c r="L531" s="3"/>
      <c r="M531" s="3"/>
      <c r="N531" s="3"/>
      <c r="O531" s="3">
        <f t="shared" si="25"/>
        <v>0</v>
      </c>
      <c r="P531">
        <v>421.92</v>
      </c>
      <c r="Q531">
        <v>359</v>
      </c>
      <c r="R531">
        <v>2</v>
      </c>
      <c r="S531">
        <v>127</v>
      </c>
      <c r="T531">
        <f t="shared" si="26"/>
        <v>0</v>
      </c>
    </row>
    <row r="532" spans="1:20" x14ac:dyDescent="0.3">
      <c r="A532" s="1">
        <v>45170</v>
      </c>
      <c r="B532" s="1" t="str">
        <f t="shared" si="24"/>
        <v>Reliance_Bangalore_Product_8_45170</v>
      </c>
      <c r="C532" s="2" t="s">
        <v>77</v>
      </c>
      <c r="D532" s="2" t="s">
        <v>78</v>
      </c>
      <c r="E532" s="2" t="s">
        <v>34</v>
      </c>
      <c r="F532" s="2" t="s">
        <v>51</v>
      </c>
      <c r="G532" s="2" t="s">
        <v>79</v>
      </c>
      <c r="H532" s="2" t="s">
        <v>67</v>
      </c>
      <c r="I532" s="2" t="s">
        <v>68</v>
      </c>
      <c r="J532" t="s">
        <v>31</v>
      </c>
      <c r="K532">
        <v>3</v>
      </c>
      <c r="L532" s="3"/>
      <c r="M532" s="3"/>
      <c r="N532" s="3"/>
      <c r="O532" s="3">
        <f t="shared" si="25"/>
        <v>0</v>
      </c>
      <c r="P532">
        <v>748.8</v>
      </c>
      <c r="Q532">
        <v>295</v>
      </c>
      <c r="R532">
        <v>4</v>
      </c>
      <c r="S532">
        <v>126</v>
      </c>
      <c r="T532">
        <f t="shared" si="26"/>
        <v>3.2687999999999993</v>
      </c>
    </row>
    <row r="533" spans="1:20" x14ac:dyDescent="0.3">
      <c r="A533" s="1">
        <v>45170</v>
      </c>
      <c r="B533" s="1" t="str">
        <f t="shared" si="24"/>
        <v>Reliance_Ahmedabad_Product_18_45170</v>
      </c>
      <c r="C533" s="2" t="s">
        <v>121</v>
      </c>
      <c r="D533" s="2" t="s">
        <v>122</v>
      </c>
      <c r="E533" s="2" t="s">
        <v>34</v>
      </c>
      <c r="F533" s="2" t="s">
        <v>51</v>
      </c>
      <c r="G533" s="2" t="s">
        <v>52</v>
      </c>
      <c r="H533" s="2" t="s">
        <v>29</v>
      </c>
      <c r="I533" s="2" t="s">
        <v>123</v>
      </c>
      <c r="J533" t="s">
        <v>31</v>
      </c>
      <c r="K533">
        <v>1</v>
      </c>
      <c r="L533" s="3"/>
      <c r="M533" s="3"/>
      <c r="N533" s="3"/>
      <c r="O533" s="3">
        <f t="shared" si="25"/>
        <v>0</v>
      </c>
      <c r="P533">
        <v>748.8</v>
      </c>
      <c r="Q533">
        <v>363</v>
      </c>
      <c r="R533">
        <v>0</v>
      </c>
      <c r="S533">
        <v>129</v>
      </c>
      <c r="T533">
        <f t="shared" si="26"/>
        <v>0</v>
      </c>
    </row>
    <row r="534" spans="1:20" x14ac:dyDescent="0.3">
      <c r="A534" s="1">
        <v>45170</v>
      </c>
      <c r="B534" s="1" t="str">
        <f t="shared" si="24"/>
        <v>Reliance_Kolkata CFA_Product_12_45170</v>
      </c>
      <c r="C534" s="2" t="s">
        <v>101</v>
      </c>
      <c r="D534" s="2" t="s">
        <v>102</v>
      </c>
      <c r="E534" s="2" t="s">
        <v>34</v>
      </c>
      <c r="F534" s="2" t="s">
        <v>51</v>
      </c>
      <c r="G534" s="2" t="s">
        <v>63</v>
      </c>
      <c r="H534" s="2" t="s">
        <v>67</v>
      </c>
      <c r="I534" s="2" t="s">
        <v>92</v>
      </c>
      <c r="J534" t="s">
        <v>31</v>
      </c>
      <c r="K534">
        <v>5</v>
      </c>
      <c r="L534" s="3"/>
      <c r="M534" s="3"/>
      <c r="N534" s="3"/>
      <c r="O534" s="3">
        <f t="shared" si="25"/>
        <v>0</v>
      </c>
      <c r="P534">
        <v>84</v>
      </c>
      <c r="Q534">
        <v>160</v>
      </c>
      <c r="R534">
        <v>0</v>
      </c>
      <c r="S534">
        <v>94</v>
      </c>
      <c r="T534">
        <f t="shared" si="26"/>
        <v>-6.6479999999999997</v>
      </c>
    </row>
    <row r="535" spans="1:20" x14ac:dyDescent="0.3">
      <c r="A535" s="1">
        <v>45170</v>
      </c>
      <c r="B535" s="1" t="str">
        <f t="shared" si="24"/>
        <v>Grofers_Kolkata CFA_Product_20_45170</v>
      </c>
      <c r="C535" s="2" t="s">
        <v>153</v>
      </c>
      <c r="D535" s="2" t="s">
        <v>154</v>
      </c>
      <c r="E535" s="2" t="s">
        <v>34</v>
      </c>
      <c r="F535" s="2" t="s">
        <v>114</v>
      </c>
      <c r="G535" s="2" t="s">
        <v>63</v>
      </c>
      <c r="H535" s="2" t="s">
        <v>47</v>
      </c>
      <c r="I535" s="2" t="s">
        <v>130</v>
      </c>
      <c r="J535" t="s">
        <v>31</v>
      </c>
      <c r="K535">
        <v>9</v>
      </c>
      <c r="L535" s="3"/>
      <c r="M535" s="3"/>
      <c r="N535" s="3"/>
      <c r="O535" s="3">
        <f t="shared" si="25"/>
        <v>0</v>
      </c>
      <c r="P535">
        <v>48</v>
      </c>
      <c r="Q535">
        <v>290</v>
      </c>
      <c r="R535">
        <v>3</v>
      </c>
      <c r="S535">
        <v>125</v>
      </c>
      <c r="T535">
        <f t="shared" si="26"/>
        <v>-0.36</v>
      </c>
    </row>
    <row r="536" spans="1:20" x14ac:dyDescent="0.3">
      <c r="A536" s="1">
        <v>45170</v>
      </c>
      <c r="B536" s="1" t="str">
        <f t="shared" si="24"/>
        <v>Reliance_Ahmedabad_Product_9_45170</v>
      </c>
      <c r="C536" s="2" t="s">
        <v>151</v>
      </c>
      <c r="D536" s="2" t="s">
        <v>152</v>
      </c>
      <c r="E536" s="2" t="s">
        <v>34</v>
      </c>
      <c r="F536" s="2" t="s">
        <v>51</v>
      </c>
      <c r="G536" s="2" t="s">
        <v>52</v>
      </c>
      <c r="H536" s="2" t="s">
        <v>37</v>
      </c>
      <c r="I536" s="2" t="s">
        <v>71</v>
      </c>
      <c r="J536" t="s">
        <v>31</v>
      </c>
      <c r="K536">
        <v>13</v>
      </c>
      <c r="L536" s="3"/>
      <c r="M536" s="3"/>
      <c r="N536" s="3"/>
      <c r="O536" s="3">
        <f t="shared" si="25"/>
        <v>0</v>
      </c>
      <c r="P536">
        <v>383.52</v>
      </c>
      <c r="Q536">
        <v>324</v>
      </c>
      <c r="R536">
        <v>0</v>
      </c>
      <c r="S536">
        <v>119</v>
      </c>
      <c r="T536">
        <f t="shared" si="26"/>
        <v>3.3552</v>
      </c>
    </row>
    <row r="537" spans="1:20" x14ac:dyDescent="0.3">
      <c r="A537" s="1">
        <v>45170</v>
      </c>
      <c r="B537" s="1" t="str">
        <f t="shared" si="24"/>
        <v>Reliance_Mundka_Product_9_45170</v>
      </c>
      <c r="C537" s="2" t="s">
        <v>145</v>
      </c>
      <c r="D537" s="2" t="s">
        <v>146</v>
      </c>
      <c r="E537" s="2" t="s">
        <v>34</v>
      </c>
      <c r="F537" s="2" t="s">
        <v>51</v>
      </c>
      <c r="G537" s="2" t="s">
        <v>36</v>
      </c>
      <c r="H537" s="2" t="s">
        <v>37</v>
      </c>
      <c r="I537" s="2" t="s">
        <v>71</v>
      </c>
      <c r="J537" t="s">
        <v>31</v>
      </c>
      <c r="K537">
        <v>3</v>
      </c>
      <c r="L537" s="3"/>
      <c r="M537" s="3"/>
      <c r="N537" s="3"/>
      <c r="O537" s="3">
        <f t="shared" si="25"/>
        <v>0</v>
      </c>
      <c r="P537">
        <v>383.52</v>
      </c>
      <c r="Q537">
        <v>171</v>
      </c>
      <c r="R537">
        <v>0</v>
      </c>
      <c r="S537">
        <v>119</v>
      </c>
      <c r="T537">
        <f t="shared" si="26"/>
        <v>0</v>
      </c>
    </row>
    <row r="538" spans="1:20" x14ac:dyDescent="0.3">
      <c r="A538" s="1">
        <v>45170</v>
      </c>
      <c r="B538" s="1" t="str">
        <f t="shared" si="24"/>
        <v>Reliance_Mundka_Product_7_45170</v>
      </c>
      <c r="C538" s="2" t="s">
        <v>58</v>
      </c>
      <c r="D538" s="2" t="s">
        <v>59</v>
      </c>
      <c r="E538" s="2" t="s">
        <v>34</v>
      </c>
      <c r="F538" s="2" t="s">
        <v>51</v>
      </c>
      <c r="G538" s="2" t="s">
        <v>36</v>
      </c>
      <c r="H538" s="2" t="s">
        <v>37</v>
      </c>
      <c r="I538" s="2" t="s">
        <v>60</v>
      </c>
      <c r="J538" t="s">
        <v>31</v>
      </c>
      <c r="K538">
        <v>6</v>
      </c>
      <c r="L538" s="3"/>
      <c r="M538" s="3"/>
      <c r="N538" s="3"/>
      <c r="O538" s="3">
        <f t="shared" si="25"/>
        <v>0</v>
      </c>
      <c r="P538">
        <v>672</v>
      </c>
      <c r="Q538">
        <v>339</v>
      </c>
      <c r="R538">
        <v>5</v>
      </c>
      <c r="S538">
        <v>117</v>
      </c>
      <c r="T538">
        <f t="shared" si="26"/>
        <v>2.8848000000000003</v>
      </c>
    </row>
    <row r="539" spans="1:20" x14ac:dyDescent="0.3">
      <c r="A539" s="1">
        <v>45170</v>
      </c>
      <c r="B539" s="1" t="str">
        <f t="shared" si="24"/>
        <v>Swiggy_Bangalore_Product_16_45170</v>
      </c>
      <c r="C539" s="2" t="s">
        <v>107</v>
      </c>
      <c r="D539" s="2" t="s">
        <v>108</v>
      </c>
      <c r="E539" s="2" t="s">
        <v>34</v>
      </c>
      <c r="F539" s="2" t="s">
        <v>35</v>
      </c>
      <c r="G539" s="2" t="s">
        <v>79</v>
      </c>
      <c r="H539" s="2" t="s">
        <v>47</v>
      </c>
      <c r="I539" s="2" t="s">
        <v>109</v>
      </c>
      <c r="J539" t="s">
        <v>31</v>
      </c>
      <c r="K539">
        <v>1</v>
      </c>
      <c r="L539" s="3"/>
      <c r="M539" s="3"/>
      <c r="N539" s="3"/>
      <c r="O539" s="3">
        <f t="shared" si="25"/>
        <v>0</v>
      </c>
      <c r="P539">
        <v>672</v>
      </c>
      <c r="Q539">
        <v>253</v>
      </c>
      <c r="R539">
        <v>7</v>
      </c>
      <c r="S539">
        <v>122</v>
      </c>
      <c r="T539">
        <f t="shared" si="26"/>
        <v>0</v>
      </c>
    </row>
    <row r="540" spans="1:20" x14ac:dyDescent="0.3">
      <c r="A540" s="1">
        <v>45170</v>
      </c>
      <c r="B540" s="1" t="str">
        <f t="shared" si="24"/>
        <v>Jharkhand_JH-Aggregated_Product_15_45170</v>
      </c>
      <c r="C540" s="2" t="s">
        <v>103</v>
      </c>
      <c r="D540" s="2" t="s">
        <v>104</v>
      </c>
      <c r="E540" s="2" t="s">
        <v>26</v>
      </c>
      <c r="F540" s="2" t="s">
        <v>27</v>
      </c>
      <c r="G540" s="2" t="s">
        <v>28</v>
      </c>
      <c r="H540" s="2" t="s">
        <v>105</v>
      </c>
      <c r="I540" s="2" t="s">
        <v>106</v>
      </c>
      <c r="J540" t="s">
        <v>31</v>
      </c>
      <c r="K540">
        <v>31</v>
      </c>
      <c r="L540" s="3"/>
      <c r="M540" s="3"/>
      <c r="N540" s="3"/>
      <c r="O540" s="3">
        <f t="shared" si="25"/>
        <v>0</v>
      </c>
      <c r="P540">
        <v>421.92</v>
      </c>
      <c r="Q540">
        <v>240</v>
      </c>
      <c r="R540">
        <v>2</v>
      </c>
      <c r="S540">
        <v>143</v>
      </c>
      <c r="T540">
        <f t="shared" si="26"/>
        <v>-2.5007999999999999</v>
      </c>
    </row>
    <row r="541" spans="1:20" x14ac:dyDescent="0.3">
      <c r="A541" s="1">
        <v>45170</v>
      </c>
      <c r="B541" s="1" t="str">
        <f t="shared" si="24"/>
        <v>Reliance_Hyderabad_Product_2_45170</v>
      </c>
      <c r="C541" s="2" t="s">
        <v>149</v>
      </c>
      <c r="D541" s="2" t="s">
        <v>150</v>
      </c>
      <c r="E541" s="2" t="s">
        <v>34</v>
      </c>
      <c r="F541" s="2" t="s">
        <v>51</v>
      </c>
      <c r="G541" s="2" t="s">
        <v>137</v>
      </c>
      <c r="H541" s="2" t="s">
        <v>37</v>
      </c>
      <c r="I541" s="2" t="s">
        <v>38</v>
      </c>
      <c r="J541" t="s">
        <v>31</v>
      </c>
      <c r="K541">
        <v>6</v>
      </c>
      <c r="L541" s="3"/>
      <c r="M541" s="3"/>
      <c r="N541" s="3"/>
      <c r="O541" s="3">
        <f t="shared" si="25"/>
        <v>0</v>
      </c>
      <c r="P541">
        <v>421.92</v>
      </c>
      <c r="Q541">
        <v>283</v>
      </c>
      <c r="R541">
        <v>10</v>
      </c>
      <c r="S541">
        <v>134</v>
      </c>
      <c r="T541">
        <f t="shared" si="26"/>
        <v>0</v>
      </c>
    </row>
    <row r="542" spans="1:20" x14ac:dyDescent="0.3">
      <c r="A542" s="1">
        <v>45170</v>
      </c>
      <c r="B542" s="1" t="str">
        <f t="shared" si="24"/>
        <v>Swiggy_Kolkata CFA_Product_20_45170</v>
      </c>
      <c r="C542" s="2" t="s">
        <v>128</v>
      </c>
      <c r="D542" s="2" t="s">
        <v>129</v>
      </c>
      <c r="E542" s="2" t="s">
        <v>34</v>
      </c>
      <c r="F542" s="2" t="s">
        <v>35</v>
      </c>
      <c r="G542" s="2" t="s">
        <v>63</v>
      </c>
      <c r="H542" s="2" t="s">
        <v>47</v>
      </c>
      <c r="I542" s="2" t="s">
        <v>130</v>
      </c>
      <c r="J542" t="s">
        <v>31</v>
      </c>
      <c r="K542">
        <v>11</v>
      </c>
      <c r="L542" s="3"/>
      <c r="M542" s="3"/>
      <c r="N542" s="3"/>
      <c r="O542" s="3">
        <f t="shared" si="25"/>
        <v>0</v>
      </c>
      <c r="P542">
        <v>748.8</v>
      </c>
      <c r="Q542">
        <v>156</v>
      </c>
      <c r="R542">
        <v>12</v>
      </c>
      <c r="S542">
        <v>125</v>
      </c>
      <c r="T542">
        <f t="shared" si="26"/>
        <v>3.2687999999999993</v>
      </c>
    </row>
    <row r="543" spans="1:20" x14ac:dyDescent="0.3">
      <c r="A543" s="1">
        <v>45170</v>
      </c>
      <c r="B543" s="1" t="str">
        <f t="shared" si="24"/>
        <v>Reliance_Bhiwandi_Product_8_45170</v>
      </c>
      <c r="C543" s="2" t="s">
        <v>64</v>
      </c>
      <c r="D543" s="2" t="s">
        <v>65</v>
      </c>
      <c r="E543" s="2" t="s">
        <v>34</v>
      </c>
      <c r="F543" s="2" t="s">
        <v>51</v>
      </c>
      <c r="G543" s="2" t="s">
        <v>66</v>
      </c>
      <c r="H543" s="2" t="s">
        <v>67</v>
      </c>
      <c r="I543" s="2" t="s">
        <v>68</v>
      </c>
      <c r="J543" t="s">
        <v>31</v>
      </c>
      <c r="K543">
        <v>2</v>
      </c>
      <c r="L543" s="3"/>
      <c r="M543" s="3"/>
      <c r="N543" s="3"/>
      <c r="O543" s="3">
        <f t="shared" si="25"/>
        <v>0</v>
      </c>
      <c r="P543">
        <v>748.8</v>
      </c>
      <c r="Q543">
        <v>167</v>
      </c>
      <c r="R543">
        <v>9</v>
      </c>
      <c r="S543">
        <v>126</v>
      </c>
      <c r="T543">
        <f t="shared" si="26"/>
        <v>0</v>
      </c>
    </row>
    <row r="544" spans="1:20" x14ac:dyDescent="0.3">
      <c r="A544" s="1">
        <v>45170</v>
      </c>
      <c r="B544" s="1" t="str">
        <f t="shared" si="24"/>
        <v>Maharashtra_MH-Aggregated_Product_9_45170</v>
      </c>
      <c r="C544" s="2" t="s">
        <v>69</v>
      </c>
      <c r="D544" s="2" t="s">
        <v>70</v>
      </c>
      <c r="E544" s="2" t="s">
        <v>26</v>
      </c>
      <c r="F544" s="2" t="s">
        <v>41</v>
      </c>
      <c r="G544" s="2" t="s">
        <v>42</v>
      </c>
      <c r="H544" s="2" t="s">
        <v>37</v>
      </c>
      <c r="I544" s="2" t="s">
        <v>71</v>
      </c>
      <c r="J544" t="s">
        <v>31</v>
      </c>
      <c r="K544">
        <v>18</v>
      </c>
      <c r="L544" s="3"/>
      <c r="M544" s="3"/>
      <c r="N544" s="3"/>
      <c r="O544" s="3">
        <f t="shared" si="25"/>
        <v>0</v>
      </c>
      <c r="P544">
        <v>84</v>
      </c>
      <c r="Q544">
        <v>491</v>
      </c>
      <c r="R544">
        <v>0</v>
      </c>
      <c r="S544">
        <v>119</v>
      </c>
      <c r="T544">
        <f t="shared" si="26"/>
        <v>-6.6479999999999997</v>
      </c>
    </row>
    <row r="545" spans="1:20" x14ac:dyDescent="0.3">
      <c r="A545" s="1">
        <v>45170</v>
      </c>
      <c r="B545" s="1" t="str">
        <f t="shared" si="24"/>
        <v>Swiggy_Kolkata CFA_Product_3_45170</v>
      </c>
      <c r="C545" s="2" t="s">
        <v>61</v>
      </c>
      <c r="D545" s="2" t="s">
        <v>62</v>
      </c>
      <c r="E545" s="2" t="s">
        <v>34</v>
      </c>
      <c r="F545" s="2" t="s">
        <v>35</v>
      </c>
      <c r="G545" s="2" t="s">
        <v>63</v>
      </c>
      <c r="H545" s="2" t="s">
        <v>37</v>
      </c>
      <c r="I545" s="2" t="s">
        <v>43</v>
      </c>
      <c r="J545" t="s">
        <v>31</v>
      </c>
      <c r="K545">
        <v>41</v>
      </c>
      <c r="L545" s="3"/>
      <c r="M545" s="3"/>
      <c r="N545" s="3"/>
      <c r="O545" s="3">
        <f t="shared" si="25"/>
        <v>0</v>
      </c>
      <c r="P545">
        <v>48</v>
      </c>
      <c r="Q545">
        <v>284</v>
      </c>
      <c r="R545">
        <v>0</v>
      </c>
      <c r="S545">
        <v>127</v>
      </c>
      <c r="T545">
        <f t="shared" si="26"/>
        <v>-0.36</v>
      </c>
    </row>
    <row r="546" spans="1:20" x14ac:dyDescent="0.3">
      <c r="A546" s="1">
        <v>45170</v>
      </c>
      <c r="B546" s="1" t="str">
        <f t="shared" si="24"/>
        <v>Grofers_Hyderabad_Product_21_45170</v>
      </c>
      <c r="C546" s="2" t="s">
        <v>135</v>
      </c>
      <c r="D546" s="2" t="s">
        <v>136</v>
      </c>
      <c r="E546" s="2" t="s">
        <v>34</v>
      </c>
      <c r="F546" s="2" t="s">
        <v>114</v>
      </c>
      <c r="G546" s="2" t="s">
        <v>137</v>
      </c>
      <c r="H546" s="2" t="s">
        <v>133</v>
      </c>
      <c r="I546" s="2" t="s">
        <v>134</v>
      </c>
      <c r="J546" t="s">
        <v>31</v>
      </c>
      <c r="K546">
        <v>28</v>
      </c>
      <c r="L546" s="3"/>
      <c r="M546" s="3"/>
      <c r="N546" s="3"/>
      <c r="O546" s="3">
        <f t="shared" si="25"/>
        <v>0</v>
      </c>
      <c r="P546">
        <v>383.52</v>
      </c>
      <c r="Q546">
        <v>175</v>
      </c>
      <c r="R546">
        <v>0</v>
      </c>
      <c r="S546">
        <v>115</v>
      </c>
      <c r="T546">
        <f t="shared" si="26"/>
        <v>3.3552</v>
      </c>
    </row>
    <row r="547" spans="1:20" x14ac:dyDescent="0.3">
      <c r="A547" s="1">
        <v>45170</v>
      </c>
      <c r="B547" s="1" t="str">
        <f t="shared" si="24"/>
        <v>Swiggy_Kolkata CFA_Product_11_45170</v>
      </c>
      <c r="C547" s="2" t="s">
        <v>119</v>
      </c>
      <c r="D547" s="2" t="s">
        <v>120</v>
      </c>
      <c r="E547" s="2" t="s">
        <v>34</v>
      </c>
      <c r="F547" s="2" t="s">
        <v>35</v>
      </c>
      <c r="G547" s="2" t="s">
        <v>63</v>
      </c>
      <c r="H547" s="2" t="s">
        <v>67</v>
      </c>
      <c r="I547" s="2" t="s">
        <v>89</v>
      </c>
      <c r="J547" t="s">
        <v>31</v>
      </c>
      <c r="K547">
        <v>6</v>
      </c>
      <c r="L547" s="3"/>
      <c r="M547" s="3"/>
      <c r="N547" s="3"/>
      <c r="O547" s="3">
        <f t="shared" si="25"/>
        <v>0</v>
      </c>
      <c r="P547">
        <v>383.52</v>
      </c>
      <c r="Q547">
        <v>464</v>
      </c>
      <c r="R547">
        <v>0</v>
      </c>
      <c r="S547">
        <v>131</v>
      </c>
      <c r="T547">
        <f t="shared" si="26"/>
        <v>0</v>
      </c>
    </row>
    <row r="548" spans="1:20" x14ac:dyDescent="0.3">
      <c r="A548" s="1">
        <v>45170</v>
      </c>
      <c r="B548" s="1" t="str">
        <f t="shared" si="24"/>
        <v>Swiggy_Mundka_Product_2_45170</v>
      </c>
      <c r="C548" s="2" t="s">
        <v>32</v>
      </c>
      <c r="D548" s="2" t="s">
        <v>33</v>
      </c>
      <c r="E548" s="2" t="s">
        <v>34</v>
      </c>
      <c r="F548" s="2" t="s">
        <v>35</v>
      </c>
      <c r="G548" s="2" t="s">
        <v>36</v>
      </c>
      <c r="H548" s="2" t="s">
        <v>37</v>
      </c>
      <c r="I548" s="2" t="s">
        <v>38</v>
      </c>
      <c r="J548" t="s">
        <v>31</v>
      </c>
      <c r="K548">
        <v>13</v>
      </c>
      <c r="L548" s="3"/>
      <c r="M548" s="3"/>
      <c r="N548" s="3"/>
      <c r="O548" s="3">
        <f t="shared" si="25"/>
        <v>0</v>
      </c>
      <c r="P548">
        <v>672</v>
      </c>
      <c r="Q548">
        <v>127</v>
      </c>
      <c r="R548">
        <v>11</v>
      </c>
      <c r="S548">
        <v>134</v>
      </c>
      <c r="T548">
        <f t="shared" si="26"/>
        <v>2.8848000000000003</v>
      </c>
    </row>
    <row r="549" spans="1:20" x14ac:dyDescent="0.3">
      <c r="A549" s="1">
        <v>45170</v>
      </c>
      <c r="B549" s="1" t="str">
        <f t="shared" si="24"/>
        <v>Reliance_Bangalore_Product_13_45170</v>
      </c>
      <c r="C549" s="2" t="s">
        <v>93</v>
      </c>
      <c r="D549" s="2" t="s">
        <v>94</v>
      </c>
      <c r="E549" s="2" t="s">
        <v>34</v>
      </c>
      <c r="F549" s="2" t="s">
        <v>51</v>
      </c>
      <c r="G549" s="2" t="s">
        <v>79</v>
      </c>
      <c r="H549" s="2" t="s">
        <v>67</v>
      </c>
      <c r="I549" s="2" t="s">
        <v>95</v>
      </c>
      <c r="J549" t="s">
        <v>31</v>
      </c>
      <c r="K549">
        <v>3</v>
      </c>
      <c r="L549" s="3"/>
      <c r="M549" s="3"/>
      <c r="N549" s="3"/>
      <c r="O549" s="3">
        <f t="shared" si="25"/>
        <v>0</v>
      </c>
      <c r="P549">
        <v>672</v>
      </c>
      <c r="Q549">
        <v>427</v>
      </c>
      <c r="R549">
        <v>0</v>
      </c>
      <c r="S549">
        <v>113</v>
      </c>
      <c r="T549">
        <f t="shared" si="26"/>
        <v>0</v>
      </c>
    </row>
    <row r="550" spans="1:20" x14ac:dyDescent="0.3">
      <c r="A550" s="1">
        <v>45170</v>
      </c>
      <c r="B550" s="1" t="str">
        <f t="shared" si="24"/>
        <v>Reliance_Ahmedabad_Product_5_45170</v>
      </c>
      <c r="C550" s="2" t="s">
        <v>49</v>
      </c>
      <c r="D550" s="2" t="s">
        <v>50</v>
      </c>
      <c r="E550" s="2" t="s">
        <v>34</v>
      </c>
      <c r="F550" s="2" t="s">
        <v>51</v>
      </c>
      <c r="G550" s="2" t="s">
        <v>52</v>
      </c>
      <c r="H550" s="2" t="s">
        <v>53</v>
      </c>
      <c r="I550" s="2" t="s">
        <v>54</v>
      </c>
      <c r="J550" t="s">
        <v>31</v>
      </c>
      <c r="K550">
        <v>69</v>
      </c>
      <c r="L550" s="3"/>
      <c r="M550" s="3"/>
      <c r="N550" s="3"/>
      <c r="O550" s="3">
        <f t="shared" si="25"/>
        <v>0</v>
      </c>
      <c r="P550">
        <v>421.92</v>
      </c>
      <c r="Q550">
        <v>356</v>
      </c>
      <c r="R550">
        <v>0</v>
      </c>
      <c r="S550">
        <v>132</v>
      </c>
      <c r="T550">
        <f t="shared" si="26"/>
        <v>-2.5007999999999999</v>
      </c>
    </row>
    <row r="551" spans="1:20" x14ac:dyDescent="0.3">
      <c r="A551" s="1">
        <v>45170</v>
      </c>
      <c r="B551" s="1" t="str">
        <f t="shared" si="24"/>
        <v>Grofers_Mundka_Product_21_45170</v>
      </c>
      <c r="C551" s="2" t="s">
        <v>131</v>
      </c>
      <c r="D551" s="2" t="s">
        <v>132</v>
      </c>
      <c r="E551" s="2" t="s">
        <v>34</v>
      </c>
      <c r="F551" s="2" t="s">
        <v>114</v>
      </c>
      <c r="G551" s="2" t="s">
        <v>36</v>
      </c>
      <c r="H551" s="2" t="s">
        <v>133</v>
      </c>
      <c r="I551" s="2" t="s">
        <v>134</v>
      </c>
      <c r="J551" t="s">
        <v>31</v>
      </c>
      <c r="K551">
        <v>12</v>
      </c>
      <c r="L551" s="3"/>
      <c r="M551" s="3"/>
      <c r="N551" s="3"/>
      <c r="O551" s="3">
        <f t="shared" si="25"/>
        <v>0</v>
      </c>
      <c r="P551">
        <v>421.92</v>
      </c>
      <c r="Q551">
        <v>417</v>
      </c>
      <c r="R551">
        <v>5</v>
      </c>
      <c r="S551">
        <v>115</v>
      </c>
      <c r="T551">
        <f t="shared" si="26"/>
        <v>0</v>
      </c>
    </row>
    <row r="552" spans="1:20" x14ac:dyDescent="0.3">
      <c r="A552" s="1">
        <v>45170</v>
      </c>
      <c r="B552" s="1" t="str">
        <f t="shared" si="24"/>
        <v>Grofers_Ahmedabad_Product_9_45170</v>
      </c>
      <c r="C552" s="2" t="s">
        <v>112</v>
      </c>
      <c r="D552" s="2" t="s">
        <v>113</v>
      </c>
      <c r="E552" s="2" t="s">
        <v>34</v>
      </c>
      <c r="F552" s="2" t="s">
        <v>114</v>
      </c>
      <c r="G552" s="2" t="s">
        <v>52</v>
      </c>
      <c r="H552" s="2" t="s">
        <v>37</v>
      </c>
      <c r="I552" s="2" t="s">
        <v>71</v>
      </c>
      <c r="J552" t="s">
        <v>31</v>
      </c>
      <c r="K552">
        <v>23</v>
      </c>
      <c r="L552" s="3"/>
      <c r="M552" s="3"/>
      <c r="N552" s="3"/>
      <c r="O552" s="3">
        <f t="shared" si="25"/>
        <v>0</v>
      </c>
      <c r="P552">
        <v>748.8</v>
      </c>
      <c r="Q552">
        <v>197</v>
      </c>
      <c r="R552">
        <v>8</v>
      </c>
      <c r="S552">
        <v>119</v>
      </c>
      <c r="T552">
        <f t="shared" si="26"/>
        <v>3.2687999999999993</v>
      </c>
    </row>
    <row r="553" spans="1:20" x14ac:dyDescent="0.3">
      <c r="A553" s="1">
        <v>45170</v>
      </c>
      <c r="B553" s="1" t="str">
        <f t="shared" si="24"/>
        <v>Swiggy_Chennai_Product_3_45170</v>
      </c>
      <c r="C553" s="2" t="s">
        <v>82</v>
      </c>
      <c r="D553" s="2" t="s">
        <v>83</v>
      </c>
      <c r="E553" s="2" t="s">
        <v>34</v>
      </c>
      <c r="F553" s="2" t="s">
        <v>35</v>
      </c>
      <c r="G553" s="2" t="s">
        <v>84</v>
      </c>
      <c r="H553" s="2" t="s">
        <v>37</v>
      </c>
      <c r="I553" s="2" t="s">
        <v>43</v>
      </c>
      <c r="J553" t="s">
        <v>31</v>
      </c>
      <c r="K553">
        <v>5</v>
      </c>
      <c r="L553" s="3"/>
      <c r="M553" s="3"/>
      <c r="N553" s="3"/>
      <c r="O553" s="3">
        <f t="shared" si="25"/>
        <v>0</v>
      </c>
      <c r="P553">
        <v>748.8</v>
      </c>
      <c r="Q553">
        <v>180</v>
      </c>
      <c r="R553">
        <v>0</v>
      </c>
      <c r="S553">
        <v>127</v>
      </c>
      <c r="T553">
        <f t="shared" si="26"/>
        <v>0</v>
      </c>
    </row>
    <row r="554" spans="1:20" x14ac:dyDescent="0.3">
      <c r="A554" s="1">
        <v>45170</v>
      </c>
      <c r="B554" s="1" t="str">
        <f t="shared" si="24"/>
        <v>Zepto_Bangalore_Product_12_45170</v>
      </c>
      <c r="C554" s="2" t="s">
        <v>90</v>
      </c>
      <c r="D554" s="2" t="s">
        <v>91</v>
      </c>
      <c r="E554" s="2" t="s">
        <v>34</v>
      </c>
      <c r="F554" s="2" t="s">
        <v>46</v>
      </c>
      <c r="G554" s="2" t="s">
        <v>79</v>
      </c>
      <c r="H554" s="2" t="s">
        <v>67</v>
      </c>
      <c r="I554" s="2" t="s">
        <v>92</v>
      </c>
      <c r="J554" t="s">
        <v>31</v>
      </c>
      <c r="K554">
        <v>40</v>
      </c>
      <c r="L554" s="3"/>
      <c r="M554" s="3"/>
      <c r="N554" s="3"/>
      <c r="O554" s="3">
        <f t="shared" si="25"/>
        <v>0</v>
      </c>
      <c r="P554">
        <v>84</v>
      </c>
      <c r="Q554">
        <v>195</v>
      </c>
      <c r="R554">
        <v>10</v>
      </c>
      <c r="S554">
        <v>94</v>
      </c>
      <c r="T554">
        <f t="shared" si="26"/>
        <v>-6.6479999999999997</v>
      </c>
    </row>
    <row r="555" spans="1:20" x14ac:dyDescent="0.3">
      <c r="A555" s="1">
        <v>45170</v>
      </c>
      <c r="B555" s="1" t="str">
        <f t="shared" si="24"/>
        <v>Reliance_Bhiwandi_Product_11_45170</v>
      </c>
      <c r="C555" s="2" t="s">
        <v>87</v>
      </c>
      <c r="D555" s="2" t="s">
        <v>88</v>
      </c>
      <c r="E555" s="2" t="s">
        <v>34</v>
      </c>
      <c r="F555" s="2" t="s">
        <v>51</v>
      </c>
      <c r="G555" s="2" t="s">
        <v>66</v>
      </c>
      <c r="H555" s="2" t="s">
        <v>67</v>
      </c>
      <c r="I555" s="2" t="s">
        <v>89</v>
      </c>
      <c r="J555" t="s">
        <v>31</v>
      </c>
      <c r="K555">
        <v>93</v>
      </c>
      <c r="L555" s="3"/>
      <c r="M555" s="3"/>
      <c r="N555" s="3"/>
      <c r="O555" s="3">
        <f t="shared" si="25"/>
        <v>0</v>
      </c>
      <c r="P555">
        <v>48</v>
      </c>
      <c r="Q555">
        <v>326</v>
      </c>
      <c r="R555">
        <v>0</v>
      </c>
      <c r="S555">
        <v>131</v>
      </c>
      <c r="T555">
        <f t="shared" si="26"/>
        <v>-0.36</v>
      </c>
    </row>
    <row r="556" spans="1:20" x14ac:dyDescent="0.3">
      <c r="A556" s="1">
        <v>45200</v>
      </c>
      <c r="B556" s="1" t="str">
        <f t="shared" si="24"/>
        <v>Grofers_Ahmedabad_Product_9_45200</v>
      </c>
      <c r="C556" s="2" t="s">
        <v>112</v>
      </c>
      <c r="D556" s="2" t="s">
        <v>113</v>
      </c>
      <c r="E556" s="2" t="s">
        <v>34</v>
      </c>
      <c r="F556" s="2" t="s">
        <v>114</v>
      </c>
      <c r="G556" s="2" t="s">
        <v>52</v>
      </c>
      <c r="H556" s="2" t="s">
        <v>37</v>
      </c>
      <c r="I556" s="2" t="s">
        <v>71</v>
      </c>
      <c r="J556" t="s">
        <v>31</v>
      </c>
      <c r="K556">
        <v>3</v>
      </c>
      <c r="L556" s="3"/>
      <c r="M556" s="3"/>
      <c r="N556" s="3"/>
      <c r="O556" s="3">
        <f t="shared" si="25"/>
        <v>0</v>
      </c>
      <c r="P556">
        <v>383.52</v>
      </c>
      <c r="Q556">
        <v>384</v>
      </c>
      <c r="R556">
        <v>8</v>
      </c>
      <c r="S556">
        <v>119</v>
      </c>
      <c r="T556">
        <f t="shared" si="26"/>
        <v>3.3552</v>
      </c>
    </row>
    <row r="557" spans="1:20" x14ac:dyDescent="0.3">
      <c r="A557" s="1">
        <v>45200</v>
      </c>
      <c r="B557" s="1" t="str">
        <f t="shared" si="24"/>
        <v>Reliance_Ahmedabad_Product_9_45200</v>
      </c>
      <c r="C557" s="2" t="s">
        <v>151</v>
      </c>
      <c r="D557" s="2" t="s">
        <v>152</v>
      </c>
      <c r="E557" s="2" t="s">
        <v>34</v>
      </c>
      <c r="F557" s="2" t="s">
        <v>51</v>
      </c>
      <c r="G557" s="2" t="s">
        <v>52</v>
      </c>
      <c r="H557" s="2" t="s">
        <v>37</v>
      </c>
      <c r="I557" s="2" t="s">
        <v>71</v>
      </c>
      <c r="J557" t="s">
        <v>31</v>
      </c>
      <c r="K557">
        <v>1</v>
      </c>
      <c r="L557" s="3"/>
      <c r="M557" s="3"/>
      <c r="N557" s="3"/>
      <c r="O557" s="3">
        <f t="shared" si="25"/>
        <v>0</v>
      </c>
      <c r="P557">
        <v>383.52</v>
      </c>
      <c r="Q557">
        <v>466</v>
      </c>
      <c r="R557">
        <v>5</v>
      </c>
      <c r="S557">
        <v>119</v>
      </c>
      <c r="T557">
        <f t="shared" si="26"/>
        <v>0</v>
      </c>
    </row>
    <row r="558" spans="1:20" x14ac:dyDescent="0.3">
      <c r="A558" s="1">
        <v>45200</v>
      </c>
      <c r="B558" s="1" t="str">
        <f t="shared" si="24"/>
        <v>Reliance_Bangalore_Product_13_45200</v>
      </c>
      <c r="C558" s="2" t="s">
        <v>93</v>
      </c>
      <c r="D558" s="2" t="s">
        <v>94</v>
      </c>
      <c r="E558" s="2" t="s">
        <v>34</v>
      </c>
      <c r="F558" s="2" t="s">
        <v>51</v>
      </c>
      <c r="G558" s="2" t="s">
        <v>79</v>
      </c>
      <c r="H558" s="2" t="s">
        <v>67</v>
      </c>
      <c r="I558" s="2" t="s">
        <v>95</v>
      </c>
      <c r="J558" t="s">
        <v>31</v>
      </c>
      <c r="K558">
        <v>2</v>
      </c>
      <c r="L558" s="3"/>
      <c r="M558" s="3"/>
      <c r="N558" s="3"/>
      <c r="O558" s="3">
        <f t="shared" si="25"/>
        <v>0</v>
      </c>
      <c r="P558">
        <v>672</v>
      </c>
      <c r="Q558">
        <v>295</v>
      </c>
      <c r="R558">
        <v>0</v>
      </c>
      <c r="S558">
        <v>113</v>
      </c>
      <c r="T558">
        <f t="shared" si="26"/>
        <v>2.8848000000000003</v>
      </c>
    </row>
    <row r="559" spans="1:20" x14ac:dyDescent="0.3">
      <c r="A559" s="1">
        <v>45200</v>
      </c>
      <c r="B559" s="1" t="str">
        <f t="shared" si="24"/>
        <v>Jharkhand_JH-Aggregated_Product_19_45200</v>
      </c>
      <c r="C559" s="2" t="s">
        <v>124</v>
      </c>
      <c r="D559" s="2" t="s">
        <v>125</v>
      </c>
      <c r="E559" s="2" t="s">
        <v>26</v>
      </c>
      <c r="F559" s="2" t="s">
        <v>27</v>
      </c>
      <c r="G559" s="2" t="s">
        <v>28</v>
      </c>
      <c r="H559" s="2" t="s">
        <v>126</v>
      </c>
      <c r="I559" s="2" t="s">
        <v>127</v>
      </c>
      <c r="J559" t="s">
        <v>31</v>
      </c>
      <c r="K559">
        <v>1</v>
      </c>
      <c r="L559" s="3"/>
      <c r="M559" s="3"/>
      <c r="N559" s="3"/>
      <c r="O559" s="3">
        <f t="shared" si="25"/>
        <v>0</v>
      </c>
      <c r="P559">
        <v>672</v>
      </c>
      <c r="Q559">
        <v>459</v>
      </c>
      <c r="R559">
        <v>1</v>
      </c>
      <c r="S559">
        <v>94</v>
      </c>
      <c r="T559">
        <f t="shared" si="26"/>
        <v>0</v>
      </c>
    </row>
    <row r="560" spans="1:20" x14ac:dyDescent="0.3">
      <c r="A560" s="1">
        <v>45200</v>
      </c>
      <c r="B560" s="1" t="str">
        <f t="shared" si="24"/>
        <v>Grofers_Kolkata CFA_Product_20_45200</v>
      </c>
      <c r="C560" s="2" t="s">
        <v>153</v>
      </c>
      <c r="D560" s="2" t="s">
        <v>154</v>
      </c>
      <c r="E560" s="2" t="s">
        <v>34</v>
      </c>
      <c r="F560" s="2" t="s">
        <v>114</v>
      </c>
      <c r="G560" s="2" t="s">
        <v>63</v>
      </c>
      <c r="H560" s="2" t="s">
        <v>47</v>
      </c>
      <c r="I560" s="2" t="s">
        <v>130</v>
      </c>
      <c r="J560" t="s">
        <v>31</v>
      </c>
      <c r="K560">
        <v>4</v>
      </c>
      <c r="L560" s="3"/>
      <c r="M560" s="3"/>
      <c r="N560" s="3"/>
      <c r="O560" s="3">
        <f t="shared" si="25"/>
        <v>0</v>
      </c>
      <c r="P560">
        <v>421.92</v>
      </c>
      <c r="Q560">
        <v>363</v>
      </c>
      <c r="R560">
        <v>0</v>
      </c>
      <c r="S560">
        <v>125</v>
      </c>
      <c r="T560">
        <f t="shared" si="26"/>
        <v>-2.5007999999999999</v>
      </c>
    </row>
    <row r="561" spans="1:20" x14ac:dyDescent="0.3">
      <c r="A561" s="1">
        <v>45200</v>
      </c>
      <c r="B561" s="1" t="str">
        <f t="shared" si="24"/>
        <v>Reliance_Hyderabad_Product_2_45200</v>
      </c>
      <c r="C561" s="2" t="s">
        <v>149</v>
      </c>
      <c r="D561" s="2" t="s">
        <v>150</v>
      </c>
      <c r="E561" s="2" t="s">
        <v>34</v>
      </c>
      <c r="F561" s="2" t="s">
        <v>51</v>
      </c>
      <c r="G561" s="2" t="s">
        <v>137</v>
      </c>
      <c r="H561" s="2" t="s">
        <v>37</v>
      </c>
      <c r="I561" s="2" t="s">
        <v>38</v>
      </c>
      <c r="J561" t="s">
        <v>31</v>
      </c>
      <c r="K561">
        <v>2</v>
      </c>
      <c r="L561" s="3"/>
      <c r="M561" s="3"/>
      <c r="N561" s="3"/>
      <c r="O561" s="3">
        <f t="shared" si="25"/>
        <v>0</v>
      </c>
      <c r="P561">
        <v>421.92</v>
      </c>
      <c r="Q561">
        <v>446</v>
      </c>
      <c r="R561">
        <v>0</v>
      </c>
      <c r="S561">
        <v>134</v>
      </c>
      <c r="T561">
        <f t="shared" si="26"/>
        <v>0</v>
      </c>
    </row>
    <row r="562" spans="1:20" x14ac:dyDescent="0.3">
      <c r="A562" s="1">
        <v>45200</v>
      </c>
      <c r="B562" s="1" t="str">
        <f t="shared" si="24"/>
        <v>Reliance_Mundka_Product_6_45200</v>
      </c>
      <c r="C562" s="2" t="s">
        <v>55</v>
      </c>
      <c r="D562" s="2" t="s">
        <v>56</v>
      </c>
      <c r="E562" s="2" t="s">
        <v>34</v>
      </c>
      <c r="F562" s="2" t="s">
        <v>51</v>
      </c>
      <c r="G562" s="2" t="s">
        <v>36</v>
      </c>
      <c r="H562" s="2" t="s">
        <v>37</v>
      </c>
      <c r="I562" s="2" t="s">
        <v>57</v>
      </c>
      <c r="J562" t="s">
        <v>31</v>
      </c>
      <c r="K562">
        <v>3</v>
      </c>
      <c r="L562" s="3"/>
      <c r="M562" s="3"/>
      <c r="N562" s="3"/>
      <c r="O562" s="3">
        <f t="shared" si="25"/>
        <v>0</v>
      </c>
      <c r="P562">
        <v>748.8</v>
      </c>
      <c r="Q562">
        <v>122</v>
      </c>
      <c r="R562">
        <v>0</v>
      </c>
      <c r="S562">
        <v>135</v>
      </c>
      <c r="T562">
        <f t="shared" si="26"/>
        <v>3.2687999999999993</v>
      </c>
    </row>
    <row r="563" spans="1:20" x14ac:dyDescent="0.3">
      <c r="A563" s="1">
        <v>45200</v>
      </c>
      <c r="B563" s="1" t="str">
        <f t="shared" si="24"/>
        <v>Swiggy_Kolkata CFA_Product_3_45200</v>
      </c>
      <c r="C563" s="2" t="s">
        <v>61</v>
      </c>
      <c r="D563" s="2" t="s">
        <v>62</v>
      </c>
      <c r="E563" s="2" t="s">
        <v>34</v>
      </c>
      <c r="F563" s="2" t="s">
        <v>35</v>
      </c>
      <c r="G563" s="2" t="s">
        <v>63</v>
      </c>
      <c r="H563" s="2" t="s">
        <v>37</v>
      </c>
      <c r="I563" s="2" t="s">
        <v>43</v>
      </c>
      <c r="J563" t="s">
        <v>31</v>
      </c>
      <c r="K563">
        <v>1</v>
      </c>
      <c r="L563" s="3"/>
      <c r="M563" s="3"/>
      <c r="N563" s="3"/>
      <c r="O563" s="3">
        <f t="shared" si="25"/>
        <v>0</v>
      </c>
      <c r="P563">
        <v>748.8</v>
      </c>
      <c r="Q563">
        <v>491</v>
      </c>
      <c r="R563">
        <v>0</v>
      </c>
      <c r="S563">
        <v>127</v>
      </c>
      <c r="T563">
        <f t="shared" si="26"/>
        <v>0</v>
      </c>
    </row>
    <row r="564" spans="1:20" x14ac:dyDescent="0.3">
      <c r="A564" s="1">
        <v>45200</v>
      </c>
      <c r="B564" s="1" t="str">
        <f t="shared" si="24"/>
        <v>Reliance_Bangalore_Product_3_45200</v>
      </c>
      <c r="C564" s="2" t="s">
        <v>80</v>
      </c>
      <c r="D564" s="2" t="s">
        <v>81</v>
      </c>
      <c r="E564" s="2" t="s">
        <v>34</v>
      </c>
      <c r="F564" s="2" t="s">
        <v>51</v>
      </c>
      <c r="G564" s="2" t="s">
        <v>79</v>
      </c>
      <c r="H564" s="2" t="s">
        <v>37</v>
      </c>
      <c r="I564" s="2" t="s">
        <v>43</v>
      </c>
      <c r="J564" t="s">
        <v>31</v>
      </c>
      <c r="K564">
        <v>3</v>
      </c>
      <c r="L564" s="3"/>
      <c r="M564" s="3"/>
      <c r="N564" s="3"/>
      <c r="O564" s="3">
        <f t="shared" si="25"/>
        <v>0</v>
      </c>
      <c r="P564">
        <v>84</v>
      </c>
      <c r="Q564">
        <v>224</v>
      </c>
      <c r="R564">
        <v>0</v>
      </c>
      <c r="S564">
        <v>127</v>
      </c>
      <c r="T564">
        <f t="shared" si="26"/>
        <v>-6.6479999999999997</v>
      </c>
    </row>
    <row r="565" spans="1:20" x14ac:dyDescent="0.3">
      <c r="A565" s="1">
        <v>45200</v>
      </c>
      <c r="B565" s="1" t="str">
        <f t="shared" si="24"/>
        <v>Swiggy_Bangalore_Product_16_45200</v>
      </c>
      <c r="C565" s="2" t="s">
        <v>107</v>
      </c>
      <c r="D565" s="2" t="s">
        <v>108</v>
      </c>
      <c r="E565" s="2" t="s">
        <v>34</v>
      </c>
      <c r="F565" s="2" t="s">
        <v>35</v>
      </c>
      <c r="G565" s="2" t="s">
        <v>79</v>
      </c>
      <c r="H565" s="2" t="s">
        <v>47</v>
      </c>
      <c r="I565" s="2" t="s">
        <v>109</v>
      </c>
      <c r="J565" t="s">
        <v>31</v>
      </c>
      <c r="K565">
        <v>5</v>
      </c>
      <c r="L565" s="3"/>
      <c r="M565" s="3"/>
      <c r="N565" s="3"/>
      <c r="O565" s="3">
        <f t="shared" si="25"/>
        <v>0</v>
      </c>
      <c r="P565">
        <v>48</v>
      </c>
      <c r="Q565">
        <v>225</v>
      </c>
      <c r="R565">
        <v>0</v>
      </c>
      <c r="S565">
        <v>122</v>
      </c>
      <c r="T565">
        <f t="shared" si="26"/>
        <v>-0.36</v>
      </c>
    </row>
    <row r="566" spans="1:20" x14ac:dyDescent="0.3">
      <c r="A566" s="1">
        <v>45200</v>
      </c>
      <c r="B566" s="1" t="str">
        <f t="shared" si="24"/>
        <v>Reliance_Kolkata CFA_Product_12_45200</v>
      </c>
      <c r="C566" s="2" t="s">
        <v>101</v>
      </c>
      <c r="D566" s="2" t="s">
        <v>102</v>
      </c>
      <c r="E566" s="2" t="s">
        <v>34</v>
      </c>
      <c r="F566" s="2" t="s">
        <v>51</v>
      </c>
      <c r="G566" s="2" t="s">
        <v>63</v>
      </c>
      <c r="H566" s="2" t="s">
        <v>67</v>
      </c>
      <c r="I566" s="2" t="s">
        <v>92</v>
      </c>
      <c r="J566" t="s">
        <v>31</v>
      </c>
      <c r="K566">
        <v>9</v>
      </c>
      <c r="L566" s="3"/>
      <c r="M566" s="3"/>
      <c r="N566" s="3"/>
      <c r="O566" s="3">
        <f t="shared" si="25"/>
        <v>0</v>
      </c>
      <c r="P566">
        <v>383.52</v>
      </c>
      <c r="Q566">
        <v>497</v>
      </c>
      <c r="R566">
        <v>8</v>
      </c>
      <c r="S566">
        <v>94</v>
      </c>
      <c r="T566">
        <f t="shared" si="26"/>
        <v>3.3552</v>
      </c>
    </row>
    <row r="567" spans="1:20" x14ac:dyDescent="0.3">
      <c r="A567" s="1">
        <v>45200</v>
      </c>
      <c r="B567" s="1" t="str">
        <f t="shared" si="24"/>
        <v>Reliance_Ahmedabad_Product_18_45200</v>
      </c>
      <c r="C567" s="2" t="s">
        <v>121</v>
      </c>
      <c r="D567" s="2" t="s">
        <v>122</v>
      </c>
      <c r="E567" s="2" t="s">
        <v>34</v>
      </c>
      <c r="F567" s="2" t="s">
        <v>51</v>
      </c>
      <c r="G567" s="2" t="s">
        <v>52</v>
      </c>
      <c r="H567" s="2" t="s">
        <v>29</v>
      </c>
      <c r="I567" s="2" t="s">
        <v>123</v>
      </c>
      <c r="J567" t="s">
        <v>31</v>
      </c>
      <c r="K567">
        <v>2</v>
      </c>
      <c r="L567" s="3"/>
      <c r="M567" s="3"/>
      <c r="N567" s="3"/>
      <c r="O567" s="3">
        <f t="shared" si="25"/>
        <v>0</v>
      </c>
      <c r="P567">
        <v>383.52</v>
      </c>
      <c r="Q567">
        <v>255</v>
      </c>
      <c r="R567">
        <v>9</v>
      </c>
      <c r="S567">
        <v>129</v>
      </c>
      <c r="T567">
        <f t="shared" si="26"/>
        <v>0</v>
      </c>
    </row>
    <row r="568" spans="1:20" x14ac:dyDescent="0.3">
      <c r="A568" s="1">
        <v>45200</v>
      </c>
      <c r="B568" s="1" t="str">
        <f t="shared" si="24"/>
        <v>Maharashtra_MH-Aggregated_Product_9_45200</v>
      </c>
      <c r="C568" s="2" t="s">
        <v>69</v>
      </c>
      <c r="D568" s="2" t="s">
        <v>70</v>
      </c>
      <c r="E568" s="2" t="s">
        <v>26</v>
      </c>
      <c r="F568" s="2" t="s">
        <v>41</v>
      </c>
      <c r="G568" s="2" t="s">
        <v>42</v>
      </c>
      <c r="H568" s="2" t="s">
        <v>37</v>
      </c>
      <c r="I568" s="2" t="s">
        <v>71</v>
      </c>
      <c r="J568" t="s">
        <v>31</v>
      </c>
      <c r="K568">
        <v>5</v>
      </c>
      <c r="L568" s="4"/>
      <c r="M568" s="3"/>
      <c r="N568" s="3"/>
      <c r="O568" s="3">
        <f t="shared" si="25"/>
        <v>0</v>
      </c>
      <c r="P568">
        <v>383.52</v>
      </c>
      <c r="Q568">
        <v>119</v>
      </c>
      <c r="R568">
        <v>0</v>
      </c>
      <c r="S568">
        <v>119</v>
      </c>
      <c r="T568">
        <f t="shared" si="26"/>
        <v>0</v>
      </c>
    </row>
    <row r="569" spans="1:20" x14ac:dyDescent="0.3">
      <c r="A569" s="1">
        <v>45200</v>
      </c>
      <c r="B569" s="1" t="str">
        <f t="shared" si="24"/>
        <v>Swiggy_Chennai_Product_3_45200</v>
      </c>
      <c r="C569" s="2" t="s">
        <v>82</v>
      </c>
      <c r="D569" s="2" t="s">
        <v>83</v>
      </c>
      <c r="E569" s="2" t="s">
        <v>34</v>
      </c>
      <c r="F569" s="2" t="s">
        <v>35</v>
      </c>
      <c r="G569" s="2" t="s">
        <v>84</v>
      </c>
      <c r="H569" s="2" t="s">
        <v>37</v>
      </c>
      <c r="I569" s="2" t="s">
        <v>43</v>
      </c>
      <c r="J569" t="s">
        <v>31</v>
      </c>
      <c r="K569">
        <v>1</v>
      </c>
      <c r="L569" s="3"/>
      <c r="M569" s="3"/>
      <c r="N569" s="3"/>
      <c r="O569" s="3">
        <f t="shared" si="25"/>
        <v>0</v>
      </c>
      <c r="P569">
        <v>383.52</v>
      </c>
      <c r="Q569">
        <v>353</v>
      </c>
      <c r="R569">
        <v>0</v>
      </c>
      <c r="S569">
        <v>127</v>
      </c>
      <c r="T569">
        <f t="shared" si="26"/>
        <v>0</v>
      </c>
    </row>
    <row r="570" spans="1:20" x14ac:dyDescent="0.3">
      <c r="A570" s="1">
        <v>45200</v>
      </c>
      <c r="B570" s="1" t="str">
        <f t="shared" si="24"/>
        <v>Swiggy_Kolkata CFA_Product_11_45200</v>
      </c>
      <c r="C570" s="2" t="s">
        <v>119</v>
      </c>
      <c r="D570" s="2" t="s">
        <v>120</v>
      </c>
      <c r="E570" s="2" t="s">
        <v>34</v>
      </c>
      <c r="F570" s="2" t="s">
        <v>35</v>
      </c>
      <c r="G570" s="2" t="s">
        <v>63</v>
      </c>
      <c r="H570" s="2" t="s">
        <v>67</v>
      </c>
      <c r="I570" s="2" t="s">
        <v>89</v>
      </c>
      <c r="J570" t="s">
        <v>31</v>
      </c>
      <c r="K570">
        <v>6</v>
      </c>
      <c r="L570" s="3"/>
      <c r="M570" s="3"/>
      <c r="N570" s="3"/>
      <c r="O570" s="3">
        <f t="shared" si="25"/>
        <v>0</v>
      </c>
      <c r="P570">
        <v>383.52</v>
      </c>
      <c r="Q570">
        <v>233</v>
      </c>
      <c r="R570">
        <v>4</v>
      </c>
      <c r="S570">
        <v>131</v>
      </c>
      <c r="T570">
        <f t="shared" si="26"/>
        <v>0</v>
      </c>
    </row>
    <row r="571" spans="1:20" x14ac:dyDescent="0.3">
      <c r="A571" s="1">
        <v>45200</v>
      </c>
      <c r="B571" s="1" t="str">
        <f t="shared" si="24"/>
        <v>Swiggy_Mundka_Product_2_45200</v>
      </c>
      <c r="C571" s="2" t="s">
        <v>32</v>
      </c>
      <c r="D571" s="2" t="s">
        <v>33</v>
      </c>
      <c r="E571" s="2" t="s">
        <v>34</v>
      </c>
      <c r="F571" s="2" t="s">
        <v>35</v>
      </c>
      <c r="G571" s="2" t="s">
        <v>36</v>
      </c>
      <c r="H571" s="2" t="s">
        <v>37</v>
      </c>
      <c r="I571" s="2" t="s">
        <v>38</v>
      </c>
      <c r="J571" t="s">
        <v>31</v>
      </c>
      <c r="K571">
        <v>1</v>
      </c>
      <c r="L571" s="3"/>
      <c r="M571" s="3"/>
      <c r="N571" s="3"/>
      <c r="O571" s="3">
        <f t="shared" si="25"/>
        <v>0</v>
      </c>
      <c r="P571">
        <v>383.52</v>
      </c>
      <c r="Q571">
        <v>304</v>
      </c>
      <c r="R571">
        <v>0</v>
      </c>
      <c r="S571">
        <v>134</v>
      </c>
      <c r="T571">
        <f t="shared" si="26"/>
        <v>0</v>
      </c>
    </row>
    <row r="572" spans="1:20" x14ac:dyDescent="0.3">
      <c r="A572" s="1">
        <v>45200</v>
      </c>
      <c r="B572" s="1" t="str">
        <f t="shared" si="24"/>
        <v>Reliance_Mundka_Product_7_45200</v>
      </c>
      <c r="C572" s="2" t="s">
        <v>58</v>
      </c>
      <c r="D572" s="2" t="s">
        <v>59</v>
      </c>
      <c r="E572" s="2" t="s">
        <v>34</v>
      </c>
      <c r="F572" s="2" t="s">
        <v>51</v>
      </c>
      <c r="G572" s="2" t="s">
        <v>36</v>
      </c>
      <c r="H572" s="2" t="s">
        <v>37</v>
      </c>
      <c r="I572" s="2" t="s">
        <v>60</v>
      </c>
      <c r="J572" t="s">
        <v>31</v>
      </c>
      <c r="K572">
        <v>3</v>
      </c>
      <c r="L572" s="3"/>
      <c r="M572" s="3"/>
      <c r="N572" s="3"/>
      <c r="O572" s="3">
        <f t="shared" si="25"/>
        <v>0</v>
      </c>
      <c r="P572">
        <v>672</v>
      </c>
      <c r="Q572">
        <v>353</v>
      </c>
      <c r="R572">
        <v>0</v>
      </c>
      <c r="S572">
        <v>117</v>
      </c>
      <c r="T572">
        <f t="shared" si="26"/>
        <v>2.8848000000000003</v>
      </c>
    </row>
    <row r="573" spans="1:20" x14ac:dyDescent="0.3">
      <c r="A573" s="1">
        <v>45200</v>
      </c>
      <c r="B573" s="1" t="str">
        <f t="shared" si="24"/>
        <v>Reliance_Bhiwandi_Product_11_45200</v>
      </c>
      <c r="C573" s="2" t="s">
        <v>87</v>
      </c>
      <c r="D573" s="2" t="s">
        <v>88</v>
      </c>
      <c r="E573" s="2" t="s">
        <v>34</v>
      </c>
      <c r="F573" s="2" t="s">
        <v>51</v>
      </c>
      <c r="G573" s="2" t="s">
        <v>66</v>
      </c>
      <c r="H573" s="2" t="s">
        <v>67</v>
      </c>
      <c r="I573" s="2" t="s">
        <v>89</v>
      </c>
      <c r="J573" t="s">
        <v>31</v>
      </c>
      <c r="K573">
        <v>1</v>
      </c>
      <c r="L573" s="3"/>
      <c r="M573" s="3"/>
      <c r="N573" s="3"/>
      <c r="O573" s="3">
        <f t="shared" si="25"/>
        <v>0</v>
      </c>
      <c r="P573">
        <v>672</v>
      </c>
      <c r="Q573">
        <v>155</v>
      </c>
      <c r="R573">
        <v>0</v>
      </c>
      <c r="S573">
        <v>131</v>
      </c>
      <c r="T573">
        <f t="shared" si="26"/>
        <v>0</v>
      </c>
    </row>
    <row r="574" spans="1:20" x14ac:dyDescent="0.3">
      <c r="A574" s="1">
        <v>45200</v>
      </c>
      <c r="B574" s="1" t="str">
        <f t="shared" si="24"/>
        <v>Reliance_Bangalore_Product_8_45200</v>
      </c>
      <c r="C574" s="2" t="s">
        <v>77</v>
      </c>
      <c r="D574" s="2" t="s">
        <v>78</v>
      </c>
      <c r="E574" s="2" t="s">
        <v>34</v>
      </c>
      <c r="F574" s="2" t="s">
        <v>51</v>
      </c>
      <c r="G574" s="2" t="s">
        <v>79</v>
      </c>
      <c r="H574" s="2" t="s">
        <v>67</v>
      </c>
      <c r="I574" s="2" t="s">
        <v>68</v>
      </c>
      <c r="J574" t="s">
        <v>31</v>
      </c>
      <c r="K574">
        <v>13</v>
      </c>
      <c r="L574" s="3"/>
      <c r="M574" s="3"/>
      <c r="N574" s="3"/>
      <c r="O574" s="3">
        <f t="shared" si="25"/>
        <v>0</v>
      </c>
      <c r="P574">
        <v>421.92</v>
      </c>
      <c r="Q574">
        <v>400</v>
      </c>
      <c r="R574">
        <v>0</v>
      </c>
      <c r="S574">
        <v>126</v>
      </c>
      <c r="T574">
        <f t="shared" si="26"/>
        <v>-2.5007999999999999</v>
      </c>
    </row>
    <row r="575" spans="1:20" x14ac:dyDescent="0.3">
      <c r="A575" s="1">
        <v>45200</v>
      </c>
      <c r="B575" s="1" t="str">
        <f t="shared" si="24"/>
        <v>Grofers_Mundka_Product_21_45200</v>
      </c>
      <c r="C575" s="2" t="s">
        <v>131</v>
      </c>
      <c r="D575" s="2" t="s">
        <v>132</v>
      </c>
      <c r="E575" s="2" t="s">
        <v>34</v>
      </c>
      <c r="F575" s="2" t="s">
        <v>114</v>
      </c>
      <c r="G575" s="2" t="s">
        <v>36</v>
      </c>
      <c r="H575" s="2" t="s">
        <v>133</v>
      </c>
      <c r="I575" s="2" t="s">
        <v>134</v>
      </c>
      <c r="J575" t="s">
        <v>31</v>
      </c>
      <c r="K575">
        <v>3</v>
      </c>
      <c r="L575" s="3"/>
      <c r="M575" s="3"/>
      <c r="N575" s="3"/>
      <c r="O575" s="3">
        <f t="shared" si="25"/>
        <v>0</v>
      </c>
      <c r="P575">
        <v>421.92</v>
      </c>
      <c r="Q575">
        <v>332</v>
      </c>
      <c r="R575">
        <v>0</v>
      </c>
      <c r="S575">
        <v>115</v>
      </c>
      <c r="T575">
        <f t="shared" si="26"/>
        <v>0</v>
      </c>
    </row>
    <row r="576" spans="1:20" x14ac:dyDescent="0.3">
      <c r="A576" s="1">
        <v>45200</v>
      </c>
      <c r="B576" s="1" t="str">
        <f t="shared" si="24"/>
        <v>Reliance_Bhiwandi_Product_8_45200</v>
      </c>
      <c r="C576" s="2" t="s">
        <v>64</v>
      </c>
      <c r="D576" s="2" t="s">
        <v>65</v>
      </c>
      <c r="E576" s="2" t="s">
        <v>34</v>
      </c>
      <c r="F576" s="2" t="s">
        <v>51</v>
      </c>
      <c r="G576" s="2" t="s">
        <v>66</v>
      </c>
      <c r="H576" s="2" t="s">
        <v>67</v>
      </c>
      <c r="I576" s="2" t="s">
        <v>68</v>
      </c>
      <c r="J576" t="s">
        <v>31</v>
      </c>
      <c r="K576">
        <v>5</v>
      </c>
      <c r="L576" s="3"/>
      <c r="M576" s="3"/>
      <c r="N576" s="3"/>
      <c r="O576" s="3">
        <f t="shared" si="25"/>
        <v>0</v>
      </c>
      <c r="P576">
        <v>748.8</v>
      </c>
      <c r="Q576">
        <v>254</v>
      </c>
      <c r="R576">
        <v>1</v>
      </c>
      <c r="S576">
        <v>126</v>
      </c>
      <c r="T576">
        <f t="shared" si="26"/>
        <v>3.2687999999999993</v>
      </c>
    </row>
    <row r="577" spans="1:20" x14ac:dyDescent="0.3">
      <c r="A577" s="1">
        <v>45200</v>
      </c>
      <c r="B577" s="1" t="str">
        <f t="shared" si="24"/>
        <v>Reliance_Ahmedabad_Product_5_45200</v>
      </c>
      <c r="C577" s="2" t="s">
        <v>49</v>
      </c>
      <c r="D577" s="2" t="s">
        <v>50</v>
      </c>
      <c r="E577" s="2" t="s">
        <v>34</v>
      </c>
      <c r="F577" s="2" t="s">
        <v>51</v>
      </c>
      <c r="G577" s="2" t="s">
        <v>52</v>
      </c>
      <c r="H577" s="2" t="s">
        <v>53</v>
      </c>
      <c r="I577" s="2" t="s">
        <v>54</v>
      </c>
      <c r="J577" t="s">
        <v>31</v>
      </c>
      <c r="K577">
        <v>1</v>
      </c>
      <c r="L577" s="3"/>
      <c r="M577" s="3"/>
      <c r="N577" s="3"/>
      <c r="O577" s="3">
        <f t="shared" si="25"/>
        <v>0</v>
      </c>
      <c r="P577">
        <v>748.8</v>
      </c>
      <c r="Q577">
        <v>182</v>
      </c>
      <c r="R577">
        <v>0</v>
      </c>
      <c r="S577">
        <v>132</v>
      </c>
      <c r="T577">
        <f t="shared" si="26"/>
        <v>0</v>
      </c>
    </row>
    <row r="578" spans="1:20" x14ac:dyDescent="0.3">
      <c r="A578" s="1">
        <v>45200</v>
      </c>
      <c r="B578" s="1" t="str">
        <f t="shared" si="24"/>
        <v>Reliance_Bhiwandi_Product_10_45200</v>
      </c>
      <c r="C578" s="2" t="s">
        <v>85</v>
      </c>
      <c r="D578" s="2" t="s">
        <v>86</v>
      </c>
      <c r="E578" s="2" t="s">
        <v>34</v>
      </c>
      <c r="F578" s="2" t="s">
        <v>51</v>
      </c>
      <c r="G578" s="2" t="s">
        <v>66</v>
      </c>
      <c r="H578" s="2" t="s">
        <v>67</v>
      </c>
      <c r="I578" s="2" t="s">
        <v>76</v>
      </c>
      <c r="J578" t="s">
        <v>31</v>
      </c>
      <c r="K578">
        <v>8</v>
      </c>
      <c r="L578" s="3"/>
      <c r="M578" s="3"/>
      <c r="N578" s="3"/>
      <c r="O578" s="3">
        <f t="shared" si="25"/>
        <v>0</v>
      </c>
      <c r="P578">
        <v>84</v>
      </c>
      <c r="Q578">
        <v>197</v>
      </c>
      <c r="R578">
        <v>0</v>
      </c>
      <c r="S578">
        <v>106</v>
      </c>
      <c r="T578">
        <f t="shared" si="26"/>
        <v>-6.6479999999999997</v>
      </c>
    </row>
    <row r="579" spans="1:20" x14ac:dyDescent="0.3">
      <c r="A579" s="1">
        <v>45200</v>
      </c>
      <c r="B579" s="1" t="str">
        <f t="shared" ref="B579:B642" si="27">C579&amp;"_"&amp;A579</f>
        <v>Grofers_Hyderabad_Product_21_45200</v>
      </c>
      <c r="C579" s="2" t="s">
        <v>135</v>
      </c>
      <c r="D579" s="2" t="s">
        <v>136</v>
      </c>
      <c r="E579" s="2" t="s">
        <v>34</v>
      </c>
      <c r="F579" s="2" t="s">
        <v>114</v>
      </c>
      <c r="G579" s="2" t="s">
        <v>137</v>
      </c>
      <c r="H579" s="2" t="s">
        <v>133</v>
      </c>
      <c r="I579" s="2" t="s">
        <v>134</v>
      </c>
      <c r="J579" t="s">
        <v>31</v>
      </c>
      <c r="K579">
        <v>16</v>
      </c>
      <c r="L579" s="3"/>
      <c r="M579" s="3"/>
      <c r="N579" s="3"/>
      <c r="O579" s="3">
        <f t="shared" ref="O579:O642" si="28">L579</f>
        <v>0</v>
      </c>
      <c r="P579">
        <v>48</v>
      </c>
      <c r="Q579">
        <v>486</v>
      </c>
      <c r="R579">
        <v>0</v>
      </c>
      <c r="S579">
        <v>115</v>
      </c>
      <c r="T579">
        <f t="shared" si="26"/>
        <v>-0.36</v>
      </c>
    </row>
    <row r="580" spans="1:20" x14ac:dyDescent="0.3">
      <c r="A580" s="1">
        <v>45200</v>
      </c>
      <c r="B580" s="1" t="str">
        <f t="shared" si="27"/>
        <v>Reliance_Mundka_Product_9_45200</v>
      </c>
      <c r="C580" s="2" t="s">
        <v>145</v>
      </c>
      <c r="D580" s="2" t="s">
        <v>146</v>
      </c>
      <c r="E580" s="2" t="s">
        <v>34</v>
      </c>
      <c r="F580" s="2" t="s">
        <v>51</v>
      </c>
      <c r="G580" s="2" t="s">
        <v>36</v>
      </c>
      <c r="H580" s="2" t="s">
        <v>37</v>
      </c>
      <c r="I580" s="2" t="s">
        <v>71</v>
      </c>
      <c r="J580" t="s">
        <v>31</v>
      </c>
      <c r="K580">
        <v>17</v>
      </c>
      <c r="L580" s="3"/>
      <c r="M580" s="3"/>
      <c r="N580" s="3"/>
      <c r="O580" s="3">
        <f t="shared" si="28"/>
        <v>0</v>
      </c>
      <c r="P580">
        <v>383.52</v>
      </c>
      <c r="Q580">
        <v>306</v>
      </c>
      <c r="R580">
        <v>7</v>
      </c>
      <c r="S580">
        <v>119</v>
      </c>
      <c r="T580">
        <f t="shared" ref="T580:T643" si="29">(P580-P579)/100</f>
        <v>3.3552</v>
      </c>
    </row>
    <row r="581" spans="1:20" x14ac:dyDescent="0.3">
      <c r="A581" s="1">
        <v>45200</v>
      </c>
      <c r="B581" s="1" t="str">
        <f t="shared" si="27"/>
        <v>Reliance_Ahmedabad_Product_7_45200</v>
      </c>
      <c r="C581" s="2" t="s">
        <v>99</v>
      </c>
      <c r="D581" s="2" t="s">
        <v>100</v>
      </c>
      <c r="E581" s="2" t="s">
        <v>34</v>
      </c>
      <c r="F581" s="2" t="s">
        <v>51</v>
      </c>
      <c r="G581" s="2" t="s">
        <v>52</v>
      </c>
      <c r="H581" s="2" t="s">
        <v>37</v>
      </c>
      <c r="I581" s="2" t="s">
        <v>60</v>
      </c>
      <c r="J581" t="s">
        <v>31</v>
      </c>
      <c r="K581">
        <v>3</v>
      </c>
      <c r="L581" s="3"/>
      <c r="M581" s="3"/>
      <c r="N581" s="3"/>
      <c r="O581" s="3">
        <f t="shared" si="28"/>
        <v>0</v>
      </c>
      <c r="P581">
        <v>383.52</v>
      </c>
      <c r="Q581">
        <v>105</v>
      </c>
      <c r="R581">
        <v>3</v>
      </c>
      <c r="S581">
        <v>117</v>
      </c>
      <c r="T581">
        <f t="shared" si="29"/>
        <v>0</v>
      </c>
    </row>
    <row r="582" spans="1:20" x14ac:dyDescent="0.3">
      <c r="A582" s="1">
        <v>45200</v>
      </c>
      <c r="B582" s="1" t="str">
        <f t="shared" si="27"/>
        <v>Zepto_Bangalore_Product_12_45200</v>
      </c>
      <c r="C582" s="2" t="s">
        <v>90</v>
      </c>
      <c r="D582" s="2" t="s">
        <v>91</v>
      </c>
      <c r="E582" s="2" t="s">
        <v>34</v>
      </c>
      <c r="F582" s="2" t="s">
        <v>46</v>
      </c>
      <c r="G582" s="2" t="s">
        <v>79</v>
      </c>
      <c r="H582" s="2" t="s">
        <v>67</v>
      </c>
      <c r="I582" s="2" t="s">
        <v>92</v>
      </c>
      <c r="J582" t="s">
        <v>31</v>
      </c>
      <c r="K582">
        <v>7</v>
      </c>
      <c r="L582" s="3"/>
      <c r="M582" s="3"/>
      <c r="N582" s="3"/>
      <c r="O582" s="3">
        <f t="shared" si="28"/>
        <v>0</v>
      </c>
      <c r="P582">
        <v>672</v>
      </c>
      <c r="Q582">
        <v>200</v>
      </c>
      <c r="R582">
        <v>0</v>
      </c>
      <c r="S582">
        <v>94</v>
      </c>
      <c r="T582">
        <f t="shared" si="29"/>
        <v>2.8848000000000003</v>
      </c>
    </row>
    <row r="583" spans="1:20" x14ac:dyDescent="0.3">
      <c r="A583" s="1">
        <v>45200</v>
      </c>
      <c r="B583" s="1" t="str">
        <f t="shared" si="27"/>
        <v>Maharashtra_MH-Aggregated_Product_3_45200</v>
      </c>
      <c r="C583" s="2" t="s">
        <v>39</v>
      </c>
      <c r="D583" s="2" t="s">
        <v>40</v>
      </c>
      <c r="E583" s="2" t="s">
        <v>26</v>
      </c>
      <c r="F583" s="2" t="s">
        <v>41</v>
      </c>
      <c r="G583" s="2" t="s">
        <v>42</v>
      </c>
      <c r="H583" s="2" t="s">
        <v>37</v>
      </c>
      <c r="I583" s="2" t="s">
        <v>43</v>
      </c>
      <c r="J583" t="s">
        <v>31</v>
      </c>
      <c r="K583">
        <v>2</v>
      </c>
      <c r="L583" s="3"/>
      <c r="M583" s="3"/>
      <c r="N583" s="3"/>
      <c r="O583" s="3">
        <f t="shared" si="28"/>
        <v>0</v>
      </c>
      <c r="P583">
        <v>672</v>
      </c>
      <c r="Q583">
        <v>116</v>
      </c>
      <c r="R583">
        <v>0</v>
      </c>
      <c r="S583">
        <v>127</v>
      </c>
      <c r="T583">
        <f t="shared" si="29"/>
        <v>0</v>
      </c>
    </row>
    <row r="584" spans="1:20" x14ac:dyDescent="0.3">
      <c r="A584" s="1">
        <v>45200</v>
      </c>
      <c r="B584" s="1" t="str">
        <f t="shared" si="27"/>
        <v>Reliance_Bangalore_Product_14_45200</v>
      </c>
      <c r="C584" s="2" t="s">
        <v>155</v>
      </c>
      <c r="D584" s="2" t="s">
        <v>156</v>
      </c>
      <c r="E584" s="2" t="s">
        <v>34</v>
      </c>
      <c r="F584" s="2" t="s">
        <v>51</v>
      </c>
      <c r="G584" s="2" t="s">
        <v>79</v>
      </c>
      <c r="H584" s="2" t="s">
        <v>47</v>
      </c>
      <c r="I584" s="2" t="s">
        <v>98</v>
      </c>
      <c r="J584" t="s">
        <v>31</v>
      </c>
      <c r="K584">
        <v>39</v>
      </c>
      <c r="L584" s="3"/>
      <c r="M584" s="3"/>
      <c r="N584" s="3"/>
      <c r="O584" s="3">
        <f t="shared" si="28"/>
        <v>0</v>
      </c>
      <c r="P584">
        <v>421.92</v>
      </c>
      <c r="Q584">
        <v>242</v>
      </c>
      <c r="R584">
        <v>7</v>
      </c>
      <c r="S584">
        <v>97</v>
      </c>
      <c r="T584">
        <f t="shared" si="29"/>
        <v>-2.5007999999999999</v>
      </c>
    </row>
    <row r="585" spans="1:20" x14ac:dyDescent="0.3">
      <c r="A585" s="1">
        <v>45200</v>
      </c>
      <c r="B585" s="1" t="str">
        <f t="shared" si="27"/>
        <v>Reliance_Chennai_Product_9_45200</v>
      </c>
      <c r="C585" s="2" t="s">
        <v>147</v>
      </c>
      <c r="D585" s="2" t="s">
        <v>148</v>
      </c>
      <c r="E585" s="2" t="s">
        <v>34</v>
      </c>
      <c r="F585" s="2" t="s">
        <v>51</v>
      </c>
      <c r="G585" s="2" t="s">
        <v>84</v>
      </c>
      <c r="H585" s="2" t="s">
        <v>37</v>
      </c>
      <c r="I585" s="2" t="s">
        <v>71</v>
      </c>
      <c r="J585" t="s">
        <v>31</v>
      </c>
      <c r="K585">
        <v>7</v>
      </c>
      <c r="L585" s="3"/>
      <c r="M585" s="3"/>
      <c r="N585" s="3"/>
      <c r="O585" s="3">
        <f t="shared" si="28"/>
        <v>0</v>
      </c>
      <c r="P585">
        <v>421.92</v>
      </c>
      <c r="Q585">
        <v>477</v>
      </c>
      <c r="R585">
        <v>0</v>
      </c>
      <c r="S585">
        <v>119</v>
      </c>
      <c r="T585">
        <f t="shared" si="29"/>
        <v>0</v>
      </c>
    </row>
    <row r="586" spans="1:20" x14ac:dyDescent="0.3">
      <c r="A586" s="1">
        <v>45200</v>
      </c>
      <c r="B586" s="1" t="str">
        <f t="shared" si="27"/>
        <v>Reliance_Chennai_Product_11_45200</v>
      </c>
      <c r="C586" s="2" t="s">
        <v>110</v>
      </c>
      <c r="D586" s="2" t="s">
        <v>111</v>
      </c>
      <c r="E586" s="2" t="s">
        <v>34</v>
      </c>
      <c r="F586" s="2" t="s">
        <v>51</v>
      </c>
      <c r="G586" s="2" t="s">
        <v>84</v>
      </c>
      <c r="H586" s="2" t="s">
        <v>67</v>
      </c>
      <c r="I586" s="2" t="s">
        <v>89</v>
      </c>
      <c r="J586" t="s">
        <v>31</v>
      </c>
      <c r="K586">
        <v>13</v>
      </c>
      <c r="L586" s="3"/>
      <c r="M586" s="3"/>
      <c r="N586" s="3"/>
      <c r="O586" s="3">
        <f t="shared" si="28"/>
        <v>0</v>
      </c>
      <c r="P586">
        <v>748.8</v>
      </c>
      <c r="Q586">
        <v>366</v>
      </c>
      <c r="R586">
        <v>0</v>
      </c>
      <c r="S586">
        <v>131</v>
      </c>
      <c r="T586">
        <f t="shared" si="29"/>
        <v>3.2687999999999993</v>
      </c>
    </row>
    <row r="587" spans="1:20" x14ac:dyDescent="0.3">
      <c r="A587" s="1">
        <v>45231</v>
      </c>
      <c r="B587" s="1" t="str">
        <f t="shared" si="27"/>
        <v>Reliance_Bangalore_Product_13_45231</v>
      </c>
      <c r="C587" s="2" t="s">
        <v>93</v>
      </c>
      <c r="D587" s="2" t="s">
        <v>94</v>
      </c>
      <c r="E587" s="2" t="s">
        <v>34</v>
      </c>
      <c r="F587" s="2" t="s">
        <v>51</v>
      </c>
      <c r="G587" s="2" t="s">
        <v>79</v>
      </c>
      <c r="H587" s="2" t="s">
        <v>67</v>
      </c>
      <c r="I587" s="2" t="s">
        <v>95</v>
      </c>
      <c r="J587" t="s">
        <v>31</v>
      </c>
      <c r="K587">
        <v>3</v>
      </c>
      <c r="L587" s="3"/>
      <c r="M587" s="3"/>
      <c r="N587" s="3"/>
      <c r="O587" s="3">
        <f t="shared" si="28"/>
        <v>0</v>
      </c>
      <c r="P587">
        <v>748.8</v>
      </c>
      <c r="Q587">
        <v>346</v>
      </c>
      <c r="R587">
        <v>0</v>
      </c>
      <c r="S587">
        <v>113</v>
      </c>
      <c r="T587">
        <f t="shared" si="29"/>
        <v>0</v>
      </c>
    </row>
    <row r="588" spans="1:20" x14ac:dyDescent="0.3">
      <c r="A588" s="1">
        <v>45231</v>
      </c>
      <c r="B588" s="1" t="str">
        <f t="shared" si="27"/>
        <v>Reliance_Ahmedabad_Product_7_45231</v>
      </c>
      <c r="C588" s="2" t="s">
        <v>99</v>
      </c>
      <c r="D588" s="2" t="s">
        <v>100</v>
      </c>
      <c r="E588" s="2" t="s">
        <v>34</v>
      </c>
      <c r="F588" s="2" t="s">
        <v>51</v>
      </c>
      <c r="G588" s="2" t="s">
        <v>52</v>
      </c>
      <c r="H588" s="2" t="s">
        <v>37</v>
      </c>
      <c r="I588" s="2" t="s">
        <v>60</v>
      </c>
      <c r="J588" t="s">
        <v>31</v>
      </c>
      <c r="K588">
        <v>23</v>
      </c>
      <c r="L588" s="3"/>
      <c r="M588" s="3"/>
      <c r="N588" s="3"/>
      <c r="O588" s="3">
        <f t="shared" si="28"/>
        <v>0</v>
      </c>
      <c r="P588">
        <v>84</v>
      </c>
      <c r="Q588">
        <v>469</v>
      </c>
      <c r="R588">
        <v>0</v>
      </c>
      <c r="S588">
        <v>117</v>
      </c>
      <c r="T588">
        <f t="shared" si="29"/>
        <v>-6.6479999999999997</v>
      </c>
    </row>
    <row r="589" spans="1:20" x14ac:dyDescent="0.3">
      <c r="A589" s="1">
        <v>45231</v>
      </c>
      <c r="B589" s="1" t="str">
        <f t="shared" si="27"/>
        <v>Grofers_Mundka_Product_21_45231</v>
      </c>
      <c r="C589" s="2" t="s">
        <v>131</v>
      </c>
      <c r="D589" s="2" t="s">
        <v>132</v>
      </c>
      <c r="E589" s="2" t="s">
        <v>34</v>
      </c>
      <c r="F589" s="2" t="s">
        <v>114</v>
      </c>
      <c r="G589" s="2" t="s">
        <v>36</v>
      </c>
      <c r="H589" s="2" t="s">
        <v>133</v>
      </c>
      <c r="I589" s="2" t="s">
        <v>134</v>
      </c>
      <c r="J589" t="s">
        <v>31</v>
      </c>
      <c r="K589">
        <v>51</v>
      </c>
      <c r="L589" s="3"/>
      <c r="M589" s="3"/>
      <c r="N589" s="3"/>
      <c r="O589" s="3">
        <f t="shared" si="28"/>
        <v>0</v>
      </c>
      <c r="P589">
        <v>48</v>
      </c>
      <c r="Q589">
        <v>219</v>
      </c>
      <c r="R589">
        <v>0</v>
      </c>
      <c r="S589">
        <v>115</v>
      </c>
      <c r="T589">
        <f t="shared" si="29"/>
        <v>-0.36</v>
      </c>
    </row>
    <row r="590" spans="1:20" x14ac:dyDescent="0.3">
      <c r="A590" s="1">
        <v>45231</v>
      </c>
      <c r="B590" s="1" t="str">
        <f t="shared" si="27"/>
        <v>Grofers_Kolkata CFA_Product_20_45231</v>
      </c>
      <c r="C590" s="2" t="s">
        <v>153</v>
      </c>
      <c r="D590" s="2" t="s">
        <v>154</v>
      </c>
      <c r="E590" s="2" t="s">
        <v>34</v>
      </c>
      <c r="F590" s="2" t="s">
        <v>114</v>
      </c>
      <c r="G590" s="2" t="s">
        <v>63</v>
      </c>
      <c r="H590" s="2" t="s">
        <v>47</v>
      </c>
      <c r="I590" s="2" t="s">
        <v>130</v>
      </c>
      <c r="J590" t="s">
        <v>31</v>
      </c>
      <c r="K590">
        <v>5</v>
      </c>
      <c r="L590" s="3"/>
      <c r="M590" s="3"/>
      <c r="N590" s="3"/>
      <c r="O590" s="3">
        <f t="shared" si="28"/>
        <v>0</v>
      </c>
      <c r="P590">
        <v>383.52</v>
      </c>
      <c r="Q590">
        <v>176</v>
      </c>
      <c r="R590">
        <v>0</v>
      </c>
      <c r="S590">
        <v>125</v>
      </c>
      <c r="T590">
        <f t="shared" si="29"/>
        <v>3.3552</v>
      </c>
    </row>
    <row r="591" spans="1:20" x14ac:dyDescent="0.3">
      <c r="A591" s="1">
        <v>45231</v>
      </c>
      <c r="B591" s="1" t="str">
        <f t="shared" si="27"/>
        <v>Reliance_Ahmedabad_Product_9_45231</v>
      </c>
      <c r="C591" s="2" t="s">
        <v>151</v>
      </c>
      <c r="D591" s="2" t="s">
        <v>152</v>
      </c>
      <c r="E591" s="2" t="s">
        <v>34</v>
      </c>
      <c r="F591" s="2" t="s">
        <v>51</v>
      </c>
      <c r="G591" s="2" t="s">
        <v>52</v>
      </c>
      <c r="H591" s="2" t="s">
        <v>37</v>
      </c>
      <c r="I591" s="2" t="s">
        <v>71</v>
      </c>
      <c r="J591" t="s">
        <v>31</v>
      </c>
      <c r="K591">
        <v>2</v>
      </c>
      <c r="L591" s="3"/>
      <c r="M591" s="3"/>
      <c r="N591" s="3"/>
      <c r="O591" s="3">
        <f t="shared" si="28"/>
        <v>0</v>
      </c>
      <c r="P591">
        <v>383.52</v>
      </c>
      <c r="Q591">
        <v>154</v>
      </c>
      <c r="R591">
        <v>0</v>
      </c>
      <c r="S591">
        <v>119</v>
      </c>
      <c r="T591">
        <f t="shared" si="29"/>
        <v>0</v>
      </c>
    </row>
    <row r="592" spans="1:20" x14ac:dyDescent="0.3">
      <c r="A592" s="1">
        <v>45231</v>
      </c>
      <c r="B592" s="1" t="str">
        <f t="shared" si="27"/>
        <v>Maharashtra_MH-Aggregated_Product_3_45231</v>
      </c>
      <c r="C592" s="2" t="s">
        <v>39</v>
      </c>
      <c r="D592" s="2" t="s">
        <v>40</v>
      </c>
      <c r="E592" s="2" t="s">
        <v>26</v>
      </c>
      <c r="F592" s="2" t="s">
        <v>41</v>
      </c>
      <c r="G592" s="2" t="s">
        <v>42</v>
      </c>
      <c r="H592" s="2" t="s">
        <v>37</v>
      </c>
      <c r="I592" s="2" t="s">
        <v>43</v>
      </c>
      <c r="J592" t="s">
        <v>31</v>
      </c>
      <c r="K592">
        <v>2</v>
      </c>
      <c r="L592" s="3"/>
      <c r="M592" s="3"/>
      <c r="N592" s="3"/>
      <c r="O592" s="3">
        <f t="shared" si="28"/>
        <v>0</v>
      </c>
      <c r="P592">
        <v>672</v>
      </c>
      <c r="Q592">
        <v>324</v>
      </c>
      <c r="R592">
        <v>11</v>
      </c>
      <c r="S592">
        <v>127</v>
      </c>
      <c r="T592">
        <f t="shared" si="29"/>
        <v>2.8848000000000003</v>
      </c>
    </row>
    <row r="593" spans="1:20" x14ac:dyDescent="0.3">
      <c r="A593" s="1">
        <v>45231</v>
      </c>
      <c r="B593" s="1" t="str">
        <f t="shared" si="27"/>
        <v>Jharkhand_JH-Aggregated_Product_19_45231</v>
      </c>
      <c r="C593" s="2" t="s">
        <v>124</v>
      </c>
      <c r="D593" s="2" t="s">
        <v>125</v>
      </c>
      <c r="E593" s="2" t="s">
        <v>26</v>
      </c>
      <c r="F593" s="2" t="s">
        <v>27</v>
      </c>
      <c r="G593" s="2" t="s">
        <v>28</v>
      </c>
      <c r="H593" s="2" t="s">
        <v>126</v>
      </c>
      <c r="I593" s="2" t="s">
        <v>127</v>
      </c>
      <c r="J593" t="s">
        <v>31</v>
      </c>
      <c r="K593">
        <v>1</v>
      </c>
      <c r="L593" s="3"/>
      <c r="M593" s="3"/>
      <c r="N593" s="3"/>
      <c r="O593" s="3">
        <f t="shared" si="28"/>
        <v>0</v>
      </c>
      <c r="P593">
        <v>672</v>
      </c>
      <c r="Q593">
        <v>209</v>
      </c>
      <c r="R593">
        <v>0</v>
      </c>
      <c r="S593">
        <v>94</v>
      </c>
      <c r="T593">
        <f t="shared" si="29"/>
        <v>0</v>
      </c>
    </row>
    <row r="594" spans="1:20" x14ac:dyDescent="0.3">
      <c r="A594" s="1">
        <v>45231</v>
      </c>
      <c r="B594" s="1" t="str">
        <f t="shared" si="27"/>
        <v>Reliance_Mundka_Product_6_45231</v>
      </c>
      <c r="C594" s="2" t="s">
        <v>55</v>
      </c>
      <c r="D594" s="2" t="s">
        <v>56</v>
      </c>
      <c r="E594" s="2" t="s">
        <v>34</v>
      </c>
      <c r="F594" s="2" t="s">
        <v>51</v>
      </c>
      <c r="G594" s="2" t="s">
        <v>36</v>
      </c>
      <c r="H594" s="2" t="s">
        <v>37</v>
      </c>
      <c r="I594" s="2" t="s">
        <v>57</v>
      </c>
      <c r="J594" t="s">
        <v>31</v>
      </c>
      <c r="K594">
        <v>10</v>
      </c>
      <c r="L594" s="3"/>
      <c r="M594" s="3"/>
      <c r="N594" s="3"/>
      <c r="O594" s="3">
        <f t="shared" si="28"/>
        <v>0</v>
      </c>
      <c r="P594">
        <v>421.92</v>
      </c>
      <c r="Q594">
        <v>103</v>
      </c>
      <c r="R594">
        <v>2</v>
      </c>
      <c r="S594">
        <v>135</v>
      </c>
      <c r="T594">
        <f t="shared" si="29"/>
        <v>-2.5007999999999999</v>
      </c>
    </row>
    <row r="595" spans="1:20" x14ac:dyDescent="0.3">
      <c r="A595" s="1">
        <v>45231</v>
      </c>
      <c r="B595" s="1" t="str">
        <f t="shared" si="27"/>
        <v>Swiggy_Mundka_Product_2_45231</v>
      </c>
      <c r="C595" s="2" t="s">
        <v>32</v>
      </c>
      <c r="D595" s="2" t="s">
        <v>33</v>
      </c>
      <c r="E595" s="2" t="s">
        <v>34</v>
      </c>
      <c r="F595" s="2" t="s">
        <v>35</v>
      </c>
      <c r="G595" s="2" t="s">
        <v>36</v>
      </c>
      <c r="H595" s="2" t="s">
        <v>37</v>
      </c>
      <c r="I595" s="2" t="s">
        <v>38</v>
      </c>
      <c r="J595" t="s">
        <v>31</v>
      </c>
      <c r="K595">
        <v>3</v>
      </c>
      <c r="L595" s="3"/>
      <c r="M595" s="3"/>
      <c r="N595" s="3"/>
      <c r="O595" s="3">
        <f t="shared" si="28"/>
        <v>0</v>
      </c>
      <c r="P595">
        <v>421.92</v>
      </c>
      <c r="Q595">
        <v>310</v>
      </c>
      <c r="R595">
        <v>0</v>
      </c>
      <c r="S595">
        <v>134</v>
      </c>
      <c r="T595">
        <f t="shared" si="29"/>
        <v>0</v>
      </c>
    </row>
    <row r="596" spans="1:20" x14ac:dyDescent="0.3">
      <c r="A596" s="1">
        <v>45231</v>
      </c>
      <c r="B596" s="1" t="str">
        <f t="shared" si="27"/>
        <v>Swiggy_Bangalore_Product_16_45231</v>
      </c>
      <c r="C596" s="2" t="s">
        <v>107</v>
      </c>
      <c r="D596" s="2" t="s">
        <v>108</v>
      </c>
      <c r="E596" s="2" t="s">
        <v>34</v>
      </c>
      <c r="F596" s="2" t="s">
        <v>35</v>
      </c>
      <c r="G596" s="2" t="s">
        <v>79</v>
      </c>
      <c r="H596" s="2" t="s">
        <v>47</v>
      </c>
      <c r="I596" s="2" t="s">
        <v>109</v>
      </c>
      <c r="J596" t="s">
        <v>31</v>
      </c>
      <c r="K596">
        <v>4</v>
      </c>
      <c r="L596" s="3"/>
      <c r="M596" s="3"/>
      <c r="N596" s="3"/>
      <c r="O596" s="3">
        <f t="shared" si="28"/>
        <v>0</v>
      </c>
      <c r="P596">
        <v>748.8</v>
      </c>
      <c r="Q596">
        <v>441</v>
      </c>
      <c r="R596">
        <v>0</v>
      </c>
      <c r="S596">
        <v>122</v>
      </c>
      <c r="T596">
        <f t="shared" si="29"/>
        <v>3.2687999999999993</v>
      </c>
    </row>
    <row r="597" spans="1:20" x14ac:dyDescent="0.3">
      <c r="A597" s="1">
        <v>45231</v>
      </c>
      <c r="B597" s="1" t="str">
        <f t="shared" si="27"/>
        <v>Jharkhand_JH-Aggregated_Product_15_45231</v>
      </c>
      <c r="C597" s="2" t="s">
        <v>103</v>
      </c>
      <c r="D597" s="2" t="s">
        <v>104</v>
      </c>
      <c r="E597" s="2" t="s">
        <v>26</v>
      </c>
      <c r="F597" s="2" t="s">
        <v>27</v>
      </c>
      <c r="G597" s="2" t="s">
        <v>28</v>
      </c>
      <c r="H597" s="2" t="s">
        <v>105</v>
      </c>
      <c r="I597" s="2" t="s">
        <v>106</v>
      </c>
      <c r="J597" t="s">
        <v>31</v>
      </c>
      <c r="K597">
        <v>2</v>
      </c>
      <c r="L597" s="3"/>
      <c r="M597" s="3"/>
      <c r="N597" s="3"/>
      <c r="O597" s="3">
        <f t="shared" si="28"/>
        <v>0</v>
      </c>
      <c r="P597">
        <v>748.8</v>
      </c>
      <c r="Q597">
        <v>431</v>
      </c>
      <c r="R597">
        <v>10</v>
      </c>
      <c r="S597">
        <v>143</v>
      </c>
      <c r="T597">
        <f t="shared" si="29"/>
        <v>0</v>
      </c>
    </row>
    <row r="598" spans="1:20" x14ac:dyDescent="0.3">
      <c r="A598" s="1">
        <v>45231</v>
      </c>
      <c r="B598" s="1" t="str">
        <f t="shared" si="27"/>
        <v>Maharashtra_MH-Aggregated_Product_9_45231</v>
      </c>
      <c r="C598" s="2" t="s">
        <v>69</v>
      </c>
      <c r="D598" s="2" t="s">
        <v>70</v>
      </c>
      <c r="E598" s="2" t="s">
        <v>26</v>
      </c>
      <c r="F598" s="2" t="s">
        <v>41</v>
      </c>
      <c r="G598" s="2" t="s">
        <v>42</v>
      </c>
      <c r="H598" s="2" t="s">
        <v>37</v>
      </c>
      <c r="I598" s="2" t="s">
        <v>71</v>
      </c>
      <c r="J598" t="s">
        <v>31</v>
      </c>
      <c r="K598">
        <v>6</v>
      </c>
      <c r="L598" s="3"/>
      <c r="M598" s="3"/>
      <c r="N598" s="3"/>
      <c r="O598" s="3">
        <f t="shared" si="28"/>
        <v>0</v>
      </c>
      <c r="P598">
        <v>84</v>
      </c>
      <c r="Q598">
        <v>481</v>
      </c>
      <c r="R598">
        <v>0</v>
      </c>
      <c r="S598">
        <v>119</v>
      </c>
      <c r="T598">
        <f t="shared" si="29"/>
        <v>-6.6479999999999997</v>
      </c>
    </row>
    <row r="599" spans="1:20" x14ac:dyDescent="0.3">
      <c r="A599" s="1">
        <v>45231</v>
      </c>
      <c r="B599" s="1" t="str">
        <f t="shared" si="27"/>
        <v>Reliance_Bangalore_Product_3_45231</v>
      </c>
      <c r="C599" s="2" t="s">
        <v>80</v>
      </c>
      <c r="D599" s="2" t="s">
        <v>81</v>
      </c>
      <c r="E599" s="2" t="s">
        <v>34</v>
      </c>
      <c r="F599" s="2" t="s">
        <v>51</v>
      </c>
      <c r="G599" s="2" t="s">
        <v>79</v>
      </c>
      <c r="H599" s="2" t="s">
        <v>37</v>
      </c>
      <c r="I599" s="2" t="s">
        <v>43</v>
      </c>
      <c r="J599" t="s">
        <v>31</v>
      </c>
      <c r="K599">
        <v>11</v>
      </c>
      <c r="L599" s="3"/>
      <c r="M599" s="3"/>
      <c r="N599" s="3"/>
      <c r="O599" s="3">
        <f t="shared" si="28"/>
        <v>0</v>
      </c>
      <c r="P599">
        <v>48</v>
      </c>
      <c r="Q599">
        <v>486</v>
      </c>
      <c r="R599">
        <v>8</v>
      </c>
      <c r="S599">
        <v>127</v>
      </c>
      <c r="T599">
        <f t="shared" si="29"/>
        <v>-0.36</v>
      </c>
    </row>
    <row r="600" spans="1:20" x14ac:dyDescent="0.3">
      <c r="A600" s="1">
        <v>45231</v>
      </c>
      <c r="B600" s="1" t="str">
        <f t="shared" si="27"/>
        <v>Swiggy_Kolkata CFA_Product_3_45231</v>
      </c>
      <c r="C600" s="2" t="s">
        <v>61</v>
      </c>
      <c r="D600" s="2" t="s">
        <v>62</v>
      </c>
      <c r="E600" s="2" t="s">
        <v>34</v>
      </c>
      <c r="F600" s="2" t="s">
        <v>35</v>
      </c>
      <c r="G600" s="2" t="s">
        <v>63</v>
      </c>
      <c r="H600" s="2" t="s">
        <v>37</v>
      </c>
      <c r="I600" s="2" t="s">
        <v>43</v>
      </c>
      <c r="J600" t="s">
        <v>31</v>
      </c>
      <c r="K600">
        <v>13</v>
      </c>
      <c r="L600" s="3"/>
      <c r="M600" s="3"/>
      <c r="N600" s="3"/>
      <c r="O600" s="3">
        <f t="shared" si="28"/>
        <v>0</v>
      </c>
      <c r="P600">
        <v>383.52</v>
      </c>
      <c r="Q600">
        <v>414</v>
      </c>
      <c r="R600">
        <v>0</v>
      </c>
      <c r="S600">
        <v>127</v>
      </c>
      <c r="T600">
        <f t="shared" si="29"/>
        <v>3.3552</v>
      </c>
    </row>
    <row r="601" spans="1:20" x14ac:dyDescent="0.3">
      <c r="A601" s="1">
        <v>45231</v>
      </c>
      <c r="B601" s="1" t="str">
        <f t="shared" si="27"/>
        <v>Reliance_Bangalore_Product_8_45231</v>
      </c>
      <c r="C601" s="2" t="s">
        <v>77</v>
      </c>
      <c r="D601" s="2" t="s">
        <v>78</v>
      </c>
      <c r="E601" s="2" t="s">
        <v>34</v>
      </c>
      <c r="F601" s="2" t="s">
        <v>51</v>
      </c>
      <c r="G601" s="2" t="s">
        <v>79</v>
      </c>
      <c r="H601" s="2" t="s">
        <v>67</v>
      </c>
      <c r="I601" s="2" t="s">
        <v>68</v>
      </c>
      <c r="J601" t="s">
        <v>31</v>
      </c>
      <c r="K601">
        <v>3</v>
      </c>
      <c r="L601" s="3"/>
      <c r="M601" s="3"/>
      <c r="N601" s="3"/>
      <c r="O601" s="3">
        <f t="shared" si="28"/>
        <v>0</v>
      </c>
      <c r="P601">
        <v>383.52</v>
      </c>
      <c r="Q601">
        <v>355</v>
      </c>
      <c r="R601">
        <v>0</v>
      </c>
      <c r="S601">
        <v>126</v>
      </c>
      <c r="T601">
        <f t="shared" si="29"/>
        <v>0</v>
      </c>
    </row>
    <row r="602" spans="1:20" x14ac:dyDescent="0.3">
      <c r="A602" s="1">
        <v>45231</v>
      </c>
      <c r="B602" s="1" t="str">
        <f t="shared" si="27"/>
        <v>Reliance_Mundka_Product_7_45231</v>
      </c>
      <c r="C602" s="2" t="s">
        <v>58</v>
      </c>
      <c r="D602" s="2" t="s">
        <v>59</v>
      </c>
      <c r="E602" s="2" t="s">
        <v>34</v>
      </c>
      <c r="F602" s="2" t="s">
        <v>51</v>
      </c>
      <c r="G602" s="2" t="s">
        <v>36</v>
      </c>
      <c r="H602" s="2" t="s">
        <v>37</v>
      </c>
      <c r="I602" s="2" t="s">
        <v>60</v>
      </c>
      <c r="J602" t="s">
        <v>31</v>
      </c>
      <c r="K602">
        <v>6</v>
      </c>
      <c r="L602" s="3"/>
      <c r="M602" s="3"/>
      <c r="N602" s="3"/>
      <c r="O602" s="3">
        <f t="shared" si="28"/>
        <v>0</v>
      </c>
      <c r="P602">
        <v>672</v>
      </c>
      <c r="Q602">
        <v>130</v>
      </c>
      <c r="R602">
        <v>4</v>
      </c>
      <c r="S602">
        <v>117</v>
      </c>
      <c r="T602">
        <f t="shared" si="29"/>
        <v>2.8848000000000003</v>
      </c>
    </row>
    <row r="603" spans="1:20" x14ac:dyDescent="0.3">
      <c r="A603" s="1">
        <v>45231</v>
      </c>
      <c r="B603" s="1" t="str">
        <f t="shared" si="27"/>
        <v>Swiggy_Kolkata CFA_Product_20_45231</v>
      </c>
      <c r="C603" s="2" t="s">
        <v>128</v>
      </c>
      <c r="D603" s="2" t="s">
        <v>129</v>
      </c>
      <c r="E603" s="2" t="s">
        <v>34</v>
      </c>
      <c r="F603" s="2" t="s">
        <v>35</v>
      </c>
      <c r="G603" s="2" t="s">
        <v>63</v>
      </c>
      <c r="H603" s="2" t="s">
        <v>47</v>
      </c>
      <c r="I603" s="2" t="s">
        <v>130</v>
      </c>
      <c r="J603" t="s">
        <v>31</v>
      </c>
      <c r="K603">
        <v>1</v>
      </c>
      <c r="L603" s="3"/>
      <c r="M603" s="3"/>
      <c r="N603" s="3"/>
      <c r="O603" s="3">
        <f t="shared" si="28"/>
        <v>0</v>
      </c>
      <c r="P603">
        <v>672</v>
      </c>
      <c r="Q603">
        <v>404</v>
      </c>
      <c r="R603">
        <v>0</v>
      </c>
      <c r="S603">
        <v>125</v>
      </c>
      <c r="T603">
        <f t="shared" si="29"/>
        <v>0</v>
      </c>
    </row>
    <row r="604" spans="1:20" x14ac:dyDescent="0.3">
      <c r="A604" s="1">
        <v>45231</v>
      </c>
      <c r="B604" s="1" t="str">
        <f t="shared" si="27"/>
        <v>Swiggy_Kolkata CFA_Product_11_45231</v>
      </c>
      <c r="C604" s="2" t="s">
        <v>119</v>
      </c>
      <c r="D604" s="2" t="s">
        <v>120</v>
      </c>
      <c r="E604" s="2" t="s">
        <v>34</v>
      </c>
      <c r="F604" s="2" t="s">
        <v>35</v>
      </c>
      <c r="G604" s="2" t="s">
        <v>63</v>
      </c>
      <c r="H604" s="2" t="s">
        <v>67</v>
      </c>
      <c r="I604" s="2" t="s">
        <v>89</v>
      </c>
      <c r="J604" t="s">
        <v>31</v>
      </c>
      <c r="K604">
        <v>31</v>
      </c>
      <c r="L604" s="3"/>
      <c r="M604" s="3"/>
      <c r="N604" s="3"/>
      <c r="O604" s="3">
        <f t="shared" si="28"/>
        <v>0</v>
      </c>
      <c r="P604">
        <v>421.92</v>
      </c>
      <c r="Q604">
        <v>267</v>
      </c>
      <c r="R604">
        <v>0</v>
      </c>
      <c r="S604">
        <v>131</v>
      </c>
      <c r="T604">
        <f t="shared" si="29"/>
        <v>-2.5007999999999999</v>
      </c>
    </row>
    <row r="605" spans="1:20" x14ac:dyDescent="0.3">
      <c r="A605" s="1">
        <v>45231</v>
      </c>
      <c r="B605" s="1" t="str">
        <f t="shared" si="27"/>
        <v>Reliance_Bhiwandi_Product_11_45231</v>
      </c>
      <c r="C605" s="2" t="s">
        <v>87</v>
      </c>
      <c r="D605" s="2" t="s">
        <v>88</v>
      </c>
      <c r="E605" s="2" t="s">
        <v>34</v>
      </c>
      <c r="F605" s="2" t="s">
        <v>51</v>
      </c>
      <c r="G605" s="2" t="s">
        <v>66</v>
      </c>
      <c r="H605" s="2" t="s">
        <v>67</v>
      </c>
      <c r="I605" s="2" t="s">
        <v>89</v>
      </c>
      <c r="J605" t="s">
        <v>31</v>
      </c>
      <c r="K605">
        <v>6</v>
      </c>
      <c r="L605" s="3"/>
      <c r="M605" s="3"/>
      <c r="N605" s="3"/>
      <c r="O605" s="3">
        <f t="shared" si="28"/>
        <v>0</v>
      </c>
      <c r="P605">
        <v>421.92</v>
      </c>
      <c r="Q605">
        <v>298</v>
      </c>
      <c r="R605">
        <v>6</v>
      </c>
      <c r="S605">
        <v>131</v>
      </c>
      <c r="T605">
        <f t="shared" si="29"/>
        <v>0</v>
      </c>
    </row>
    <row r="606" spans="1:20" x14ac:dyDescent="0.3">
      <c r="A606" s="1">
        <v>45231</v>
      </c>
      <c r="B606" s="1" t="str">
        <f t="shared" si="27"/>
        <v>Reliance_Bhiwandi_Product_8_45231</v>
      </c>
      <c r="C606" s="2" t="s">
        <v>64</v>
      </c>
      <c r="D606" s="2" t="s">
        <v>65</v>
      </c>
      <c r="E606" s="2" t="s">
        <v>34</v>
      </c>
      <c r="F606" s="2" t="s">
        <v>51</v>
      </c>
      <c r="G606" s="2" t="s">
        <v>66</v>
      </c>
      <c r="H606" s="2" t="s">
        <v>67</v>
      </c>
      <c r="I606" s="2" t="s">
        <v>68</v>
      </c>
      <c r="J606" t="s">
        <v>31</v>
      </c>
      <c r="K606">
        <v>11</v>
      </c>
      <c r="L606" s="3"/>
      <c r="M606" s="3"/>
      <c r="N606" s="3"/>
      <c r="O606" s="3">
        <f t="shared" si="28"/>
        <v>0</v>
      </c>
      <c r="P606">
        <v>748.8</v>
      </c>
      <c r="Q606">
        <v>425</v>
      </c>
      <c r="R606">
        <v>0</v>
      </c>
      <c r="S606">
        <v>126</v>
      </c>
      <c r="T606">
        <f t="shared" si="29"/>
        <v>3.2687999999999993</v>
      </c>
    </row>
    <row r="607" spans="1:20" x14ac:dyDescent="0.3">
      <c r="A607" s="1">
        <v>45231</v>
      </c>
      <c r="B607" s="1" t="str">
        <f t="shared" si="27"/>
        <v>Reliance_Chennai_Product_11_45231</v>
      </c>
      <c r="C607" s="2" t="s">
        <v>110</v>
      </c>
      <c r="D607" s="2" t="s">
        <v>111</v>
      </c>
      <c r="E607" s="2" t="s">
        <v>34</v>
      </c>
      <c r="F607" s="2" t="s">
        <v>51</v>
      </c>
      <c r="G607" s="2" t="s">
        <v>84</v>
      </c>
      <c r="H607" s="2" t="s">
        <v>67</v>
      </c>
      <c r="I607" s="2" t="s">
        <v>89</v>
      </c>
      <c r="J607" t="s">
        <v>31</v>
      </c>
      <c r="K607">
        <v>2</v>
      </c>
      <c r="L607" s="3"/>
      <c r="M607" s="3"/>
      <c r="N607" s="3"/>
      <c r="O607" s="3">
        <f t="shared" si="28"/>
        <v>0</v>
      </c>
      <c r="P607">
        <v>748.8</v>
      </c>
      <c r="Q607">
        <v>182</v>
      </c>
      <c r="R607">
        <v>3</v>
      </c>
      <c r="S607">
        <v>131</v>
      </c>
      <c r="T607">
        <f t="shared" si="29"/>
        <v>0</v>
      </c>
    </row>
    <row r="608" spans="1:20" x14ac:dyDescent="0.3">
      <c r="A608" s="1">
        <v>45231</v>
      </c>
      <c r="B608" s="1" t="str">
        <f t="shared" si="27"/>
        <v>Grofers_Hyderabad_Product_21_45231</v>
      </c>
      <c r="C608" s="2" t="s">
        <v>135</v>
      </c>
      <c r="D608" s="2" t="s">
        <v>136</v>
      </c>
      <c r="E608" s="2" t="s">
        <v>34</v>
      </c>
      <c r="F608" s="2" t="s">
        <v>114</v>
      </c>
      <c r="G608" s="2" t="s">
        <v>137</v>
      </c>
      <c r="H608" s="2" t="s">
        <v>133</v>
      </c>
      <c r="I608" s="2" t="s">
        <v>134</v>
      </c>
      <c r="J608" t="s">
        <v>31</v>
      </c>
      <c r="K608">
        <v>18</v>
      </c>
      <c r="L608" s="3"/>
      <c r="M608" s="3"/>
      <c r="N608" s="3"/>
      <c r="O608" s="3">
        <f t="shared" si="28"/>
        <v>0</v>
      </c>
      <c r="P608">
        <v>84</v>
      </c>
      <c r="Q608">
        <v>137</v>
      </c>
      <c r="R608">
        <v>0</v>
      </c>
      <c r="S608">
        <v>115</v>
      </c>
      <c r="T608">
        <f t="shared" si="29"/>
        <v>-6.6479999999999997</v>
      </c>
    </row>
    <row r="609" spans="1:20" x14ac:dyDescent="0.3">
      <c r="A609" s="1">
        <v>45231</v>
      </c>
      <c r="B609" s="1" t="str">
        <f t="shared" si="27"/>
        <v>Reliance_Ahmedabad_Product_18_45231</v>
      </c>
      <c r="C609" s="2" t="s">
        <v>121</v>
      </c>
      <c r="D609" s="2" t="s">
        <v>122</v>
      </c>
      <c r="E609" s="2" t="s">
        <v>34</v>
      </c>
      <c r="F609" s="2" t="s">
        <v>51</v>
      </c>
      <c r="G609" s="2" t="s">
        <v>52</v>
      </c>
      <c r="H609" s="2" t="s">
        <v>29</v>
      </c>
      <c r="I609" s="2" t="s">
        <v>123</v>
      </c>
      <c r="J609" t="s">
        <v>31</v>
      </c>
      <c r="K609">
        <v>40</v>
      </c>
      <c r="L609" s="3"/>
      <c r="M609" s="3"/>
      <c r="N609" s="3"/>
      <c r="O609" s="3">
        <f t="shared" si="28"/>
        <v>0</v>
      </c>
      <c r="P609">
        <v>48</v>
      </c>
      <c r="Q609">
        <v>142</v>
      </c>
      <c r="R609">
        <v>13</v>
      </c>
      <c r="S609">
        <v>129</v>
      </c>
      <c r="T609">
        <f t="shared" si="29"/>
        <v>-0.36</v>
      </c>
    </row>
    <row r="610" spans="1:20" x14ac:dyDescent="0.3">
      <c r="A610" s="1">
        <v>45231</v>
      </c>
      <c r="B610" s="1" t="str">
        <f t="shared" si="27"/>
        <v>Reliance_Ahmedabad_Product_5_45231</v>
      </c>
      <c r="C610" s="2" t="s">
        <v>49</v>
      </c>
      <c r="D610" s="2" t="s">
        <v>50</v>
      </c>
      <c r="E610" s="2" t="s">
        <v>34</v>
      </c>
      <c r="F610" s="2" t="s">
        <v>51</v>
      </c>
      <c r="G610" s="2" t="s">
        <v>52</v>
      </c>
      <c r="H610" s="2" t="s">
        <v>53</v>
      </c>
      <c r="I610" s="2" t="s">
        <v>54</v>
      </c>
      <c r="J610" t="s">
        <v>31</v>
      </c>
      <c r="K610">
        <v>4</v>
      </c>
      <c r="L610" s="3"/>
      <c r="M610" s="3"/>
      <c r="N610" s="3"/>
      <c r="O610" s="3">
        <f t="shared" si="28"/>
        <v>0</v>
      </c>
      <c r="P610">
        <v>383.52</v>
      </c>
      <c r="Q610">
        <v>170</v>
      </c>
      <c r="R610">
        <v>0</v>
      </c>
      <c r="S610">
        <v>132</v>
      </c>
      <c r="T610">
        <f t="shared" si="29"/>
        <v>3.3552</v>
      </c>
    </row>
    <row r="611" spans="1:20" x14ac:dyDescent="0.3">
      <c r="A611" s="1">
        <v>45231</v>
      </c>
      <c r="B611" s="1" t="str">
        <f t="shared" si="27"/>
        <v>Reliance_Bhiwandi_Product_10_45231</v>
      </c>
      <c r="C611" s="2" t="s">
        <v>85</v>
      </c>
      <c r="D611" s="2" t="s">
        <v>86</v>
      </c>
      <c r="E611" s="2" t="s">
        <v>34</v>
      </c>
      <c r="F611" s="2" t="s">
        <v>51</v>
      </c>
      <c r="G611" s="2" t="s">
        <v>66</v>
      </c>
      <c r="H611" s="2" t="s">
        <v>67</v>
      </c>
      <c r="I611" s="2" t="s">
        <v>76</v>
      </c>
      <c r="J611" t="s">
        <v>31</v>
      </c>
      <c r="K611">
        <v>2</v>
      </c>
      <c r="L611" s="3"/>
      <c r="M611" s="3"/>
      <c r="N611" s="3"/>
      <c r="O611" s="3">
        <f t="shared" si="28"/>
        <v>0</v>
      </c>
      <c r="P611">
        <v>383.52</v>
      </c>
      <c r="Q611">
        <v>397</v>
      </c>
      <c r="R611">
        <v>11</v>
      </c>
      <c r="S611">
        <v>106</v>
      </c>
      <c r="T611">
        <f t="shared" si="29"/>
        <v>0</v>
      </c>
    </row>
    <row r="612" spans="1:20" x14ac:dyDescent="0.3">
      <c r="A612" s="1">
        <v>45231</v>
      </c>
      <c r="B612" s="1" t="str">
        <f t="shared" si="27"/>
        <v>Reliance_Mundka_Product_9_45231</v>
      </c>
      <c r="C612" s="2" t="s">
        <v>145</v>
      </c>
      <c r="D612" s="2" t="s">
        <v>146</v>
      </c>
      <c r="E612" s="2" t="s">
        <v>34</v>
      </c>
      <c r="F612" s="2" t="s">
        <v>51</v>
      </c>
      <c r="G612" s="2" t="s">
        <v>36</v>
      </c>
      <c r="H612" s="2" t="s">
        <v>37</v>
      </c>
      <c r="I612" s="2" t="s">
        <v>71</v>
      </c>
      <c r="J612" t="s">
        <v>31</v>
      </c>
      <c r="K612">
        <v>2</v>
      </c>
      <c r="L612" s="3"/>
      <c r="M612" s="3"/>
      <c r="N612" s="3"/>
      <c r="O612" s="3">
        <f t="shared" si="28"/>
        <v>0</v>
      </c>
      <c r="P612">
        <v>672</v>
      </c>
      <c r="Q612">
        <v>485</v>
      </c>
      <c r="R612">
        <v>8</v>
      </c>
      <c r="S612">
        <v>119</v>
      </c>
      <c r="T612">
        <f t="shared" si="29"/>
        <v>2.8848000000000003</v>
      </c>
    </row>
    <row r="613" spans="1:20" x14ac:dyDescent="0.3">
      <c r="A613" s="1">
        <v>45231</v>
      </c>
      <c r="B613" s="1" t="str">
        <f t="shared" si="27"/>
        <v>Grofers_Ahmedabad_Product_9_45231</v>
      </c>
      <c r="C613" s="2" t="s">
        <v>112</v>
      </c>
      <c r="D613" s="2" t="s">
        <v>113</v>
      </c>
      <c r="E613" s="2" t="s">
        <v>34</v>
      </c>
      <c r="F613" s="2" t="s">
        <v>114</v>
      </c>
      <c r="G613" s="2" t="s">
        <v>52</v>
      </c>
      <c r="H613" s="2" t="s">
        <v>37</v>
      </c>
      <c r="I613" s="2" t="s">
        <v>71</v>
      </c>
      <c r="J613" t="s">
        <v>31</v>
      </c>
      <c r="K613">
        <v>1</v>
      </c>
      <c r="L613" s="3"/>
      <c r="M613" s="3"/>
      <c r="N613" s="3"/>
      <c r="O613" s="3">
        <f t="shared" si="28"/>
        <v>0</v>
      </c>
      <c r="P613">
        <v>672</v>
      </c>
      <c r="Q613">
        <v>259</v>
      </c>
      <c r="R613">
        <v>0</v>
      </c>
      <c r="S613">
        <v>119</v>
      </c>
      <c r="T613">
        <f t="shared" si="29"/>
        <v>0</v>
      </c>
    </row>
    <row r="614" spans="1:20" x14ac:dyDescent="0.3">
      <c r="A614" s="1">
        <v>45231</v>
      </c>
      <c r="B614" s="1" t="str">
        <f t="shared" si="27"/>
        <v>Reliance_Kolkata CFA_Product_12_45231</v>
      </c>
      <c r="C614" s="2" t="s">
        <v>101</v>
      </c>
      <c r="D614" s="2" t="s">
        <v>102</v>
      </c>
      <c r="E614" s="2" t="s">
        <v>34</v>
      </c>
      <c r="F614" s="2" t="s">
        <v>51</v>
      </c>
      <c r="G614" s="2" t="s">
        <v>63</v>
      </c>
      <c r="H614" s="2" t="s">
        <v>67</v>
      </c>
      <c r="I614" s="2" t="s">
        <v>92</v>
      </c>
      <c r="J614" t="s">
        <v>31</v>
      </c>
      <c r="K614">
        <v>6</v>
      </c>
      <c r="L614" s="3"/>
      <c r="M614" s="3"/>
      <c r="N614" s="3"/>
      <c r="O614" s="3">
        <f t="shared" si="28"/>
        <v>0</v>
      </c>
      <c r="P614">
        <v>421.92</v>
      </c>
      <c r="Q614">
        <v>190</v>
      </c>
      <c r="R614">
        <v>0</v>
      </c>
      <c r="S614">
        <v>94</v>
      </c>
      <c r="T614">
        <f t="shared" si="29"/>
        <v>-2.5007999999999999</v>
      </c>
    </row>
    <row r="615" spans="1:20" x14ac:dyDescent="0.3">
      <c r="A615" s="1">
        <v>45231</v>
      </c>
      <c r="B615" s="1" t="str">
        <f t="shared" si="27"/>
        <v>Reliance_Hyderabad_Product_2_45231</v>
      </c>
      <c r="C615" s="2" t="s">
        <v>149</v>
      </c>
      <c r="D615" s="2" t="s">
        <v>150</v>
      </c>
      <c r="E615" s="2" t="s">
        <v>34</v>
      </c>
      <c r="F615" s="2" t="s">
        <v>51</v>
      </c>
      <c r="G615" s="2" t="s">
        <v>137</v>
      </c>
      <c r="H615" s="2" t="s">
        <v>37</v>
      </c>
      <c r="I615" s="2" t="s">
        <v>38</v>
      </c>
      <c r="J615" t="s">
        <v>31</v>
      </c>
      <c r="K615">
        <v>3</v>
      </c>
      <c r="L615" s="3"/>
      <c r="M615" s="3"/>
      <c r="N615" s="3"/>
      <c r="O615" s="3">
        <f t="shared" si="28"/>
        <v>0</v>
      </c>
      <c r="P615">
        <v>421.92</v>
      </c>
      <c r="Q615">
        <v>287</v>
      </c>
      <c r="R615">
        <v>5</v>
      </c>
      <c r="S615">
        <v>134</v>
      </c>
      <c r="T615">
        <f t="shared" si="29"/>
        <v>0</v>
      </c>
    </row>
    <row r="616" spans="1:20" x14ac:dyDescent="0.3">
      <c r="A616" s="1">
        <v>45231</v>
      </c>
      <c r="B616" s="1" t="str">
        <f t="shared" si="27"/>
        <v>Zepto_Bangalore_Product_12_45231</v>
      </c>
      <c r="C616" s="2" t="s">
        <v>90</v>
      </c>
      <c r="D616" s="2" t="s">
        <v>91</v>
      </c>
      <c r="E616" s="2" t="s">
        <v>34</v>
      </c>
      <c r="F616" s="2" t="s">
        <v>46</v>
      </c>
      <c r="G616" s="2" t="s">
        <v>79</v>
      </c>
      <c r="H616" s="2" t="s">
        <v>67</v>
      </c>
      <c r="I616" s="2" t="s">
        <v>92</v>
      </c>
      <c r="J616" t="s">
        <v>31</v>
      </c>
      <c r="K616">
        <v>3</v>
      </c>
      <c r="L616" s="3"/>
      <c r="M616" s="3"/>
      <c r="N616" s="3"/>
      <c r="O616" s="3">
        <f t="shared" si="28"/>
        <v>0</v>
      </c>
      <c r="P616">
        <v>748.8</v>
      </c>
      <c r="Q616">
        <v>158</v>
      </c>
      <c r="R616">
        <v>9</v>
      </c>
      <c r="S616">
        <v>94</v>
      </c>
      <c r="T616">
        <f t="shared" si="29"/>
        <v>3.2687999999999993</v>
      </c>
    </row>
    <row r="617" spans="1:20" x14ac:dyDescent="0.3">
      <c r="A617" s="1">
        <v>45231</v>
      </c>
      <c r="B617" s="1" t="str">
        <f t="shared" si="27"/>
        <v>Reliance_Chennai_Product_9_45231</v>
      </c>
      <c r="C617" s="2" t="s">
        <v>147</v>
      </c>
      <c r="D617" s="2" t="s">
        <v>148</v>
      </c>
      <c r="E617" s="2" t="s">
        <v>34</v>
      </c>
      <c r="F617" s="2" t="s">
        <v>51</v>
      </c>
      <c r="G617" s="2" t="s">
        <v>84</v>
      </c>
      <c r="H617" s="2" t="s">
        <v>37</v>
      </c>
      <c r="I617" s="2" t="s">
        <v>71</v>
      </c>
      <c r="J617" t="s">
        <v>31</v>
      </c>
      <c r="K617">
        <v>2</v>
      </c>
      <c r="L617" s="3"/>
      <c r="M617" s="3"/>
      <c r="N617" s="3"/>
      <c r="O617" s="3">
        <f t="shared" si="28"/>
        <v>0</v>
      </c>
      <c r="P617">
        <v>748.8</v>
      </c>
      <c r="Q617">
        <v>130</v>
      </c>
      <c r="R617">
        <v>3</v>
      </c>
      <c r="S617">
        <v>119</v>
      </c>
      <c r="T617">
        <f t="shared" si="29"/>
        <v>0</v>
      </c>
    </row>
    <row r="618" spans="1:20" x14ac:dyDescent="0.3">
      <c r="A618" s="1">
        <v>45231</v>
      </c>
      <c r="B618" s="1" t="str">
        <f t="shared" si="27"/>
        <v>Swiggy_Chennai_Product_3_45231</v>
      </c>
      <c r="C618" s="2" t="s">
        <v>82</v>
      </c>
      <c r="D618" s="2" t="s">
        <v>83</v>
      </c>
      <c r="E618" s="2" t="s">
        <v>34</v>
      </c>
      <c r="F618" s="2" t="s">
        <v>35</v>
      </c>
      <c r="G618" s="2" t="s">
        <v>84</v>
      </c>
      <c r="H618" s="2" t="s">
        <v>37</v>
      </c>
      <c r="I618" s="2" t="s">
        <v>43</v>
      </c>
      <c r="J618" t="s">
        <v>31</v>
      </c>
      <c r="K618">
        <v>5</v>
      </c>
      <c r="L618" s="3"/>
      <c r="M618" s="3"/>
      <c r="N618" s="3"/>
      <c r="O618" s="3">
        <f t="shared" si="28"/>
        <v>0</v>
      </c>
      <c r="P618">
        <v>84</v>
      </c>
      <c r="Q618">
        <v>211</v>
      </c>
      <c r="R618">
        <v>6</v>
      </c>
      <c r="S618">
        <v>127</v>
      </c>
      <c r="T618">
        <f t="shared" si="29"/>
        <v>-6.6479999999999997</v>
      </c>
    </row>
    <row r="619" spans="1:20" x14ac:dyDescent="0.3">
      <c r="A619" s="1">
        <v>45231</v>
      </c>
      <c r="B619" s="1" t="str">
        <f t="shared" si="27"/>
        <v>Reliance_Bangalore_Product_14_45231</v>
      </c>
      <c r="C619" s="2" t="s">
        <v>155</v>
      </c>
      <c r="D619" s="2" t="s">
        <v>156</v>
      </c>
      <c r="E619" s="2" t="s">
        <v>34</v>
      </c>
      <c r="F619" s="2" t="s">
        <v>51</v>
      </c>
      <c r="G619" s="2" t="s">
        <v>79</v>
      </c>
      <c r="H619" s="2" t="s">
        <v>47</v>
      </c>
      <c r="I619" s="2" t="s">
        <v>98</v>
      </c>
      <c r="J619" t="s">
        <v>31</v>
      </c>
      <c r="K619">
        <v>9</v>
      </c>
      <c r="L619" s="3"/>
      <c r="M619" s="3"/>
      <c r="N619" s="3"/>
      <c r="O619" s="3">
        <f t="shared" si="28"/>
        <v>0</v>
      </c>
      <c r="P619">
        <v>48</v>
      </c>
      <c r="Q619">
        <v>258</v>
      </c>
      <c r="R619">
        <v>5</v>
      </c>
      <c r="S619">
        <v>97</v>
      </c>
      <c r="T619">
        <f t="shared" si="29"/>
        <v>-0.36</v>
      </c>
    </row>
    <row r="620" spans="1:20" x14ac:dyDescent="0.3">
      <c r="A620" s="1">
        <v>45261</v>
      </c>
      <c r="B620" s="1" t="str">
        <f t="shared" si="27"/>
        <v>Reliance_Mundka_Product_7_45261</v>
      </c>
      <c r="C620" s="2" t="s">
        <v>58</v>
      </c>
      <c r="D620" s="2" t="s">
        <v>59</v>
      </c>
      <c r="E620" s="2" t="s">
        <v>34</v>
      </c>
      <c r="F620" s="2" t="s">
        <v>51</v>
      </c>
      <c r="G620" s="2" t="s">
        <v>36</v>
      </c>
      <c r="H620" s="2" t="s">
        <v>37</v>
      </c>
      <c r="I620" s="2" t="s">
        <v>60</v>
      </c>
      <c r="J620" t="s">
        <v>31</v>
      </c>
      <c r="K620">
        <v>13</v>
      </c>
      <c r="L620" s="3"/>
      <c r="M620" s="3"/>
      <c r="N620" s="3"/>
      <c r="O620" s="3">
        <f t="shared" si="28"/>
        <v>0</v>
      </c>
      <c r="P620">
        <v>383.52</v>
      </c>
      <c r="Q620">
        <v>173</v>
      </c>
      <c r="R620">
        <v>0</v>
      </c>
      <c r="S620">
        <v>117</v>
      </c>
      <c r="T620">
        <f t="shared" si="29"/>
        <v>3.3552</v>
      </c>
    </row>
    <row r="621" spans="1:20" x14ac:dyDescent="0.3">
      <c r="A621" s="1">
        <v>45261</v>
      </c>
      <c r="B621" s="1" t="str">
        <f t="shared" si="27"/>
        <v>Grofers_Ahmedabad_Product_9_45261</v>
      </c>
      <c r="C621" s="2" t="s">
        <v>112</v>
      </c>
      <c r="D621" s="2" t="s">
        <v>113</v>
      </c>
      <c r="E621" s="2" t="s">
        <v>34</v>
      </c>
      <c r="F621" s="2" t="s">
        <v>114</v>
      </c>
      <c r="G621" s="2" t="s">
        <v>52</v>
      </c>
      <c r="H621" s="2" t="s">
        <v>37</v>
      </c>
      <c r="I621" s="2" t="s">
        <v>71</v>
      </c>
      <c r="J621" t="s">
        <v>31</v>
      </c>
      <c r="K621">
        <v>3</v>
      </c>
      <c r="L621" s="3"/>
      <c r="M621" s="3"/>
      <c r="N621" s="3"/>
      <c r="O621" s="3">
        <f t="shared" si="28"/>
        <v>0</v>
      </c>
      <c r="P621">
        <v>383.52</v>
      </c>
      <c r="Q621">
        <v>428</v>
      </c>
      <c r="R621">
        <v>0</v>
      </c>
      <c r="S621">
        <v>119</v>
      </c>
      <c r="T621">
        <f t="shared" si="29"/>
        <v>0</v>
      </c>
    </row>
    <row r="622" spans="1:20" x14ac:dyDescent="0.3">
      <c r="A622" s="1">
        <v>45261</v>
      </c>
      <c r="B622" s="1" t="str">
        <f t="shared" si="27"/>
        <v>Maharashtra_MH-Aggregated_Product_3_45261</v>
      </c>
      <c r="C622" s="2" t="s">
        <v>39</v>
      </c>
      <c r="D622" s="2" t="s">
        <v>40</v>
      </c>
      <c r="E622" s="2" t="s">
        <v>26</v>
      </c>
      <c r="F622" s="2" t="s">
        <v>41</v>
      </c>
      <c r="G622" s="2" t="s">
        <v>42</v>
      </c>
      <c r="H622" s="2" t="s">
        <v>37</v>
      </c>
      <c r="I622" s="2" t="s">
        <v>43</v>
      </c>
      <c r="J622" t="s">
        <v>31</v>
      </c>
      <c r="K622">
        <v>6</v>
      </c>
      <c r="L622" s="3"/>
      <c r="M622" s="3"/>
      <c r="N622" s="3"/>
      <c r="O622" s="3">
        <f t="shared" si="28"/>
        <v>0</v>
      </c>
      <c r="P622">
        <v>672</v>
      </c>
      <c r="Q622">
        <v>455</v>
      </c>
      <c r="R622">
        <v>0</v>
      </c>
      <c r="S622">
        <v>127</v>
      </c>
      <c r="T622">
        <f t="shared" si="29"/>
        <v>2.8848000000000003</v>
      </c>
    </row>
    <row r="623" spans="1:20" x14ac:dyDescent="0.3">
      <c r="A623" s="1">
        <v>45261</v>
      </c>
      <c r="B623" s="1" t="str">
        <f t="shared" si="27"/>
        <v>Swiggy_Kolkata CFA_Product_20_45261</v>
      </c>
      <c r="C623" s="2" t="s">
        <v>128</v>
      </c>
      <c r="D623" s="2" t="s">
        <v>129</v>
      </c>
      <c r="E623" s="2" t="s">
        <v>34</v>
      </c>
      <c r="F623" s="2" t="s">
        <v>35</v>
      </c>
      <c r="G623" s="2" t="s">
        <v>63</v>
      </c>
      <c r="H623" s="2" t="s">
        <v>47</v>
      </c>
      <c r="I623" s="2" t="s">
        <v>130</v>
      </c>
      <c r="J623" t="s">
        <v>31</v>
      </c>
      <c r="K623">
        <v>1</v>
      </c>
      <c r="L623" s="3"/>
      <c r="M623" s="3"/>
      <c r="N623" s="3"/>
      <c r="O623" s="3">
        <f t="shared" si="28"/>
        <v>0</v>
      </c>
      <c r="P623">
        <v>672</v>
      </c>
      <c r="Q623">
        <v>139</v>
      </c>
      <c r="R623">
        <v>2</v>
      </c>
      <c r="S623">
        <v>125</v>
      </c>
      <c r="T623">
        <f t="shared" si="29"/>
        <v>0</v>
      </c>
    </row>
    <row r="624" spans="1:20" x14ac:dyDescent="0.3">
      <c r="A624" s="1">
        <v>45261</v>
      </c>
      <c r="B624" s="1" t="str">
        <f t="shared" si="27"/>
        <v>Jharkhand_JH-Aggregated_Product_19_45261</v>
      </c>
      <c r="C624" s="2" t="s">
        <v>124</v>
      </c>
      <c r="D624" s="2" t="s">
        <v>125</v>
      </c>
      <c r="E624" s="2" t="s">
        <v>26</v>
      </c>
      <c r="F624" s="2" t="s">
        <v>27</v>
      </c>
      <c r="G624" s="2" t="s">
        <v>28</v>
      </c>
      <c r="H624" s="2" t="s">
        <v>126</v>
      </c>
      <c r="I624" s="2" t="s">
        <v>127</v>
      </c>
      <c r="J624" t="s">
        <v>31</v>
      </c>
      <c r="K624">
        <v>31</v>
      </c>
      <c r="L624" s="3"/>
      <c r="M624" s="3"/>
      <c r="N624" s="3"/>
      <c r="O624" s="3">
        <f t="shared" si="28"/>
        <v>0</v>
      </c>
      <c r="P624">
        <v>421.92</v>
      </c>
      <c r="Q624">
        <v>257</v>
      </c>
      <c r="R624">
        <v>0</v>
      </c>
      <c r="S624">
        <v>94</v>
      </c>
      <c r="T624">
        <f t="shared" si="29"/>
        <v>-2.5007999999999999</v>
      </c>
    </row>
    <row r="625" spans="1:20" x14ac:dyDescent="0.3">
      <c r="A625" s="1">
        <v>45261</v>
      </c>
      <c r="B625" s="1" t="str">
        <f t="shared" si="27"/>
        <v>Reliance_Chennai_Product_9_45261</v>
      </c>
      <c r="C625" s="2" t="s">
        <v>147</v>
      </c>
      <c r="D625" s="2" t="s">
        <v>148</v>
      </c>
      <c r="E625" s="2" t="s">
        <v>34</v>
      </c>
      <c r="F625" s="2" t="s">
        <v>51</v>
      </c>
      <c r="G625" s="2" t="s">
        <v>84</v>
      </c>
      <c r="H625" s="2" t="s">
        <v>37</v>
      </c>
      <c r="I625" s="2" t="s">
        <v>71</v>
      </c>
      <c r="J625" t="s">
        <v>31</v>
      </c>
      <c r="K625">
        <v>6</v>
      </c>
      <c r="L625" s="3"/>
      <c r="M625" s="3"/>
      <c r="N625" s="3"/>
      <c r="O625" s="3">
        <f t="shared" si="28"/>
        <v>0</v>
      </c>
      <c r="P625">
        <v>421.92</v>
      </c>
      <c r="Q625">
        <v>187</v>
      </c>
      <c r="R625">
        <v>4</v>
      </c>
      <c r="S625">
        <v>119</v>
      </c>
      <c r="T625">
        <f t="shared" si="29"/>
        <v>0</v>
      </c>
    </row>
    <row r="626" spans="1:20" x14ac:dyDescent="0.3">
      <c r="A626" s="1">
        <v>45261</v>
      </c>
      <c r="B626" s="1" t="str">
        <f t="shared" si="27"/>
        <v>Reliance_Ahmedabad_Product_7_45261</v>
      </c>
      <c r="C626" s="2" t="s">
        <v>99</v>
      </c>
      <c r="D626" s="2" t="s">
        <v>100</v>
      </c>
      <c r="E626" s="2" t="s">
        <v>34</v>
      </c>
      <c r="F626" s="2" t="s">
        <v>51</v>
      </c>
      <c r="G626" s="2" t="s">
        <v>52</v>
      </c>
      <c r="H626" s="2" t="s">
        <v>37</v>
      </c>
      <c r="I626" s="2" t="s">
        <v>60</v>
      </c>
      <c r="J626" t="s">
        <v>31</v>
      </c>
      <c r="K626">
        <v>11</v>
      </c>
      <c r="L626" s="3"/>
      <c r="M626" s="3"/>
      <c r="N626" s="3"/>
      <c r="O626" s="3">
        <f t="shared" si="28"/>
        <v>0</v>
      </c>
      <c r="P626">
        <v>748.8</v>
      </c>
      <c r="Q626">
        <v>168</v>
      </c>
      <c r="R626">
        <v>0</v>
      </c>
      <c r="S626">
        <v>117</v>
      </c>
      <c r="T626">
        <f t="shared" si="29"/>
        <v>3.2687999999999993</v>
      </c>
    </row>
    <row r="627" spans="1:20" x14ac:dyDescent="0.3">
      <c r="A627" s="1">
        <v>45261</v>
      </c>
      <c r="B627" s="1" t="str">
        <f t="shared" si="27"/>
        <v>Jharkhand_JH-Aggregated_Product_15_45261</v>
      </c>
      <c r="C627" s="2" t="s">
        <v>103</v>
      </c>
      <c r="D627" s="2" t="s">
        <v>104</v>
      </c>
      <c r="E627" s="2" t="s">
        <v>26</v>
      </c>
      <c r="F627" s="2" t="s">
        <v>27</v>
      </c>
      <c r="G627" s="2" t="s">
        <v>28</v>
      </c>
      <c r="H627" s="2" t="s">
        <v>105</v>
      </c>
      <c r="I627" s="2" t="s">
        <v>106</v>
      </c>
      <c r="J627" t="s">
        <v>31</v>
      </c>
      <c r="K627">
        <v>2</v>
      </c>
      <c r="L627" s="3"/>
      <c r="M627" s="3"/>
      <c r="N627" s="3"/>
      <c r="O627" s="3">
        <f t="shared" si="28"/>
        <v>0</v>
      </c>
      <c r="P627">
        <v>748.8</v>
      </c>
      <c r="Q627">
        <v>439</v>
      </c>
      <c r="R627">
        <v>0</v>
      </c>
      <c r="S627">
        <v>143</v>
      </c>
      <c r="T627">
        <f t="shared" si="29"/>
        <v>0</v>
      </c>
    </row>
    <row r="628" spans="1:20" x14ac:dyDescent="0.3">
      <c r="A628" s="1">
        <v>45261</v>
      </c>
      <c r="B628" s="1" t="str">
        <f t="shared" si="27"/>
        <v>Reliance_Kolkata CFA_Product_12_45261</v>
      </c>
      <c r="C628" s="2" t="s">
        <v>101</v>
      </c>
      <c r="D628" s="2" t="s">
        <v>102</v>
      </c>
      <c r="E628" s="2" t="s">
        <v>34</v>
      </c>
      <c r="F628" s="2" t="s">
        <v>51</v>
      </c>
      <c r="G628" s="2" t="s">
        <v>63</v>
      </c>
      <c r="H628" s="2" t="s">
        <v>67</v>
      </c>
      <c r="I628" s="2" t="s">
        <v>92</v>
      </c>
      <c r="J628" t="s">
        <v>31</v>
      </c>
      <c r="K628">
        <v>18</v>
      </c>
      <c r="L628" s="3"/>
      <c r="M628" s="3"/>
      <c r="N628" s="3"/>
      <c r="O628" s="3">
        <f t="shared" si="28"/>
        <v>0</v>
      </c>
      <c r="P628">
        <v>84</v>
      </c>
      <c r="Q628">
        <v>230</v>
      </c>
      <c r="R628">
        <v>0</v>
      </c>
      <c r="S628">
        <v>94</v>
      </c>
      <c r="T628">
        <f t="shared" si="29"/>
        <v>-6.6479999999999997</v>
      </c>
    </row>
    <row r="629" spans="1:20" x14ac:dyDescent="0.3">
      <c r="A629" s="1">
        <v>45261</v>
      </c>
      <c r="B629" s="1" t="str">
        <f t="shared" si="27"/>
        <v>Swiggy_Mundka_Product_2_45261</v>
      </c>
      <c r="C629" s="2" t="s">
        <v>32</v>
      </c>
      <c r="D629" s="2" t="s">
        <v>33</v>
      </c>
      <c r="E629" s="2" t="s">
        <v>34</v>
      </c>
      <c r="F629" s="2" t="s">
        <v>35</v>
      </c>
      <c r="G629" s="2" t="s">
        <v>36</v>
      </c>
      <c r="H629" s="2" t="s">
        <v>37</v>
      </c>
      <c r="I629" s="2" t="s">
        <v>38</v>
      </c>
      <c r="J629" t="s">
        <v>31</v>
      </c>
      <c r="K629">
        <v>40</v>
      </c>
      <c r="L629" s="3"/>
      <c r="M629" s="3"/>
      <c r="N629" s="3"/>
      <c r="O629" s="3">
        <f t="shared" si="28"/>
        <v>0</v>
      </c>
      <c r="P629">
        <v>48</v>
      </c>
      <c r="Q629">
        <v>366</v>
      </c>
      <c r="R629">
        <v>6</v>
      </c>
      <c r="S629">
        <v>134</v>
      </c>
      <c r="T629">
        <f t="shared" si="29"/>
        <v>-0.36</v>
      </c>
    </row>
    <row r="630" spans="1:20" x14ac:dyDescent="0.3">
      <c r="A630" s="1">
        <v>45261</v>
      </c>
      <c r="B630" s="1" t="str">
        <f t="shared" si="27"/>
        <v>Swiggy_Bangalore_Product_16_45261</v>
      </c>
      <c r="C630" s="2" t="s">
        <v>107</v>
      </c>
      <c r="D630" s="2" t="s">
        <v>108</v>
      </c>
      <c r="E630" s="2" t="s">
        <v>34</v>
      </c>
      <c r="F630" s="2" t="s">
        <v>35</v>
      </c>
      <c r="G630" s="2" t="s">
        <v>79</v>
      </c>
      <c r="H630" s="2" t="s">
        <v>47</v>
      </c>
      <c r="I630" s="2" t="s">
        <v>109</v>
      </c>
      <c r="J630" t="s">
        <v>31</v>
      </c>
      <c r="K630">
        <v>30</v>
      </c>
      <c r="L630" s="3"/>
      <c r="M630" s="3"/>
      <c r="N630" s="3"/>
      <c r="O630" s="3">
        <f t="shared" si="28"/>
        <v>0</v>
      </c>
      <c r="P630">
        <v>383.52</v>
      </c>
      <c r="Q630">
        <v>219</v>
      </c>
      <c r="R630">
        <v>0</v>
      </c>
      <c r="S630">
        <v>122</v>
      </c>
      <c r="T630">
        <f t="shared" si="29"/>
        <v>3.3552</v>
      </c>
    </row>
    <row r="631" spans="1:20" x14ac:dyDescent="0.3">
      <c r="A631" s="1">
        <v>45261</v>
      </c>
      <c r="B631" s="1" t="str">
        <f t="shared" si="27"/>
        <v>Reliance_Bangalore_Product_8_45261</v>
      </c>
      <c r="C631" s="2" t="s">
        <v>77</v>
      </c>
      <c r="D631" s="2" t="s">
        <v>78</v>
      </c>
      <c r="E631" s="2" t="s">
        <v>34</v>
      </c>
      <c r="F631" s="2" t="s">
        <v>51</v>
      </c>
      <c r="G631" s="2" t="s">
        <v>79</v>
      </c>
      <c r="H631" s="2" t="s">
        <v>67</v>
      </c>
      <c r="I631" s="2" t="s">
        <v>68</v>
      </c>
      <c r="J631" t="s">
        <v>31</v>
      </c>
      <c r="K631">
        <v>5</v>
      </c>
      <c r="L631" s="3"/>
      <c r="M631" s="3"/>
      <c r="N631" s="3"/>
      <c r="O631" s="3">
        <f t="shared" si="28"/>
        <v>0</v>
      </c>
      <c r="P631">
        <v>383.52</v>
      </c>
      <c r="Q631">
        <v>329</v>
      </c>
      <c r="R631">
        <v>0</v>
      </c>
      <c r="S631">
        <v>126</v>
      </c>
      <c r="T631">
        <f t="shared" si="29"/>
        <v>0</v>
      </c>
    </row>
    <row r="632" spans="1:20" x14ac:dyDescent="0.3">
      <c r="A632" s="1">
        <v>45261</v>
      </c>
      <c r="B632" s="1" t="str">
        <f t="shared" si="27"/>
        <v>Reliance_Hyderabad_Product_2_45261</v>
      </c>
      <c r="C632" s="2" t="s">
        <v>149</v>
      </c>
      <c r="D632" s="2" t="s">
        <v>150</v>
      </c>
      <c r="E632" s="2" t="s">
        <v>34</v>
      </c>
      <c r="F632" s="2" t="s">
        <v>51</v>
      </c>
      <c r="G632" s="2" t="s">
        <v>137</v>
      </c>
      <c r="H632" s="2" t="s">
        <v>37</v>
      </c>
      <c r="I632" s="2" t="s">
        <v>38</v>
      </c>
      <c r="J632" t="s">
        <v>31</v>
      </c>
      <c r="K632">
        <v>12</v>
      </c>
      <c r="L632" s="3"/>
      <c r="M632" s="3"/>
      <c r="N632" s="3"/>
      <c r="O632" s="3">
        <f t="shared" si="28"/>
        <v>0</v>
      </c>
      <c r="P632">
        <v>672</v>
      </c>
      <c r="Q632">
        <v>303</v>
      </c>
      <c r="R632">
        <v>0</v>
      </c>
      <c r="S632">
        <v>134</v>
      </c>
      <c r="T632">
        <f t="shared" si="29"/>
        <v>2.8848000000000003</v>
      </c>
    </row>
    <row r="633" spans="1:20" x14ac:dyDescent="0.3">
      <c r="A633" s="1">
        <v>45261</v>
      </c>
      <c r="B633" s="1" t="str">
        <f t="shared" si="27"/>
        <v>Grofers_Kolkata CFA_Product_20_45261</v>
      </c>
      <c r="C633" s="2" t="s">
        <v>153</v>
      </c>
      <c r="D633" s="2" t="s">
        <v>154</v>
      </c>
      <c r="E633" s="2" t="s">
        <v>34</v>
      </c>
      <c r="F633" s="2" t="s">
        <v>114</v>
      </c>
      <c r="G633" s="2" t="s">
        <v>63</v>
      </c>
      <c r="H633" s="2" t="s">
        <v>47</v>
      </c>
      <c r="I633" s="2" t="s">
        <v>130</v>
      </c>
      <c r="J633" t="s">
        <v>31</v>
      </c>
      <c r="K633">
        <v>3</v>
      </c>
      <c r="L633" s="3"/>
      <c r="M633" s="3"/>
      <c r="N633" s="3"/>
      <c r="O633" s="3">
        <f t="shared" si="28"/>
        <v>0</v>
      </c>
      <c r="P633">
        <v>672</v>
      </c>
      <c r="Q633">
        <v>136</v>
      </c>
      <c r="R633">
        <v>4</v>
      </c>
      <c r="S633">
        <v>125</v>
      </c>
      <c r="T633">
        <f t="shared" si="29"/>
        <v>0</v>
      </c>
    </row>
    <row r="634" spans="1:20" x14ac:dyDescent="0.3">
      <c r="A634" s="1">
        <v>45261</v>
      </c>
      <c r="B634" s="1" t="str">
        <f t="shared" si="27"/>
        <v>Maharashtra_MH-Aggregated_Product_9_45261</v>
      </c>
      <c r="C634" s="2" t="s">
        <v>69</v>
      </c>
      <c r="D634" s="2" t="s">
        <v>70</v>
      </c>
      <c r="E634" s="2" t="s">
        <v>26</v>
      </c>
      <c r="F634" s="2" t="s">
        <v>41</v>
      </c>
      <c r="G634" s="2" t="s">
        <v>42</v>
      </c>
      <c r="H634" s="2" t="s">
        <v>37</v>
      </c>
      <c r="I634" s="2" t="s">
        <v>71</v>
      </c>
      <c r="J634" t="s">
        <v>31</v>
      </c>
      <c r="K634">
        <v>70</v>
      </c>
      <c r="L634" s="3"/>
      <c r="M634" s="3"/>
      <c r="N634" s="3"/>
      <c r="O634" s="3">
        <f t="shared" si="28"/>
        <v>0</v>
      </c>
      <c r="P634">
        <v>421.92</v>
      </c>
      <c r="Q634">
        <v>420</v>
      </c>
      <c r="R634">
        <v>0</v>
      </c>
      <c r="S634">
        <v>119</v>
      </c>
      <c r="T634">
        <f t="shared" si="29"/>
        <v>-2.5007999999999999</v>
      </c>
    </row>
    <row r="635" spans="1:20" x14ac:dyDescent="0.3">
      <c r="A635" s="1">
        <v>45261</v>
      </c>
      <c r="B635" s="1" t="str">
        <f t="shared" si="27"/>
        <v>Swiggy_Kolkata CFA_Product_3_45261</v>
      </c>
      <c r="C635" s="2" t="s">
        <v>61</v>
      </c>
      <c r="D635" s="2" t="s">
        <v>62</v>
      </c>
      <c r="E635" s="2" t="s">
        <v>34</v>
      </c>
      <c r="F635" s="2" t="s">
        <v>35</v>
      </c>
      <c r="G635" s="2" t="s">
        <v>63</v>
      </c>
      <c r="H635" s="2" t="s">
        <v>37</v>
      </c>
      <c r="I635" s="2" t="s">
        <v>43</v>
      </c>
      <c r="J635" t="s">
        <v>31</v>
      </c>
      <c r="K635">
        <v>11</v>
      </c>
      <c r="L635" s="3"/>
      <c r="M635" s="3"/>
      <c r="N635" s="3"/>
      <c r="O635" s="3">
        <f t="shared" si="28"/>
        <v>0</v>
      </c>
      <c r="P635">
        <v>421.92</v>
      </c>
      <c r="Q635">
        <v>480</v>
      </c>
      <c r="R635">
        <v>1</v>
      </c>
      <c r="S635">
        <v>127</v>
      </c>
      <c r="T635">
        <f t="shared" si="29"/>
        <v>0</v>
      </c>
    </row>
    <row r="636" spans="1:20" x14ac:dyDescent="0.3">
      <c r="A636" s="1">
        <v>45261</v>
      </c>
      <c r="B636" s="1" t="str">
        <f t="shared" si="27"/>
        <v>Reliance_Bhiwandi_Product_10_45261</v>
      </c>
      <c r="C636" s="2" t="s">
        <v>85</v>
      </c>
      <c r="D636" s="2" t="s">
        <v>86</v>
      </c>
      <c r="E636" s="2" t="s">
        <v>34</v>
      </c>
      <c r="F636" s="2" t="s">
        <v>51</v>
      </c>
      <c r="G636" s="2" t="s">
        <v>66</v>
      </c>
      <c r="H636" s="2" t="s">
        <v>67</v>
      </c>
      <c r="I636" s="2" t="s">
        <v>76</v>
      </c>
      <c r="J636" t="s">
        <v>31</v>
      </c>
      <c r="K636">
        <v>23</v>
      </c>
      <c r="L636" s="3"/>
      <c r="M636" s="3"/>
      <c r="N636" s="3"/>
      <c r="O636" s="3">
        <f t="shared" si="28"/>
        <v>0</v>
      </c>
      <c r="P636">
        <v>748.8</v>
      </c>
      <c r="Q636">
        <v>480</v>
      </c>
      <c r="R636">
        <v>0</v>
      </c>
      <c r="S636">
        <v>106</v>
      </c>
      <c r="T636">
        <f t="shared" si="29"/>
        <v>3.2687999999999993</v>
      </c>
    </row>
    <row r="637" spans="1:20" x14ac:dyDescent="0.3">
      <c r="A637" s="1">
        <v>45261</v>
      </c>
      <c r="B637" s="1" t="str">
        <f t="shared" si="27"/>
        <v>Swiggy_Kolkata CFA_Product_11_45261</v>
      </c>
      <c r="C637" s="2" t="s">
        <v>119</v>
      </c>
      <c r="D637" s="2" t="s">
        <v>120</v>
      </c>
      <c r="E637" s="2" t="s">
        <v>34</v>
      </c>
      <c r="F637" s="2" t="s">
        <v>35</v>
      </c>
      <c r="G637" s="2" t="s">
        <v>63</v>
      </c>
      <c r="H637" s="2" t="s">
        <v>67</v>
      </c>
      <c r="I637" s="2" t="s">
        <v>89</v>
      </c>
      <c r="J637" t="s">
        <v>31</v>
      </c>
      <c r="K637">
        <v>4</v>
      </c>
      <c r="L637" s="3"/>
      <c r="M637" s="3"/>
      <c r="N637" s="3"/>
      <c r="O637" s="3">
        <f t="shared" si="28"/>
        <v>0</v>
      </c>
      <c r="P637">
        <v>748.8</v>
      </c>
      <c r="Q637">
        <v>193</v>
      </c>
      <c r="R637">
        <v>0</v>
      </c>
      <c r="S637">
        <v>131</v>
      </c>
      <c r="T637">
        <f t="shared" si="29"/>
        <v>0</v>
      </c>
    </row>
    <row r="638" spans="1:20" x14ac:dyDescent="0.3">
      <c r="A638" s="1">
        <v>45261</v>
      </c>
      <c r="B638" s="1" t="str">
        <f t="shared" si="27"/>
        <v>Reliance_Mundka_Product_6_45261</v>
      </c>
      <c r="C638" s="2" t="s">
        <v>55</v>
      </c>
      <c r="D638" s="2" t="s">
        <v>56</v>
      </c>
      <c r="E638" s="2" t="s">
        <v>34</v>
      </c>
      <c r="F638" s="2" t="s">
        <v>51</v>
      </c>
      <c r="G638" s="2" t="s">
        <v>36</v>
      </c>
      <c r="H638" s="2" t="s">
        <v>37</v>
      </c>
      <c r="I638" s="2" t="s">
        <v>57</v>
      </c>
      <c r="J638" t="s">
        <v>31</v>
      </c>
      <c r="K638">
        <v>41</v>
      </c>
      <c r="L638" s="3"/>
      <c r="M638" s="3"/>
      <c r="N638" s="3"/>
      <c r="O638" s="3">
        <f t="shared" si="28"/>
        <v>0</v>
      </c>
      <c r="P638">
        <v>84</v>
      </c>
      <c r="Q638">
        <v>395</v>
      </c>
      <c r="R638">
        <v>1</v>
      </c>
      <c r="S638">
        <v>135</v>
      </c>
      <c r="T638">
        <f t="shared" si="29"/>
        <v>-6.6479999999999997</v>
      </c>
    </row>
    <row r="639" spans="1:20" x14ac:dyDescent="0.3">
      <c r="A639" s="1">
        <v>45261</v>
      </c>
      <c r="B639" s="1" t="str">
        <f t="shared" si="27"/>
        <v>Reliance_Bhiwandi_Product_8_45261</v>
      </c>
      <c r="C639" s="2" t="s">
        <v>64</v>
      </c>
      <c r="D639" s="2" t="s">
        <v>65</v>
      </c>
      <c r="E639" s="2" t="s">
        <v>34</v>
      </c>
      <c r="F639" s="2" t="s">
        <v>51</v>
      </c>
      <c r="G639" s="2" t="s">
        <v>66</v>
      </c>
      <c r="H639" s="2" t="s">
        <v>67</v>
      </c>
      <c r="I639" s="2" t="s">
        <v>68</v>
      </c>
      <c r="J639" t="s">
        <v>31</v>
      </c>
      <c r="K639">
        <v>92</v>
      </c>
      <c r="L639" s="3"/>
      <c r="M639" s="3"/>
      <c r="N639" s="3"/>
      <c r="O639" s="3">
        <f t="shared" si="28"/>
        <v>0</v>
      </c>
      <c r="P639">
        <v>48</v>
      </c>
      <c r="Q639">
        <v>103</v>
      </c>
      <c r="R639">
        <v>0</v>
      </c>
      <c r="S639">
        <v>126</v>
      </c>
      <c r="T639">
        <f t="shared" si="29"/>
        <v>-0.36</v>
      </c>
    </row>
    <row r="640" spans="1:20" x14ac:dyDescent="0.3">
      <c r="A640" s="1">
        <v>45261</v>
      </c>
      <c r="B640" s="1" t="str">
        <f t="shared" si="27"/>
        <v>Grofers_Mundka_Product_21_45261</v>
      </c>
      <c r="C640" s="2" t="s">
        <v>131</v>
      </c>
      <c r="D640" s="2" t="s">
        <v>132</v>
      </c>
      <c r="E640" s="2" t="s">
        <v>34</v>
      </c>
      <c r="F640" s="2" t="s">
        <v>114</v>
      </c>
      <c r="G640" s="2" t="s">
        <v>36</v>
      </c>
      <c r="H640" s="2" t="s">
        <v>133</v>
      </c>
      <c r="I640" s="2" t="s">
        <v>134</v>
      </c>
      <c r="J640" t="s">
        <v>31</v>
      </c>
      <c r="K640">
        <v>3</v>
      </c>
      <c r="L640" s="3"/>
      <c r="M640" s="3"/>
      <c r="N640" s="3"/>
      <c r="O640" s="3">
        <f t="shared" si="28"/>
        <v>0</v>
      </c>
      <c r="P640">
        <v>383.52</v>
      </c>
      <c r="Q640">
        <v>470</v>
      </c>
      <c r="R640">
        <v>13</v>
      </c>
      <c r="S640">
        <v>115</v>
      </c>
      <c r="T640">
        <f t="shared" si="29"/>
        <v>3.3552</v>
      </c>
    </row>
    <row r="641" spans="1:20" x14ac:dyDescent="0.3">
      <c r="A641" s="1">
        <v>45261</v>
      </c>
      <c r="B641" s="1" t="str">
        <f t="shared" si="27"/>
        <v>Reliance_Bhiwandi_Product_11_45261</v>
      </c>
      <c r="C641" s="2" t="s">
        <v>87</v>
      </c>
      <c r="D641" s="2" t="s">
        <v>88</v>
      </c>
      <c r="E641" s="2" t="s">
        <v>34</v>
      </c>
      <c r="F641" s="2" t="s">
        <v>51</v>
      </c>
      <c r="G641" s="2" t="s">
        <v>66</v>
      </c>
      <c r="H641" s="2" t="s">
        <v>67</v>
      </c>
      <c r="I641" s="2" t="s">
        <v>89</v>
      </c>
      <c r="J641" t="s">
        <v>31</v>
      </c>
      <c r="K641">
        <v>2</v>
      </c>
      <c r="L641" s="3"/>
      <c r="M641" s="3"/>
      <c r="N641" s="3"/>
      <c r="O641" s="3">
        <f t="shared" si="28"/>
        <v>0</v>
      </c>
      <c r="P641">
        <v>383.52</v>
      </c>
      <c r="Q641">
        <v>483</v>
      </c>
      <c r="R641">
        <v>0</v>
      </c>
      <c r="S641">
        <v>131</v>
      </c>
      <c r="T641">
        <f t="shared" si="29"/>
        <v>0</v>
      </c>
    </row>
    <row r="642" spans="1:20" x14ac:dyDescent="0.3">
      <c r="A642" s="1">
        <v>45261</v>
      </c>
      <c r="B642" s="1" t="str">
        <f t="shared" si="27"/>
        <v>Reliance_Ahmedabad_Product_5_45261</v>
      </c>
      <c r="C642" s="2" t="s">
        <v>49</v>
      </c>
      <c r="D642" s="2" t="s">
        <v>50</v>
      </c>
      <c r="E642" s="2" t="s">
        <v>34</v>
      </c>
      <c r="F642" s="2" t="s">
        <v>51</v>
      </c>
      <c r="G642" s="2" t="s">
        <v>52</v>
      </c>
      <c r="H642" s="2" t="s">
        <v>53</v>
      </c>
      <c r="I642" s="2" t="s">
        <v>54</v>
      </c>
      <c r="J642" t="s">
        <v>31</v>
      </c>
      <c r="K642">
        <v>1</v>
      </c>
      <c r="L642" s="3"/>
      <c r="M642" s="3"/>
      <c r="N642" s="3"/>
      <c r="O642" s="3">
        <f t="shared" si="28"/>
        <v>0</v>
      </c>
      <c r="P642">
        <v>672</v>
      </c>
      <c r="Q642">
        <v>125</v>
      </c>
      <c r="R642">
        <v>0</v>
      </c>
      <c r="S642">
        <v>132</v>
      </c>
      <c r="T642">
        <f t="shared" si="29"/>
        <v>2.8848000000000003</v>
      </c>
    </row>
    <row r="643" spans="1:20" x14ac:dyDescent="0.3">
      <c r="A643" s="1">
        <v>45261</v>
      </c>
      <c r="B643" s="1" t="str">
        <f t="shared" ref="B643:B706" si="30">C643&amp;"_"&amp;A643</f>
        <v>Reliance_Mundka_Product_9_45261</v>
      </c>
      <c r="C643" s="2" t="s">
        <v>145</v>
      </c>
      <c r="D643" s="2" t="s">
        <v>146</v>
      </c>
      <c r="E643" s="2" t="s">
        <v>34</v>
      </c>
      <c r="F643" s="2" t="s">
        <v>51</v>
      </c>
      <c r="G643" s="2" t="s">
        <v>36</v>
      </c>
      <c r="H643" s="2" t="s">
        <v>37</v>
      </c>
      <c r="I643" s="2" t="s">
        <v>71</v>
      </c>
      <c r="J643" t="s">
        <v>31</v>
      </c>
      <c r="K643">
        <v>1</v>
      </c>
      <c r="L643" s="3"/>
      <c r="M643" s="3"/>
      <c r="N643" s="3"/>
      <c r="O643" s="3">
        <f t="shared" ref="O643:O706" si="31">L643</f>
        <v>0</v>
      </c>
      <c r="P643">
        <v>672</v>
      </c>
      <c r="Q643">
        <v>258</v>
      </c>
      <c r="R643">
        <v>0</v>
      </c>
      <c r="S643">
        <v>119</v>
      </c>
      <c r="T643">
        <f t="shared" si="29"/>
        <v>0</v>
      </c>
    </row>
    <row r="644" spans="1:20" x14ac:dyDescent="0.3">
      <c r="A644" s="1">
        <v>45261</v>
      </c>
      <c r="B644" s="1" t="str">
        <f t="shared" si="30"/>
        <v>Zepto_Bangalore_Product_12_45261</v>
      </c>
      <c r="C644" s="2" t="s">
        <v>90</v>
      </c>
      <c r="D644" s="2" t="s">
        <v>91</v>
      </c>
      <c r="E644" s="2" t="s">
        <v>34</v>
      </c>
      <c r="F644" s="2" t="s">
        <v>46</v>
      </c>
      <c r="G644" s="2" t="s">
        <v>79</v>
      </c>
      <c r="H644" s="2" t="s">
        <v>67</v>
      </c>
      <c r="I644" s="2" t="s">
        <v>92</v>
      </c>
      <c r="J644" t="s">
        <v>31</v>
      </c>
      <c r="K644">
        <v>5</v>
      </c>
      <c r="L644" s="3"/>
      <c r="M644" s="3"/>
      <c r="N644" s="3"/>
      <c r="O644" s="3">
        <f t="shared" si="31"/>
        <v>0</v>
      </c>
      <c r="P644">
        <v>421.92</v>
      </c>
      <c r="Q644">
        <v>451</v>
      </c>
      <c r="R644">
        <v>0</v>
      </c>
      <c r="S644">
        <v>94</v>
      </c>
      <c r="T644">
        <f t="shared" ref="T644:T707" si="32">(P644-P643)/100</f>
        <v>-2.5007999999999999</v>
      </c>
    </row>
    <row r="645" spans="1:20" x14ac:dyDescent="0.3">
      <c r="A645" s="1">
        <v>45261</v>
      </c>
      <c r="B645" s="1" t="str">
        <f t="shared" si="30"/>
        <v>Reliance_Chennai_Product_11_45261</v>
      </c>
      <c r="C645" s="2" t="s">
        <v>110</v>
      </c>
      <c r="D645" s="2" t="s">
        <v>111</v>
      </c>
      <c r="E645" s="2" t="s">
        <v>34</v>
      </c>
      <c r="F645" s="2" t="s">
        <v>51</v>
      </c>
      <c r="G645" s="2" t="s">
        <v>84</v>
      </c>
      <c r="H645" s="2" t="s">
        <v>67</v>
      </c>
      <c r="I645" s="2" t="s">
        <v>89</v>
      </c>
      <c r="J645" t="s">
        <v>31</v>
      </c>
      <c r="K645">
        <v>2</v>
      </c>
      <c r="L645" s="3"/>
      <c r="M645" s="3"/>
      <c r="N645" s="3"/>
      <c r="O645" s="3">
        <f t="shared" si="31"/>
        <v>0</v>
      </c>
      <c r="P645">
        <v>421.92</v>
      </c>
      <c r="Q645">
        <v>381</v>
      </c>
      <c r="R645">
        <v>8</v>
      </c>
      <c r="S645">
        <v>131</v>
      </c>
      <c r="T645">
        <f t="shared" si="32"/>
        <v>0</v>
      </c>
    </row>
    <row r="646" spans="1:20" x14ac:dyDescent="0.3">
      <c r="A646" s="1">
        <v>45261</v>
      </c>
      <c r="B646" s="1" t="str">
        <f t="shared" si="30"/>
        <v>Grofers_Hyderabad_Product_21_45261</v>
      </c>
      <c r="C646" s="2" t="s">
        <v>135</v>
      </c>
      <c r="D646" s="2" t="s">
        <v>136</v>
      </c>
      <c r="E646" s="2" t="s">
        <v>34</v>
      </c>
      <c r="F646" s="2" t="s">
        <v>114</v>
      </c>
      <c r="G646" s="2" t="s">
        <v>137</v>
      </c>
      <c r="H646" s="2" t="s">
        <v>133</v>
      </c>
      <c r="I646" s="2" t="s">
        <v>134</v>
      </c>
      <c r="J646" t="s">
        <v>31</v>
      </c>
      <c r="K646">
        <v>3</v>
      </c>
      <c r="L646" s="3"/>
      <c r="M646" s="3"/>
      <c r="N646" s="3"/>
      <c r="O646" s="3">
        <f t="shared" si="31"/>
        <v>0</v>
      </c>
      <c r="P646">
        <v>748.8</v>
      </c>
      <c r="Q646">
        <v>401</v>
      </c>
      <c r="R646">
        <v>12</v>
      </c>
      <c r="S646">
        <v>115</v>
      </c>
      <c r="T646">
        <f t="shared" si="32"/>
        <v>3.2687999999999993</v>
      </c>
    </row>
    <row r="647" spans="1:20" x14ac:dyDescent="0.3">
      <c r="A647" s="1">
        <v>45261</v>
      </c>
      <c r="B647" s="1" t="str">
        <f t="shared" si="30"/>
        <v>Reliance_Ahmedabad_Product_9_45261</v>
      </c>
      <c r="C647" s="2" t="s">
        <v>151</v>
      </c>
      <c r="D647" s="2" t="s">
        <v>152</v>
      </c>
      <c r="E647" s="2" t="s">
        <v>34</v>
      </c>
      <c r="F647" s="2" t="s">
        <v>51</v>
      </c>
      <c r="G647" s="2" t="s">
        <v>52</v>
      </c>
      <c r="H647" s="2" t="s">
        <v>37</v>
      </c>
      <c r="I647" s="2" t="s">
        <v>71</v>
      </c>
      <c r="J647" t="s">
        <v>31</v>
      </c>
      <c r="K647">
        <v>2</v>
      </c>
      <c r="L647" s="3"/>
      <c r="M647" s="3"/>
      <c r="N647" s="3"/>
      <c r="O647" s="3">
        <f t="shared" si="31"/>
        <v>0</v>
      </c>
      <c r="P647">
        <v>748.8</v>
      </c>
      <c r="Q647">
        <v>278</v>
      </c>
      <c r="R647">
        <v>6</v>
      </c>
      <c r="S647">
        <v>119</v>
      </c>
      <c r="T647">
        <f t="shared" si="32"/>
        <v>0</v>
      </c>
    </row>
    <row r="648" spans="1:20" x14ac:dyDescent="0.3">
      <c r="A648" s="1">
        <v>45261</v>
      </c>
      <c r="B648" s="1" t="str">
        <f t="shared" si="30"/>
        <v>Reliance_Bangalore_Product_3_45261</v>
      </c>
      <c r="C648" s="2" t="s">
        <v>80</v>
      </c>
      <c r="D648" s="2" t="s">
        <v>81</v>
      </c>
      <c r="E648" s="2" t="s">
        <v>34</v>
      </c>
      <c r="F648" s="2" t="s">
        <v>51</v>
      </c>
      <c r="G648" s="2" t="s">
        <v>79</v>
      </c>
      <c r="H648" s="2" t="s">
        <v>37</v>
      </c>
      <c r="I648" s="2" t="s">
        <v>43</v>
      </c>
      <c r="J648" t="s">
        <v>31</v>
      </c>
      <c r="K648">
        <v>3</v>
      </c>
      <c r="L648" s="3"/>
      <c r="M648" s="3"/>
      <c r="N648" s="3"/>
      <c r="O648" s="3">
        <f t="shared" si="31"/>
        <v>0</v>
      </c>
      <c r="P648">
        <v>84</v>
      </c>
      <c r="Q648">
        <v>286</v>
      </c>
      <c r="R648">
        <v>3</v>
      </c>
      <c r="S648">
        <v>127</v>
      </c>
      <c r="T648">
        <f t="shared" si="32"/>
        <v>-6.6479999999999997</v>
      </c>
    </row>
    <row r="649" spans="1:20" x14ac:dyDescent="0.3">
      <c r="A649" s="1">
        <v>45261</v>
      </c>
      <c r="B649" s="1" t="str">
        <f t="shared" si="30"/>
        <v>Reliance_Bangalore_Product_13_45261</v>
      </c>
      <c r="C649" s="2" t="s">
        <v>93</v>
      </c>
      <c r="D649" s="2" t="s">
        <v>94</v>
      </c>
      <c r="E649" s="2" t="s">
        <v>34</v>
      </c>
      <c r="F649" s="2" t="s">
        <v>51</v>
      </c>
      <c r="G649" s="2" t="s">
        <v>79</v>
      </c>
      <c r="H649" s="2" t="s">
        <v>67</v>
      </c>
      <c r="I649" s="2" t="s">
        <v>95</v>
      </c>
      <c r="J649" t="s">
        <v>31</v>
      </c>
      <c r="K649">
        <v>5</v>
      </c>
      <c r="L649" s="3"/>
      <c r="M649" s="3"/>
      <c r="N649" s="3"/>
      <c r="O649" s="3">
        <f t="shared" si="31"/>
        <v>0</v>
      </c>
      <c r="P649">
        <v>48</v>
      </c>
      <c r="Q649">
        <v>107</v>
      </c>
      <c r="R649">
        <v>0</v>
      </c>
      <c r="S649">
        <v>113</v>
      </c>
      <c r="T649">
        <f t="shared" si="32"/>
        <v>-0.36</v>
      </c>
    </row>
    <row r="650" spans="1:20" x14ac:dyDescent="0.3">
      <c r="A650" s="1">
        <v>45292</v>
      </c>
      <c r="B650" s="1" t="str">
        <f t="shared" si="30"/>
        <v>Maharashtra_MH-Aggregated_Product_3_45292</v>
      </c>
      <c r="C650" s="2" t="s">
        <v>39</v>
      </c>
      <c r="D650" s="2" t="s">
        <v>40</v>
      </c>
      <c r="E650" s="2" t="s">
        <v>26</v>
      </c>
      <c r="F650" s="2" t="s">
        <v>41</v>
      </c>
      <c r="G650" s="2" t="s">
        <v>42</v>
      </c>
      <c r="H650" s="2" t="s">
        <v>37</v>
      </c>
      <c r="I650" s="2" t="s">
        <v>43</v>
      </c>
      <c r="J650" t="s">
        <v>31</v>
      </c>
      <c r="K650">
        <v>9</v>
      </c>
      <c r="L650" s="3"/>
      <c r="M650" s="3"/>
      <c r="N650" s="3"/>
      <c r="O650" s="3">
        <f t="shared" si="31"/>
        <v>0</v>
      </c>
      <c r="P650">
        <v>383.52</v>
      </c>
      <c r="Q650">
        <v>378</v>
      </c>
      <c r="R650">
        <v>0</v>
      </c>
      <c r="S650">
        <v>127</v>
      </c>
      <c r="T650">
        <f t="shared" si="32"/>
        <v>3.3552</v>
      </c>
    </row>
    <row r="651" spans="1:20" x14ac:dyDescent="0.3">
      <c r="A651" s="1">
        <v>45292</v>
      </c>
      <c r="B651" s="1" t="str">
        <f t="shared" si="30"/>
        <v>Reliance_Ahmedabad_Product_9_45292</v>
      </c>
      <c r="C651" s="2" t="s">
        <v>151</v>
      </c>
      <c r="D651" s="2" t="s">
        <v>152</v>
      </c>
      <c r="E651" s="2" t="s">
        <v>34</v>
      </c>
      <c r="F651" s="2" t="s">
        <v>51</v>
      </c>
      <c r="G651" s="2" t="s">
        <v>52</v>
      </c>
      <c r="H651" s="2" t="s">
        <v>37</v>
      </c>
      <c r="I651" s="2" t="s">
        <v>71</v>
      </c>
      <c r="J651" t="s">
        <v>31</v>
      </c>
      <c r="K651">
        <v>2</v>
      </c>
      <c r="L651" s="3"/>
      <c r="M651" s="3"/>
      <c r="N651" s="3"/>
      <c r="O651" s="3">
        <f t="shared" si="31"/>
        <v>0</v>
      </c>
      <c r="P651">
        <v>383.52</v>
      </c>
      <c r="Q651">
        <v>319</v>
      </c>
      <c r="R651">
        <v>5</v>
      </c>
      <c r="S651">
        <v>119</v>
      </c>
      <c r="T651">
        <f t="shared" si="32"/>
        <v>0</v>
      </c>
    </row>
    <row r="652" spans="1:20" x14ac:dyDescent="0.3">
      <c r="A652" s="1">
        <v>45292</v>
      </c>
      <c r="B652" s="1" t="str">
        <f t="shared" si="30"/>
        <v>Grofers_Hyderabad_Product_21_45292</v>
      </c>
      <c r="C652" s="2" t="s">
        <v>135</v>
      </c>
      <c r="D652" s="2" t="s">
        <v>136</v>
      </c>
      <c r="E652" s="2" t="s">
        <v>34</v>
      </c>
      <c r="F652" s="2" t="s">
        <v>114</v>
      </c>
      <c r="G652" s="2" t="s">
        <v>137</v>
      </c>
      <c r="H652" s="2" t="s">
        <v>133</v>
      </c>
      <c r="I652" s="2" t="s">
        <v>134</v>
      </c>
      <c r="J652" t="s">
        <v>31</v>
      </c>
      <c r="K652">
        <v>5</v>
      </c>
      <c r="L652" s="3"/>
      <c r="M652" s="3"/>
      <c r="N652" s="3"/>
      <c r="O652" s="3">
        <f t="shared" si="31"/>
        <v>0</v>
      </c>
      <c r="P652">
        <v>383.52</v>
      </c>
      <c r="Q652">
        <v>477</v>
      </c>
      <c r="R652">
        <v>0</v>
      </c>
      <c r="S652">
        <v>115</v>
      </c>
      <c r="T652">
        <f t="shared" si="32"/>
        <v>0</v>
      </c>
    </row>
    <row r="653" spans="1:20" x14ac:dyDescent="0.3">
      <c r="A653" s="1">
        <v>45292</v>
      </c>
      <c r="B653" s="1" t="str">
        <f t="shared" si="30"/>
        <v>Reliance_Bangalore_Product_13_45292</v>
      </c>
      <c r="C653" s="2" t="s">
        <v>93</v>
      </c>
      <c r="D653" s="2" t="s">
        <v>94</v>
      </c>
      <c r="E653" s="2" t="s">
        <v>34</v>
      </c>
      <c r="F653" s="2" t="s">
        <v>51</v>
      </c>
      <c r="G653" s="2" t="s">
        <v>79</v>
      </c>
      <c r="H653" s="2" t="s">
        <v>67</v>
      </c>
      <c r="I653" s="2" t="s">
        <v>95</v>
      </c>
      <c r="J653" t="s">
        <v>31</v>
      </c>
      <c r="K653">
        <v>2</v>
      </c>
      <c r="L653" s="3"/>
      <c r="M653" s="3"/>
      <c r="N653" s="3"/>
      <c r="O653" s="3">
        <f t="shared" si="31"/>
        <v>0</v>
      </c>
      <c r="P653">
        <v>383.52</v>
      </c>
      <c r="Q653">
        <v>445</v>
      </c>
      <c r="R653">
        <v>0</v>
      </c>
      <c r="S653">
        <v>113</v>
      </c>
      <c r="T653">
        <f t="shared" si="32"/>
        <v>0</v>
      </c>
    </row>
    <row r="654" spans="1:20" x14ac:dyDescent="0.3">
      <c r="A654" s="1">
        <v>45292</v>
      </c>
      <c r="B654" s="1" t="str">
        <f t="shared" si="30"/>
        <v>Grofers_Ahmedabad_Product_9_45292</v>
      </c>
      <c r="C654" s="2" t="s">
        <v>112</v>
      </c>
      <c r="D654" s="2" t="s">
        <v>113</v>
      </c>
      <c r="E654" s="2" t="s">
        <v>34</v>
      </c>
      <c r="F654" s="2" t="s">
        <v>114</v>
      </c>
      <c r="G654" s="2" t="s">
        <v>52</v>
      </c>
      <c r="H654" s="2" t="s">
        <v>37</v>
      </c>
      <c r="I654" s="2" t="s">
        <v>71</v>
      </c>
      <c r="J654" t="s">
        <v>31</v>
      </c>
      <c r="K654">
        <v>6</v>
      </c>
      <c r="L654" s="3"/>
      <c r="M654" s="3"/>
      <c r="N654" s="3"/>
      <c r="O654" s="3">
        <f t="shared" si="31"/>
        <v>0</v>
      </c>
      <c r="P654">
        <v>383.52</v>
      </c>
      <c r="Q654">
        <v>193</v>
      </c>
      <c r="R654">
        <v>0</v>
      </c>
      <c r="S654">
        <v>119</v>
      </c>
      <c r="T654">
        <f t="shared" si="32"/>
        <v>0</v>
      </c>
    </row>
    <row r="655" spans="1:20" x14ac:dyDescent="0.3">
      <c r="A655" s="1">
        <v>45292</v>
      </c>
      <c r="B655" s="1" t="str">
        <f t="shared" si="30"/>
        <v>Swiggy_Kolkata CFA_Product_11_45292</v>
      </c>
      <c r="C655" s="2" t="s">
        <v>119</v>
      </c>
      <c r="D655" s="2" t="s">
        <v>120</v>
      </c>
      <c r="E655" s="2" t="s">
        <v>34</v>
      </c>
      <c r="F655" s="2" t="s">
        <v>35</v>
      </c>
      <c r="G655" s="2" t="s">
        <v>63</v>
      </c>
      <c r="H655" s="2" t="s">
        <v>67</v>
      </c>
      <c r="I655" s="2" t="s">
        <v>89</v>
      </c>
      <c r="J655" t="s">
        <v>31</v>
      </c>
      <c r="K655">
        <v>2</v>
      </c>
      <c r="L655" s="3"/>
      <c r="M655" s="3"/>
      <c r="N655" s="3"/>
      <c r="O655" s="3">
        <f t="shared" si="31"/>
        <v>0</v>
      </c>
      <c r="P655">
        <v>383.52</v>
      </c>
      <c r="Q655">
        <v>327</v>
      </c>
      <c r="R655">
        <v>0</v>
      </c>
      <c r="S655">
        <v>131</v>
      </c>
      <c r="T655">
        <f t="shared" si="32"/>
        <v>0</v>
      </c>
    </row>
    <row r="656" spans="1:20" x14ac:dyDescent="0.3">
      <c r="A656" s="1">
        <v>45292</v>
      </c>
      <c r="B656" s="1" t="str">
        <f t="shared" si="30"/>
        <v>Reliance_Chennai_Product_11_45292</v>
      </c>
      <c r="C656" s="2" t="s">
        <v>110</v>
      </c>
      <c r="D656" s="2" t="s">
        <v>111</v>
      </c>
      <c r="E656" s="2" t="s">
        <v>34</v>
      </c>
      <c r="F656" s="2" t="s">
        <v>51</v>
      </c>
      <c r="G656" s="2" t="s">
        <v>84</v>
      </c>
      <c r="H656" s="2" t="s">
        <v>67</v>
      </c>
      <c r="I656" s="2" t="s">
        <v>89</v>
      </c>
      <c r="J656" t="s">
        <v>31</v>
      </c>
      <c r="K656">
        <v>3</v>
      </c>
      <c r="L656" s="3"/>
      <c r="M656" s="3"/>
      <c r="N656" s="3"/>
      <c r="O656" s="3">
        <f t="shared" si="31"/>
        <v>0</v>
      </c>
      <c r="P656">
        <v>672</v>
      </c>
      <c r="Q656">
        <v>423</v>
      </c>
      <c r="R656">
        <v>0</v>
      </c>
      <c r="S656">
        <v>131</v>
      </c>
      <c r="T656">
        <f t="shared" si="32"/>
        <v>2.8848000000000003</v>
      </c>
    </row>
    <row r="657" spans="1:20" x14ac:dyDescent="0.3">
      <c r="A657" s="1">
        <v>45292</v>
      </c>
      <c r="B657" s="1" t="str">
        <f t="shared" si="30"/>
        <v>Swiggy_Kolkata CFA_Product_3_45292</v>
      </c>
      <c r="C657" s="2" t="s">
        <v>61</v>
      </c>
      <c r="D657" s="2" t="s">
        <v>62</v>
      </c>
      <c r="E657" s="2" t="s">
        <v>34</v>
      </c>
      <c r="F657" s="2" t="s">
        <v>35</v>
      </c>
      <c r="G657" s="2" t="s">
        <v>63</v>
      </c>
      <c r="H657" s="2" t="s">
        <v>37</v>
      </c>
      <c r="I657" s="2" t="s">
        <v>43</v>
      </c>
      <c r="J657" t="s">
        <v>31</v>
      </c>
      <c r="K657">
        <v>1</v>
      </c>
      <c r="L657" s="3"/>
      <c r="M657" s="3"/>
      <c r="N657" s="3"/>
      <c r="O657" s="3">
        <f t="shared" si="31"/>
        <v>0</v>
      </c>
      <c r="P657">
        <v>672</v>
      </c>
      <c r="Q657">
        <v>481</v>
      </c>
      <c r="R657">
        <v>0</v>
      </c>
      <c r="S657">
        <v>127</v>
      </c>
      <c r="T657">
        <f t="shared" si="32"/>
        <v>0</v>
      </c>
    </row>
    <row r="658" spans="1:20" x14ac:dyDescent="0.3">
      <c r="A658" s="1">
        <v>45292</v>
      </c>
      <c r="B658" s="1" t="str">
        <f t="shared" si="30"/>
        <v>Jharkhand_JH-Aggregated_Product_1_45292</v>
      </c>
      <c r="C658" s="2" t="s">
        <v>24</v>
      </c>
      <c r="D658" s="2" t="s">
        <v>25</v>
      </c>
      <c r="E658" s="2" t="s">
        <v>26</v>
      </c>
      <c r="F658" s="2" t="s">
        <v>27</v>
      </c>
      <c r="G658" s="2" t="s">
        <v>28</v>
      </c>
      <c r="H658" s="2" t="s">
        <v>29</v>
      </c>
      <c r="I658" s="2" t="s">
        <v>30</v>
      </c>
      <c r="J658" t="s">
        <v>31</v>
      </c>
      <c r="K658">
        <v>12</v>
      </c>
      <c r="L658" s="3"/>
      <c r="M658" s="3"/>
      <c r="N658" s="3"/>
      <c r="O658" s="3">
        <f t="shared" si="31"/>
        <v>0</v>
      </c>
      <c r="P658">
        <v>421.92</v>
      </c>
      <c r="Q658">
        <v>133</v>
      </c>
      <c r="R658">
        <v>10</v>
      </c>
      <c r="S658">
        <v>111</v>
      </c>
      <c r="T658">
        <f t="shared" si="32"/>
        <v>-2.5007999999999999</v>
      </c>
    </row>
    <row r="659" spans="1:20" x14ac:dyDescent="0.3">
      <c r="A659" s="1">
        <v>45292</v>
      </c>
      <c r="B659" s="1" t="str">
        <f t="shared" si="30"/>
        <v>Reliance_Bangalore_Product_3_45292</v>
      </c>
      <c r="C659" s="2" t="s">
        <v>80</v>
      </c>
      <c r="D659" s="2" t="s">
        <v>81</v>
      </c>
      <c r="E659" s="2" t="s">
        <v>34</v>
      </c>
      <c r="F659" s="2" t="s">
        <v>51</v>
      </c>
      <c r="G659" s="2" t="s">
        <v>79</v>
      </c>
      <c r="H659" s="2" t="s">
        <v>37</v>
      </c>
      <c r="I659" s="2" t="s">
        <v>43</v>
      </c>
      <c r="J659" t="s">
        <v>31</v>
      </c>
      <c r="K659">
        <v>3</v>
      </c>
      <c r="L659" s="3"/>
      <c r="M659" s="3"/>
      <c r="N659" s="3"/>
      <c r="O659" s="3">
        <f t="shared" si="31"/>
        <v>0</v>
      </c>
      <c r="P659">
        <v>421.92</v>
      </c>
      <c r="Q659">
        <v>314</v>
      </c>
      <c r="R659">
        <v>9</v>
      </c>
      <c r="S659">
        <v>127</v>
      </c>
      <c r="T659">
        <f t="shared" si="32"/>
        <v>0</v>
      </c>
    </row>
    <row r="660" spans="1:20" x14ac:dyDescent="0.3">
      <c r="A660" s="1">
        <v>45292</v>
      </c>
      <c r="B660" s="1" t="str">
        <f t="shared" si="30"/>
        <v>Reliance_Mundka_Product_6_45292</v>
      </c>
      <c r="C660" s="2" t="s">
        <v>55</v>
      </c>
      <c r="D660" s="2" t="s">
        <v>56</v>
      </c>
      <c r="E660" s="2" t="s">
        <v>34</v>
      </c>
      <c r="F660" s="2" t="s">
        <v>51</v>
      </c>
      <c r="G660" s="2" t="s">
        <v>36</v>
      </c>
      <c r="H660" s="2" t="s">
        <v>37</v>
      </c>
      <c r="I660" s="2" t="s">
        <v>57</v>
      </c>
      <c r="J660" t="s">
        <v>31</v>
      </c>
      <c r="K660">
        <v>5</v>
      </c>
      <c r="L660" s="3"/>
      <c r="M660" s="3"/>
      <c r="N660" s="3"/>
      <c r="O660" s="3">
        <f t="shared" si="31"/>
        <v>0</v>
      </c>
      <c r="P660">
        <v>748.8</v>
      </c>
      <c r="Q660">
        <v>293</v>
      </c>
      <c r="R660">
        <v>1</v>
      </c>
      <c r="S660">
        <v>135</v>
      </c>
      <c r="T660">
        <f t="shared" si="32"/>
        <v>3.2687999999999993</v>
      </c>
    </row>
    <row r="661" spans="1:20" x14ac:dyDescent="0.3">
      <c r="A661" s="1">
        <v>45292</v>
      </c>
      <c r="B661" s="1" t="str">
        <f t="shared" si="30"/>
        <v>Reliance_Mundka_Product_7_45292</v>
      </c>
      <c r="C661" s="2" t="s">
        <v>58</v>
      </c>
      <c r="D661" s="2" t="s">
        <v>59</v>
      </c>
      <c r="E661" s="2" t="s">
        <v>34</v>
      </c>
      <c r="F661" s="2" t="s">
        <v>51</v>
      </c>
      <c r="G661" s="2" t="s">
        <v>36</v>
      </c>
      <c r="H661" s="2" t="s">
        <v>37</v>
      </c>
      <c r="I661" s="2" t="s">
        <v>60</v>
      </c>
      <c r="J661" t="s">
        <v>31</v>
      </c>
      <c r="K661">
        <v>2</v>
      </c>
      <c r="L661" s="3"/>
      <c r="M661" s="3"/>
      <c r="N661" s="3"/>
      <c r="O661" s="3">
        <f t="shared" si="31"/>
        <v>0</v>
      </c>
      <c r="P661">
        <v>748.8</v>
      </c>
      <c r="Q661">
        <v>436</v>
      </c>
      <c r="R661">
        <v>0</v>
      </c>
      <c r="S661">
        <v>117</v>
      </c>
      <c r="T661">
        <f t="shared" si="32"/>
        <v>0</v>
      </c>
    </row>
    <row r="662" spans="1:20" x14ac:dyDescent="0.3">
      <c r="A662" s="1">
        <v>45292</v>
      </c>
      <c r="B662" s="1" t="str">
        <f t="shared" si="30"/>
        <v>Grofers_Kolkata CFA_Product_20_45292</v>
      </c>
      <c r="C662" s="2" t="s">
        <v>153</v>
      </c>
      <c r="D662" s="2" t="s">
        <v>154</v>
      </c>
      <c r="E662" s="2" t="s">
        <v>34</v>
      </c>
      <c r="F662" s="2" t="s">
        <v>114</v>
      </c>
      <c r="G662" s="2" t="s">
        <v>63</v>
      </c>
      <c r="H662" s="2" t="s">
        <v>47</v>
      </c>
      <c r="I662" s="2" t="s">
        <v>130</v>
      </c>
      <c r="J662" t="s">
        <v>31</v>
      </c>
      <c r="K662">
        <v>7</v>
      </c>
      <c r="L662" s="3"/>
      <c r="M662" s="3"/>
      <c r="N662" s="3"/>
      <c r="O662" s="3">
        <f t="shared" si="31"/>
        <v>0</v>
      </c>
      <c r="P662">
        <v>84</v>
      </c>
      <c r="Q662">
        <v>416</v>
      </c>
      <c r="R662">
        <v>0</v>
      </c>
      <c r="S662">
        <v>125</v>
      </c>
      <c r="T662">
        <f t="shared" si="32"/>
        <v>-6.6479999999999997</v>
      </c>
    </row>
    <row r="663" spans="1:20" x14ac:dyDescent="0.3">
      <c r="A663" s="1">
        <v>45292</v>
      </c>
      <c r="B663" s="1" t="str">
        <f t="shared" si="30"/>
        <v>Swiggy_Mundka_Product_2_45292</v>
      </c>
      <c r="C663" s="2" t="s">
        <v>32</v>
      </c>
      <c r="D663" s="2" t="s">
        <v>33</v>
      </c>
      <c r="E663" s="2" t="s">
        <v>34</v>
      </c>
      <c r="F663" s="2" t="s">
        <v>35</v>
      </c>
      <c r="G663" s="2" t="s">
        <v>36</v>
      </c>
      <c r="H663" s="2" t="s">
        <v>37</v>
      </c>
      <c r="I663" s="2" t="s">
        <v>38</v>
      </c>
      <c r="J663" t="s">
        <v>31</v>
      </c>
      <c r="K663">
        <v>16</v>
      </c>
      <c r="L663" s="3"/>
      <c r="M663" s="3"/>
      <c r="N663" s="3"/>
      <c r="O663" s="3">
        <f t="shared" si="31"/>
        <v>0</v>
      </c>
      <c r="P663">
        <v>48</v>
      </c>
      <c r="Q663">
        <v>100</v>
      </c>
      <c r="R663">
        <v>4</v>
      </c>
      <c r="S663">
        <v>134</v>
      </c>
      <c r="T663">
        <f t="shared" si="32"/>
        <v>-0.36</v>
      </c>
    </row>
    <row r="664" spans="1:20" x14ac:dyDescent="0.3">
      <c r="A664" s="1">
        <v>45292</v>
      </c>
      <c r="B664" s="1" t="str">
        <f t="shared" si="30"/>
        <v>Reliance_Ahmedabad_Product_18_45292</v>
      </c>
      <c r="C664" s="2" t="s">
        <v>121</v>
      </c>
      <c r="D664" s="2" t="s">
        <v>122</v>
      </c>
      <c r="E664" s="2" t="s">
        <v>34</v>
      </c>
      <c r="F664" s="2" t="s">
        <v>51</v>
      </c>
      <c r="G664" s="2" t="s">
        <v>52</v>
      </c>
      <c r="H664" s="2" t="s">
        <v>29</v>
      </c>
      <c r="I664" s="2" t="s">
        <v>123</v>
      </c>
      <c r="J664" t="s">
        <v>31</v>
      </c>
      <c r="K664">
        <v>17</v>
      </c>
      <c r="L664" s="3"/>
      <c r="M664" s="3"/>
      <c r="N664" s="3"/>
      <c r="O664" s="3">
        <f t="shared" si="31"/>
        <v>0</v>
      </c>
      <c r="P664">
        <v>383.52</v>
      </c>
      <c r="Q664">
        <v>118</v>
      </c>
      <c r="R664">
        <v>4</v>
      </c>
      <c r="S664">
        <v>129</v>
      </c>
      <c r="T664">
        <f t="shared" si="32"/>
        <v>3.3552</v>
      </c>
    </row>
    <row r="665" spans="1:20" x14ac:dyDescent="0.3">
      <c r="A665" s="1">
        <v>45292</v>
      </c>
      <c r="B665" s="1" t="str">
        <f t="shared" si="30"/>
        <v>Reliance_Bhiwandi_Product_10_45292</v>
      </c>
      <c r="C665" s="2" t="s">
        <v>85</v>
      </c>
      <c r="D665" s="2" t="s">
        <v>86</v>
      </c>
      <c r="E665" s="2" t="s">
        <v>34</v>
      </c>
      <c r="F665" s="2" t="s">
        <v>51</v>
      </c>
      <c r="G665" s="2" t="s">
        <v>66</v>
      </c>
      <c r="H665" s="2" t="s">
        <v>67</v>
      </c>
      <c r="I665" s="2" t="s">
        <v>76</v>
      </c>
      <c r="J665" t="s">
        <v>31</v>
      </c>
      <c r="K665">
        <v>3</v>
      </c>
      <c r="L665" s="3"/>
      <c r="M665" s="3"/>
      <c r="N665" s="3"/>
      <c r="O665" s="3">
        <f t="shared" si="31"/>
        <v>0</v>
      </c>
      <c r="P665">
        <v>383.52</v>
      </c>
      <c r="Q665">
        <v>366</v>
      </c>
      <c r="R665">
        <v>0</v>
      </c>
      <c r="S665">
        <v>106</v>
      </c>
      <c r="T665">
        <f t="shared" si="32"/>
        <v>0</v>
      </c>
    </row>
    <row r="666" spans="1:20" x14ac:dyDescent="0.3">
      <c r="A666" s="1">
        <v>45292</v>
      </c>
      <c r="B666" s="1" t="str">
        <f t="shared" si="30"/>
        <v>Maharashtra_MH-Aggregated_Product_9_45292</v>
      </c>
      <c r="C666" s="2" t="s">
        <v>69</v>
      </c>
      <c r="D666" s="2" t="s">
        <v>70</v>
      </c>
      <c r="E666" s="2" t="s">
        <v>26</v>
      </c>
      <c r="F666" s="2" t="s">
        <v>41</v>
      </c>
      <c r="G666" s="2" t="s">
        <v>42</v>
      </c>
      <c r="H666" s="2" t="s">
        <v>37</v>
      </c>
      <c r="I666" s="2" t="s">
        <v>71</v>
      </c>
      <c r="J666" t="s">
        <v>31</v>
      </c>
      <c r="K666">
        <v>6</v>
      </c>
      <c r="L666" s="3"/>
      <c r="M666" s="3"/>
      <c r="N666" s="3"/>
      <c r="O666" s="3">
        <f t="shared" si="31"/>
        <v>0</v>
      </c>
      <c r="P666">
        <v>672</v>
      </c>
      <c r="Q666">
        <v>187</v>
      </c>
      <c r="R666">
        <v>9</v>
      </c>
      <c r="S666">
        <v>119</v>
      </c>
      <c r="T666">
        <f t="shared" si="32"/>
        <v>2.8848000000000003</v>
      </c>
    </row>
    <row r="667" spans="1:20" x14ac:dyDescent="0.3">
      <c r="A667" s="1">
        <v>45292</v>
      </c>
      <c r="B667" s="1" t="str">
        <f t="shared" si="30"/>
        <v>Swiggy_Bangalore_Product_16_45292</v>
      </c>
      <c r="C667" s="2" t="s">
        <v>107</v>
      </c>
      <c r="D667" s="2" t="s">
        <v>108</v>
      </c>
      <c r="E667" s="2" t="s">
        <v>34</v>
      </c>
      <c r="F667" s="2" t="s">
        <v>35</v>
      </c>
      <c r="G667" s="2" t="s">
        <v>79</v>
      </c>
      <c r="H667" s="2" t="s">
        <v>47</v>
      </c>
      <c r="I667" s="2" t="s">
        <v>109</v>
      </c>
      <c r="J667" t="s">
        <v>31</v>
      </c>
      <c r="K667">
        <v>2</v>
      </c>
      <c r="L667" s="3"/>
      <c r="M667" s="3"/>
      <c r="N667" s="3"/>
      <c r="O667" s="3">
        <f t="shared" si="31"/>
        <v>0</v>
      </c>
      <c r="P667">
        <v>672</v>
      </c>
      <c r="Q667">
        <v>464</v>
      </c>
      <c r="R667">
        <v>12</v>
      </c>
      <c r="S667">
        <v>122</v>
      </c>
      <c r="T667">
        <f t="shared" si="32"/>
        <v>0</v>
      </c>
    </row>
    <row r="668" spans="1:20" x14ac:dyDescent="0.3">
      <c r="A668" s="1">
        <v>45292</v>
      </c>
      <c r="B668" s="1" t="str">
        <f t="shared" si="30"/>
        <v>Reliance_Bhiwandi_Product_8_45292</v>
      </c>
      <c r="C668" s="2" t="s">
        <v>64</v>
      </c>
      <c r="D668" s="2" t="s">
        <v>65</v>
      </c>
      <c r="E668" s="2" t="s">
        <v>34</v>
      </c>
      <c r="F668" s="2" t="s">
        <v>51</v>
      </c>
      <c r="G668" s="2" t="s">
        <v>66</v>
      </c>
      <c r="H668" s="2" t="s">
        <v>67</v>
      </c>
      <c r="I668" s="2" t="s">
        <v>68</v>
      </c>
      <c r="J668" t="s">
        <v>31</v>
      </c>
      <c r="K668">
        <v>38</v>
      </c>
      <c r="L668" s="3"/>
      <c r="M668" s="3"/>
      <c r="N668" s="3"/>
      <c r="O668" s="3">
        <f t="shared" si="31"/>
        <v>0</v>
      </c>
      <c r="P668">
        <v>421.92</v>
      </c>
      <c r="Q668">
        <v>347</v>
      </c>
      <c r="R668">
        <v>7</v>
      </c>
      <c r="S668">
        <v>126</v>
      </c>
      <c r="T668">
        <f t="shared" si="32"/>
        <v>-2.5007999999999999</v>
      </c>
    </row>
    <row r="669" spans="1:20" x14ac:dyDescent="0.3">
      <c r="A669" s="1">
        <v>45292</v>
      </c>
      <c r="B669" s="1" t="str">
        <f t="shared" si="30"/>
        <v>Reliance_Ahmedabad_Product_7_45292</v>
      </c>
      <c r="C669" s="2" t="s">
        <v>99</v>
      </c>
      <c r="D669" s="2" t="s">
        <v>100</v>
      </c>
      <c r="E669" s="2" t="s">
        <v>34</v>
      </c>
      <c r="F669" s="2" t="s">
        <v>51</v>
      </c>
      <c r="G669" s="2" t="s">
        <v>52</v>
      </c>
      <c r="H669" s="2" t="s">
        <v>37</v>
      </c>
      <c r="I669" s="2" t="s">
        <v>60</v>
      </c>
      <c r="J669" t="s">
        <v>31</v>
      </c>
      <c r="K669">
        <v>6</v>
      </c>
      <c r="L669" s="3"/>
      <c r="M669" s="3"/>
      <c r="N669" s="3"/>
      <c r="O669" s="3">
        <f t="shared" si="31"/>
        <v>0</v>
      </c>
      <c r="P669">
        <v>421.92</v>
      </c>
      <c r="Q669">
        <v>496</v>
      </c>
      <c r="R669">
        <v>0</v>
      </c>
      <c r="S669">
        <v>117</v>
      </c>
      <c r="T669">
        <f t="shared" si="32"/>
        <v>0</v>
      </c>
    </row>
    <row r="670" spans="1:20" x14ac:dyDescent="0.3">
      <c r="A670" s="1">
        <v>45292</v>
      </c>
      <c r="B670" s="1" t="str">
        <f t="shared" si="30"/>
        <v>Reliance_Ahmedabad_Product_5_45292</v>
      </c>
      <c r="C670" s="2" t="s">
        <v>49</v>
      </c>
      <c r="D670" s="2" t="s">
        <v>50</v>
      </c>
      <c r="E670" s="2" t="s">
        <v>34</v>
      </c>
      <c r="F670" s="2" t="s">
        <v>51</v>
      </c>
      <c r="G670" s="2" t="s">
        <v>52</v>
      </c>
      <c r="H670" s="2" t="s">
        <v>53</v>
      </c>
      <c r="I670" s="2" t="s">
        <v>54</v>
      </c>
      <c r="J670" t="s">
        <v>31</v>
      </c>
      <c r="K670">
        <v>13</v>
      </c>
      <c r="L670" s="3"/>
      <c r="M670" s="3"/>
      <c r="N670" s="3"/>
      <c r="O670" s="3">
        <f t="shared" si="31"/>
        <v>0</v>
      </c>
      <c r="P670">
        <v>748.8</v>
      </c>
      <c r="Q670">
        <v>418</v>
      </c>
      <c r="R670">
        <v>0</v>
      </c>
      <c r="S670">
        <v>132</v>
      </c>
      <c r="T670">
        <f t="shared" si="32"/>
        <v>3.2687999999999993</v>
      </c>
    </row>
    <row r="671" spans="1:20" x14ac:dyDescent="0.3">
      <c r="A671" s="1">
        <v>45292</v>
      </c>
      <c r="B671" s="1" t="str">
        <f t="shared" si="30"/>
        <v>Reliance_Mundka_Product_9_45292</v>
      </c>
      <c r="C671" s="2" t="s">
        <v>145</v>
      </c>
      <c r="D671" s="2" t="s">
        <v>146</v>
      </c>
      <c r="E671" s="2" t="s">
        <v>34</v>
      </c>
      <c r="F671" s="2" t="s">
        <v>51</v>
      </c>
      <c r="G671" s="2" t="s">
        <v>36</v>
      </c>
      <c r="H671" s="2" t="s">
        <v>37</v>
      </c>
      <c r="I671" s="2" t="s">
        <v>71</v>
      </c>
      <c r="J671" t="s">
        <v>31</v>
      </c>
      <c r="K671">
        <v>3</v>
      </c>
      <c r="L671" s="3"/>
      <c r="M671" s="3"/>
      <c r="N671" s="3"/>
      <c r="O671" s="3">
        <f t="shared" si="31"/>
        <v>0</v>
      </c>
      <c r="P671">
        <v>748.8</v>
      </c>
      <c r="Q671">
        <v>228</v>
      </c>
      <c r="R671">
        <v>0</v>
      </c>
      <c r="S671">
        <v>119</v>
      </c>
      <c r="T671">
        <f t="shared" si="32"/>
        <v>0</v>
      </c>
    </row>
    <row r="672" spans="1:20" x14ac:dyDescent="0.3">
      <c r="A672" s="1">
        <v>45292</v>
      </c>
      <c r="B672" s="1" t="str">
        <f t="shared" si="30"/>
        <v>Zepto_Bangalore_Product_12_45292</v>
      </c>
      <c r="C672" s="2" t="s">
        <v>90</v>
      </c>
      <c r="D672" s="2" t="s">
        <v>91</v>
      </c>
      <c r="E672" s="2" t="s">
        <v>34</v>
      </c>
      <c r="F672" s="2" t="s">
        <v>46</v>
      </c>
      <c r="G672" s="2" t="s">
        <v>79</v>
      </c>
      <c r="H672" s="2" t="s">
        <v>67</v>
      </c>
      <c r="I672" s="2" t="s">
        <v>92</v>
      </c>
      <c r="J672" t="s">
        <v>31</v>
      </c>
      <c r="K672">
        <v>23</v>
      </c>
      <c r="L672" s="3"/>
      <c r="M672" s="3"/>
      <c r="N672" s="3"/>
      <c r="O672" s="3">
        <f t="shared" si="31"/>
        <v>0</v>
      </c>
      <c r="P672">
        <v>84</v>
      </c>
      <c r="Q672">
        <v>220</v>
      </c>
      <c r="R672">
        <v>9</v>
      </c>
      <c r="S672">
        <v>94</v>
      </c>
      <c r="T672">
        <f t="shared" si="32"/>
        <v>-6.6479999999999997</v>
      </c>
    </row>
    <row r="673" spans="1:20" x14ac:dyDescent="0.3">
      <c r="A673" s="1">
        <v>45292</v>
      </c>
      <c r="B673" s="1" t="str">
        <f t="shared" si="30"/>
        <v>Reliance_Bangalore_Product_8_45292</v>
      </c>
      <c r="C673" s="2" t="s">
        <v>77</v>
      </c>
      <c r="D673" s="2" t="s">
        <v>78</v>
      </c>
      <c r="E673" s="2" t="s">
        <v>34</v>
      </c>
      <c r="F673" s="2" t="s">
        <v>51</v>
      </c>
      <c r="G673" s="2" t="s">
        <v>79</v>
      </c>
      <c r="H673" s="2" t="s">
        <v>67</v>
      </c>
      <c r="I673" s="2" t="s">
        <v>68</v>
      </c>
      <c r="J673" t="s">
        <v>31</v>
      </c>
      <c r="K673">
        <v>50</v>
      </c>
      <c r="L673" s="3"/>
      <c r="M673" s="3"/>
      <c r="N673" s="3"/>
      <c r="O673" s="3">
        <f t="shared" si="31"/>
        <v>0</v>
      </c>
      <c r="P673">
        <v>48</v>
      </c>
      <c r="Q673">
        <v>152</v>
      </c>
      <c r="R673">
        <v>5</v>
      </c>
      <c r="S673">
        <v>126</v>
      </c>
      <c r="T673">
        <f t="shared" si="32"/>
        <v>-0.36</v>
      </c>
    </row>
    <row r="674" spans="1:20" x14ac:dyDescent="0.3">
      <c r="A674" s="1">
        <v>45292</v>
      </c>
      <c r="B674" s="1" t="str">
        <f t="shared" si="30"/>
        <v>Reliance_Kolkata CFA_Product_12_45292</v>
      </c>
      <c r="C674" s="2" t="s">
        <v>101</v>
      </c>
      <c r="D674" s="2" t="s">
        <v>102</v>
      </c>
      <c r="E674" s="2" t="s">
        <v>34</v>
      </c>
      <c r="F674" s="2" t="s">
        <v>51</v>
      </c>
      <c r="G674" s="2" t="s">
        <v>63</v>
      </c>
      <c r="H674" s="2" t="s">
        <v>67</v>
      </c>
      <c r="I674" s="2" t="s">
        <v>92</v>
      </c>
      <c r="J674" t="s">
        <v>31</v>
      </c>
      <c r="K674">
        <v>5</v>
      </c>
      <c r="L674" s="3"/>
      <c r="M674" s="3"/>
      <c r="N674" s="3"/>
      <c r="O674" s="3">
        <f t="shared" si="31"/>
        <v>0</v>
      </c>
      <c r="P674">
        <v>383.52</v>
      </c>
      <c r="Q674">
        <v>429</v>
      </c>
      <c r="R674">
        <v>0</v>
      </c>
      <c r="S674">
        <v>94</v>
      </c>
      <c r="T674">
        <f t="shared" si="32"/>
        <v>3.3552</v>
      </c>
    </row>
    <row r="675" spans="1:20" x14ac:dyDescent="0.3">
      <c r="A675" s="1">
        <v>45292</v>
      </c>
      <c r="B675" s="1" t="str">
        <f t="shared" si="30"/>
        <v>Grofers_Mundka_Product_21_45292</v>
      </c>
      <c r="C675" s="2" t="s">
        <v>131</v>
      </c>
      <c r="D675" s="2" t="s">
        <v>132</v>
      </c>
      <c r="E675" s="2" t="s">
        <v>34</v>
      </c>
      <c r="F675" s="2" t="s">
        <v>114</v>
      </c>
      <c r="G675" s="2" t="s">
        <v>36</v>
      </c>
      <c r="H675" s="2" t="s">
        <v>133</v>
      </c>
      <c r="I675" s="2" t="s">
        <v>134</v>
      </c>
      <c r="J675" t="s">
        <v>31</v>
      </c>
      <c r="K675">
        <v>2</v>
      </c>
      <c r="L675" s="3"/>
      <c r="M675" s="3"/>
      <c r="N675" s="3"/>
      <c r="O675" s="3">
        <f t="shared" si="31"/>
        <v>0</v>
      </c>
      <c r="P675">
        <v>383.52</v>
      </c>
      <c r="Q675">
        <v>134</v>
      </c>
      <c r="R675">
        <v>10</v>
      </c>
      <c r="S675">
        <v>115</v>
      </c>
      <c r="T675">
        <f t="shared" si="32"/>
        <v>0</v>
      </c>
    </row>
    <row r="676" spans="1:20" x14ac:dyDescent="0.3">
      <c r="A676" s="1">
        <v>45292</v>
      </c>
      <c r="B676" s="1" t="str">
        <f t="shared" si="30"/>
        <v>Jharkhand_JH-Aggregated_Product_15_45292</v>
      </c>
      <c r="C676" s="2" t="s">
        <v>103</v>
      </c>
      <c r="D676" s="2" t="s">
        <v>104</v>
      </c>
      <c r="E676" s="2" t="s">
        <v>26</v>
      </c>
      <c r="F676" s="2" t="s">
        <v>27</v>
      </c>
      <c r="G676" s="2" t="s">
        <v>28</v>
      </c>
      <c r="H676" s="2" t="s">
        <v>105</v>
      </c>
      <c r="I676" s="2" t="s">
        <v>106</v>
      </c>
      <c r="J676" t="s">
        <v>31</v>
      </c>
      <c r="K676">
        <v>3</v>
      </c>
      <c r="L676" s="3"/>
      <c r="M676" s="3"/>
      <c r="N676" s="3"/>
      <c r="O676" s="3">
        <f t="shared" si="31"/>
        <v>0</v>
      </c>
      <c r="P676">
        <v>672</v>
      </c>
      <c r="Q676">
        <v>287</v>
      </c>
      <c r="R676">
        <v>0</v>
      </c>
      <c r="S676">
        <v>143</v>
      </c>
      <c r="T676">
        <f t="shared" si="32"/>
        <v>2.8848000000000003</v>
      </c>
    </row>
    <row r="677" spans="1:20" x14ac:dyDescent="0.3">
      <c r="A677" s="1">
        <v>45292</v>
      </c>
      <c r="B677" s="1" t="str">
        <f t="shared" si="30"/>
        <v>Jharkhand_JH-Aggregated_Product_19_45292</v>
      </c>
      <c r="C677" s="2" t="s">
        <v>124</v>
      </c>
      <c r="D677" s="2" t="s">
        <v>125</v>
      </c>
      <c r="E677" s="2" t="s">
        <v>26</v>
      </c>
      <c r="F677" s="2" t="s">
        <v>27</v>
      </c>
      <c r="G677" s="2" t="s">
        <v>28</v>
      </c>
      <c r="H677" s="2" t="s">
        <v>126</v>
      </c>
      <c r="I677" s="2" t="s">
        <v>127</v>
      </c>
      <c r="J677" t="s">
        <v>31</v>
      </c>
      <c r="K677">
        <v>1</v>
      </c>
      <c r="L677" s="4"/>
      <c r="M677" s="3"/>
      <c r="N677" s="3"/>
      <c r="O677" s="3">
        <f t="shared" si="31"/>
        <v>0</v>
      </c>
      <c r="P677">
        <v>672</v>
      </c>
      <c r="Q677">
        <v>270</v>
      </c>
      <c r="R677">
        <v>9</v>
      </c>
      <c r="S677">
        <v>94</v>
      </c>
      <c r="T677">
        <f t="shared" si="32"/>
        <v>0</v>
      </c>
    </row>
    <row r="678" spans="1:20" x14ac:dyDescent="0.3">
      <c r="A678" s="1">
        <v>45292</v>
      </c>
      <c r="B678" s="1" t="str">
        <f t="shared" si="30"/>
        <v>Swiggy_Kolkata CFA_Product_20_45292</v>
      </c>
      <c r="C678" s="2" t="s">
        <v>128</v>
      </c>
      <c r="D678" s="2" t="s">
        <v>129</v>
      </c>
      <c r="E678" s="2" t="s">
        <v>34</v>
      </c>
      <c r="F678" s="2" t="s">
        <v>35</v>
      </c>
      <c r="G678" s="2" t="s">
        <v>63</v>
      </c>
      <c r="H678" s="2" t="s">
        <v>47</v>
      </c>
      <c r="I678" s="2" t="s">
        <v>130</v>
      </c>
      <c r="J678" t="s">
        <v>31</v>
      </c>
      <c r="K678">
        <v>10</v>
      </c>
      <c r="L678" s="3"/>
      <c r="M678" s="3"/>
      <c r="N678" s="3"/>
      <c r="O678" s="3">
        <f t="shared" si="31"/>
        <v>0</v>
      </c>
      <c r="P678">
        <v>421.92</v>
      </c>
      <c r="Q678">
        <v>130</v>
      </c>
      <c r="R678">
        <v>0</v>
      </c>
      <c r="S678">
        <v>125</v>
      </c>
      <c r="T678">
        <f t="shared" si="32"/>
        <v>-2.5007999999999999</v>
      </c>
    </row>
    <row r="679" spans="1:20" x14ac:dyDescent="0.3">
      <c r="A679" s="1">
        <v>45292</v>
      </c>
      <c r="B679" s="1" t="str">
        <f t="shared" si="30"/>
        <v>Reliance_Bhiwandi_Product_11_45292</v>
      </c>
      <c r="C679" s="2" t="s">
        <v>87</v>
      </c>
      <c r="D679" s="2" t="s">
        <v>88</v>
      </c>
      <c r="E679" s="2" t="s">
        <v>34</v>
      </c>
      <c r="F679" s="2" t="s">
        <v>51</v>
      </c>
      <c r="G679" s="2" t="s">
        <v>66</v>
      </c>
      <c r="H679" s="2" t="s">
        <v>67</v>
      </c>
      <c r="I679" s="2" t="s">
        <v>89</v>
      </c>
      <c r="J679" t="s">
        <v>31</v>
      </c>
      <c r="K679">
        <v>3</v>
      </c>
      <c r="L679" s="3"/>
      <c r="M679" s="3"/>
      <c r="N679" s="3"/>
      <c r="O679" s="3">
        <f t="shared" si="31"/>
        <v>0</v>
      </c>
      <c r="P679">
        <v>421.92</v>
      </c>
      <c r="Q679">
        <v>430</v>
      </c>
      <c r="R679">
        <v>0</v>
      </c>
      <c r="S679">
        <v>131</v>
      </c>
      <c r="T679">
        <f t="shared" si="32"/>
        <v>0</v>
      </c>
    </row>
    <row r="680" spans="1:20" x14ac:dyDescent="0.3">
      <c r="A680" s="1">
        <v>45292</v>
      </c>
      <c r="B680" s="1" t="str">
        <f t="shared" si="30"/>
        <v>Reliance_Chennai_Product_9_45292</v>
      </c>
      <c r="C680" s="2" t="s">
        <v>147</v>
      </c>
      <c r="D680" s="2" t="s">
        <v>148</v>
      </c>
      <c r="E680" s="2" t="s">
        <v>34</v>
      </c>
      <c r="F680" s="2" t="s">
        <v>51</v>
      </c>
      <c r="G680" s="2" t="s">
        <v>84</v>
      </c>
      <c r="H680" s="2" t="s">
        <v>37</v>
      </c>
      <c r="I680" s="2" t="s">
        <v>71</v>
      </c>
      <c r="J680" t="s">
        <v>31</v>
      </c>
      <c r="K680">
        <v>4</v>
      </c>
      <c r="L680" s="3"/>
      <c r="M680" s="3"/>
      <c r="N680" s="3"/>
      <c r="O680" s="3">
        <f t="shared" si="31"/>
        <v>0</v>
      </c>
      <c r="P680">
        <v>748.8</v>
      </c>
      <c r="Q680">
        <v>366</v>
      </c>
      <c r="R680">
        <v>0</v>
      </c>
      <c r="S680">
        <v>119</v>
      </c>
      <c r="T680">
        <f t="shared" si="32"/>
        <v>3.2687999999999993</v>
      </c>
    </row>
    <row r="681" spans="1:20" x14ac:dyDescent="0.3">
      <c r="A681" s="1">
        <v>45323</v>
      </c>
      <c r="B681" s="1" t="str">
        <f t="shared" si="30"/>
        <v>Reliance_Bangalore_Product_14_45323</v>
      </c>
      <c r="C681" s="2" t="s">
        <v>155</v>
      </c>
      <c r="D681" s="2" t="s">
        <v>156</v>
      </c>
      <c r="E681" s="2" t="s">
        <v>34</v>
      </c>
      <c r="F681" s="2" t="s">
        <v>51</v>
      </c>
      <c r="G681" s="2" t="s">
        <v>79</v>
      </c>
      <c r="H681" s="2" t="s">
        <v>47</v>
      </c>
      <c r="I681" s="2" t="s">
        <v>98</v>
      </c>
      <c r="J681" t="s">
        <v>31</v>
      </c>
      <c r="K681">
        <v>2</v>
      </c>
      <c r="L681" s="4"/>
      <c r="M681" s="3"/>
      <c r="N681" s="3"/>
      <c r="O681" s="3">
        <f t="shared" si="31"/>
        <v>0</v>
      </c>
      <c r="P681">
        <v>748.8</v>
      </c>
      <c r="Q681">
        <v>159</v>
      </c>
      <c r="R681">
        <v>1</v>
      </c>
      <c r="S681">
        <v>97</v>
      </c>
      <c r="T681">
        <f t="shared" si="32"/>
        <v>0</v>
      </c>
    </row>
    <row r="682" spans="1:20" x14ac:dyDescent="0.3">
      <c r="A682" s="1">
        <v>45323</v>
      </c>
      <c r="B682" s="1" t="str">
        <f t="shared" si="30"/>
        <v>Reliance_Bangalore_Product_8_45323</v>
      </c>
      <c r="C682" s="2" t="s">
        <v>77</v>
      </c>
      <c r="D682" s="2" t="s">
        <v>78</v>
      </c>
      <c r="E682" s="2" t="s">
        <v>34</v>
      </c>
      <c r="F682" s="2" t="s">
        <v>51</v>
      </c>
      <c r="G682" s="2" t="s">
        <v>79</v>
      </c>
      <c r="H682" s="2" t="s">
        <v>67</v>
      </c>
      <c r="I682" s="2" t="s">
        <v>68</v>
      </c>
      <c r="J682" t="s">
        <v>31</v>
      </c>
      <c r="K682">
        <v>5</v>
      </c>
      <c r="L682" s="4"/>
      <c r="M682" s="3"/>
      <c r="N682" s="3"/>
      <c r="O682" s="3">
        <f t="shared" si="31"/>
        <v>0</v>
      </c>
      <c r="P682">
        <v>84</v>
      </c>
      <c r="Q682">
        <v>292</v>
      </c>
      <c r="R682">
        <v>0</v>
      </c>
      <c r="S682">
        <v>126</v>
      </c>
      <c r="T682">
        <f t="shared" si="32"/>
        <v>-6.6479999999999997</v>
      </c>
    </row>
    <row r="683" spans="1:20" x14ac:dyDescent="0.3">
      <c r="A683" s="1">
        <v>45323</v>
      </c>
      <c r="B683" s="1" t="str">
        <f t="shared" si="30"/>
        <v>Reliance_Mundka_Product_7_45323</v>
      </c>
      <c r="C683" s="2" t="s">
        <v>58</v>
      </c>
      <c r="D683" s="2" t="s">
        <v>59</v>
      </c>
      <c r="E683" s="2" t="s">
        <v>34</v>
      </c>
      <c r="F683" s="2" t="s">
        <v>51</v>
      </c>
      <c r="G683" s="2" t="s">
        <v>36</v>
      </c>
      <c r="H683" s="2" t="s">
        <v>37</v>
      </c>
      <c r="I683" s="2" t="s">
        <v>60</v>
      </c>
      <c r="J683" t="s">
        <v>31</v>
      </c>
      <c r="K683">
        <v>13</v>
      </c>
      <c r="L683" s="3"/>
      <c r="M683" s="3"/>
      <c r="N683" s="3"/>
      <c r="O683" s="3">
        <f t="shared" si="31"/>
        <v>0</v>
      </c>
      <c r="P683">
        <v>48</v>
      </c>
      <c r="Q683">
        <v>299</v>
      </c>
      <c r="R683">
        <v>4</v>
      </c>
      <c r="S683">
        <v>117</v>
      </c>
      <c r="T683">
        <f t="shared" si="32"/>
        <v>-0.36</v>
      </c>
    </row>
    <row r="684" spans="1:20" x14ac:dyDescent="0.3">
      <c r="A684" s="1">
        <v>45323</v>
      </c>
      <c r="B684" s="1" t="str">
        <f t="shared" si="30"/>
        <v>Swiggy_Chennai_Product_3_45323</v>
      </c>
      <c r="C684" s="2" t="s">
        <v>82</v>
      </c>
      <c r="D684" s="2" t="s">
        <v>83</v>
      </c>
      <c r="E684" s="2" t="s">
        <v>34</v>
      </c>
      <c r="F684" s="2" t="s">
        <v>35</v>
      </c>
      <c r="G684" s="2" t="s">
        <v>84</v>
      </c>
      <c r="H684" s="2" t="s">
        <v>37</v>
      </c>
      <c r="I684" s="2" t="s">
        <v>43</v>
      </c>
      <c r="J684" t="s">
        <v>31</v>
      </c>
      <c r="K684">
        <v>14</v>
      </c>
      <c r="L684" s="3"/>
      <c r="M684" s="3"/>
      <c r="N684" s="3"/>
      <c r="O684" s="3">
        <f t="shared" si="31"/>
        <v>0</v>
      </c>
      <c r="P684">
        <v>383.52</v>
      </c>
      <c r="Q684">
        <v>152</v>
      </c>
      <c r="R684">
        <v>2</v>
      </c>
      <c r="S684">
        <v>127</v>
      </c>
      <c r="T684">
        <f t="shared" si="32"/>
        <v>3.3552</v>
      </c>
    </row>
    <row r="685" spans="1:20" x14ac:dyDescent="0.3">
      <c r="A685" s="1">
        <v>45323</v>
      </c>
      <c r="B685" s="1" t="str">
        <f t="shared" si="30"/>
        <v>Maharashtra_MH-Aggregated_Product_3_45323</v>
      </c>
      <c r="C685" s="2" t="s">
        <v>39</v>
      </c>
      <c r="D685" s="2" t="s">
        <v>40</v>
      </c>
      <c r="E685" s="2" t="s">
        <v>26</v>
      </c>
      <c r="F685" s="2" t="s">
        <v>41</v>
      </c>
      <c r="G685" s="2" t="s">
        <v>42</v>
      </c>
      <c r="H685" s="2" t="s">
        <v>37</v>
      </c>
      <c r="I685" s="2" t="s">
        <v>43</v>
      </c>
      <c r="J685" t="s">
        <v>31</v>
      </c>
      <c r="K685">
        <v>3</v>
      </c>
      <c r="L685" s="3"/>
      <c r="M685" s="3"/>
      <c r="N685" s="3"/>
      <c r="O685" s="3">
        <f t="shared" si="31"/>
        <v>0</v>
      </c>
      <c r="P685">
        <v>383.52</v>
      </c>
      <c r="Q685">
        <v>322</v>
      </c>
      <c r="R685">
        <v>14</v>
      </c>
      <c r="S685">
        <v>127</v>
      </c>
      <c r="T685">
        <f t="shared" si="32"/>
        <v>0</v>
      </c>
    </row>
    <row r="686" spans="1:20" x14ac:dyDescent="0.3">
      <c r="A686" s="1">
        <v>45323</v>
      </c>
      <c r="B686" s="1" t="str">
        <f t="shared" si="30"/>
        <v>Reliance_Chennai_Product_9_45323</v>
      </c>
      <c r="C686" s="2" t="s">
        <v>147</v>
      </c>
      <c r="D686" s="2" t="s">
        <v>148</v>
      </c>
      <c r="E686" s="2" t="s">
        <v>34</v>
      </c>
      <c r="F686" s="2" t="s">
        <v>51</v>
      </c>
      <c r="G686" s="2" t="s">
        <v>84</v>
      </c>
      <c r="H686" s="2" t="s">
        <v>37</v>
      </c>
      <c r="I686" s="2" t="s">
        <v>71</v>
      </c>
      <c r="J686" t="s">
        <v>31</v>
      </c>
      <c r="K686">
        <v>6</v>
      </c>
      <c r="L686" s="3"/>
      <c r="M686" s="3"/>
      <c r="N686" s="3"/>
      <c r="O686" s="3">
        <f t="shared" si="31"/>
        <v>0</v>
      </c>
      <c r="P686">
        <v>672</v>
      </c>
      <c r="Q686">
        <v>351</v>
      </c>
      <c r="R686">
        <v>0</v>
      </c>
      <c r="S686">
        <v>119</v>
      </c>
      <c r="T686">
        <f t="shared" si="32"/>
        <v>2.8848000000000003</v>
      </c>
    </row>
    <row r="687" spans="1:20" x14ac:dyDescent="0.3">
      <c r="A687" s="1">
        <v>45323</v>
      </c>
      <c r="B687" s="1" t="str">
        <f t="shared" si="30"/>
        <v>Grofers_Ahmedabad_Product_9_45323</v>
      </c>
      <c r="C687" s="2" t="s">
        <v>112</v>
      </c>
      <c r="D687" s="2" t="s">
        <v>113</v>
      </c>
      <c r="E687" s="2" t="s">
        <v>34</v>
      </c>
      <c r="F687" s="2" t="s">
        <v>114</v>
      </c>
      <c r="G687" s="2" t="s">
        <v>52</v>
      </c>
      <c r="H687" s="2" t="s">
        <v>37</v>
      </c>
      <c r="I687" s="2" t="s">
        <v>71</v>
      </c>
      <c r="J687" t="s">
        <v>31</v>
      </c>
      <c r="K687">
        <v>1</v>
      </c>
      <c r="L687" s="3"/>
      <c r="M687" s="3"/>
      <c r="N687" s="3"/>
      <c r="O687" s="3">
        <f t="shared" si="31"/>
        <v>0</v>
      </c>
      <c r="P687">
        <v>672</v>
      </c>
      <c r="Q687">
        <v>157</v>
      </c>
      <c r="R687">
        <v>6</v>
      </c>
      <c r="S687">
        <v>119</v>
      </c>
      <c r="T687">
        <f t="shared" si="32"/>
        <v>0</v>
      </c>
    </row>
    <row r="688" spans="1:20" x14ac:dyDescent="0.3">
      <c r="A688" s="1">
        <v>45323</v>
      </c>
      <c r="B688" s="1" t="str">
        <f t="shared" si="30"/>
        <v>Jharkhand_JH-Aggregated_Product_1_45323</v>
      </c>
      <c r="C688" s="2" t="s">
        <v>24</v>
      </c>
      <c r="D688" s="2" t="s">
        <v>25</v>
      </c>
      <c r="E688" s="2" t="s">
        <v>26</v>
      </c>
      <c r="F688" s="2" t="s">
        <v>27</v>
      </c>
      <c r="G688" s="2" t="s">
        <v>28</v>
      </c>
      <c r="H688" s="2" t="s">
        <v>29</v>
      </c>
      <c r="I688" s="2" t="s">
        <v>30</v>
      </c>
      <c r="J688" t="s">
        <v>31</v>
      </c>
      <c r="K688">
        <v>32</v>
      </c>
      <c r="L688" s="3"/>
      <c r="M688" s="3"/>
      <c r="N688" s="3"/>
      <c r="O688" s="3">
        <f t="shared" si="31"/>
        <v>0</v>
      </c>
      <c r="P688">
        <v>421.92</v>
      </c>
      <c r="Q688">
        <v>194</v>
      </c>
      <c r="R688">
        <v>7</v>
      </c>
      <c r="S688">
        <v>111</v>
      </c>
      <c r="T688">
        <f t="shared" si="32"/>
        <v>-2.5007999999999999</v>
      </c>
    </row>
    <row r="689" spans="1:20" x14ac:dyDescent="0.3">
      <c r="A689" s="1">
        <v>45323</v>
      </c>
      <c r="B689" s="1" t="str">
        <f t="shared" si="30"/>
        <v>Reliance_Mundka_Product_9_45323</v>
      </c>
      <c r="C689" s="2" t="s">
        <v>145</v>
      </c>
      <c r="D689" s="2" t="s">
        <v>146</v>
      </c>
      <c r="E689" s="2" t="s">
        <v>34</v>
      </c>
      <c r="F689" s="2" t="s">
        <v>51</v>
      </c>
      <c r="G689" s="2" t="s">
        <v>36</v>
      </c>
      <c r="H689" s="2" t="s">
        <v>37</v>
      </c>
      <c r="I689" s="2" t="s">
        <v>71</v>
      </c>
      <c r="J689" t="s">
        <v>31</v>
      </c>
      <c r="K689">
        <v>6</v>
      </c>
      <c r="L689" s="3"/>
      <c r="M689" s="3"/>
      <c r="N689" s="3"/>
      <c r="O689" s="3">
        <f t="shared" si="31"/>
        <v>0</v>
      </c>
      <c r="P689">
        <v>421.92</v>
      </c>
      <c r="Q689">
        <v>157</v>
      </c>
      <c r="R689">
        <v>0</v>
      </c>
      <c r="S689">
        <v>119</v>
      </c>
      <c r="T689">
        <f t="shared" si="32"/>
        <v>0</v>
      </c>
    </row>
    <row r="690" spans="1:20" x14ac:dyDescent="0.3">
      <c r="A690" s="1">
        <v>45323</v>
      </c>
      <c r="B690" s="1" t="str">
        <f t="shared" si="30"/>
        <v>Jharkhand_JH-Aggregated_Product_15_45323</v>
      </c>
      <c r="C690" s="2" t="s">
        <v>103</v>
      </c>
      <c r="D690" s="2" t="s">
        <v>104</v>
      </c>
      <c r="E690" s="2" t="s">
        <v>26</v>
      </c>
      <c r="F690" s="2" t="s">
        <v>27</v>
      </c>
      <c r="G690" s="2" t="s">
        <v>28</v>
      </c>
      <c r="H690" s="2" t="s">
        <v>105</v>
      </c>
      <c r="I690" s="2" t="s">
        <v>106</v>
      </c>
      <c r="J690" t="s">
        <v>31</v>
      </c>
      <c r="K690">
        <v>11</v>
      </c>
      <c r="L690" s="3"/>
      <c r="M690" s="3"/>
      <c r="N690" s="3"/>
      <c r="O690" s="3">
        <f t="shared" si="31"/>
        <v>0</v>
      </c>
      <c r="P690">
        <v>748.8</v>
      </c>
      <c r="Q690">
        <v>166</v>
      </c>
      <c r="R690">
        <v>3</v>
      </c>
      <c r="S690">
        <v>143</v>
      </c>
      <c r="T690">
        <f t="shared" si="32"/>
        <v>3.2687999999999993</v>
      </c>
    </row>
    <row r="691" spans="1:20" x14ac:dyDescent="0.3">
      <c r="A691" s="1">
        <v>45323</v>
      </c>
      <c r="B691" s="1" t="str">
        <f t="shared" si="30"/>
        <v>Swiggy_Mundka_Product_2_45323</v>
      </c>
      <c r="C691" s="2" t="s">
        <v>32</v>
      </c>
      <c r="D691" s="2" t="s">
        <v>33</v>
      </c>
      <c r="E691" s="2" t="s">
        <v>34</v>
      </c>
      <c r="F691" s="2" t="s">
        <v>35</v>
      </c>
      <c r="G691" s="2" t="s">
        <v>36</v>
      </c>
      <c r="H691" s="2" t="s">
        <v>37</v>
      </c>
      <c r="I691" s="2" t="s">
        <v>38</v>
      </c>
      <c r="J691" t="s">
        <v>31</v>
      </c>
      <c r="K691">
        <v>2</v>
      </c>
      <c r="L691" s="3"/>
      <c r="M691" s="3"/>
      <c r="N691" s="3"/>
      <c r="O691" s="3">
        <f t="shared" si="31"/>
        <v>0</v>
      </c>
      <c r="P691">
        <v>748.8</v>
      </c>
      <c r="Q691">
        <v>403</v>
      </c>
      <c r="R691">
        <v>1</v>
      </c>
      <c r="S691">
        <v>134</v>
      </c>
      <c r="T691">
        <f t="shared" si="32"/>
        <v>0</v>
      </c>
    </row>
    <row r="692" spans="1:20" x14ac:dyDescent="0.3">
      <c r="A692" s="1">
        <v>45323</v>
      </c>
      <c r="B692" s="1" t="str">
        <f t="shared" si="30"/>
        <v>Reliance_Bangalore_Product_3_45323</v>
      </c>
      <c r="C692" s="2" t="s">
        <v>80</v>
      </c>
      <c r="D692" s="2" t="s">
        <v>81</v>
      </c>
      <c r="E692" s="2" t="s">
        <v>34</v>
      </c>
      <c r="F692" s="2" t="s">
        <v>51</v>
      </c>
      <c r="G692" s="2" t="s">
        <v>79</v>
      </c>
      <c r="H692" s="2" t="s">
        <v>37</v>
      </c>
      <c r="I692" s="2" t="s">
        <v>43</v>
      </c>
      <c r="J692" t="s">
        <v>31</v>
      </c>
      <c r="K692">
        <v>19</v>
      </c>
      <c r="L692" s="3"/>
      <c r="M692" s="3"/>
      <c r="N692" s="3"/>
      <c r="O692" s="3">
        <f t="shared" si="31"/>
        <v>0</v>
      </c>
      <c r="P692">
        <v>84</v>
      </c>
      <c r="Q692">
        <v>222</v>
      </c>
      <c r="R692">
        <v>3</v>
      </c>
      <c r="S692">
        <v>127</v>
      </c>
      <c r="T692">
        <f t="shared" si="32"/>
        <v>-6.6479999999999997</v>
      </c>
    </row>
    <row r="693" spans="1:20" x14ac:dyDescent="0.3">
      <c r="A693" s="1">
        <v>45323</v>
      </c>
      <c r="B693" s="1" t="str">
        <f t="shared" si="30"/>
        <v>Swiggy_Kolkata CFA_Product_3_45323</v>
      </c>
      <c r="C693" s="2" t="s">
        <v>61</v>
      </c>
      <c r="D693" s="2" t="s">
        <v>62</v>
      </c>
      <c r="E693" s="2" t="s">
        <v>34</v>
      </c>
      <c r="F693" s="2" t="s">
        <v>35</v>
      </c>
      <c r="G693" s="2" t="s">
        <v>63</v>
      </c>
      <c r="H693" s="2" t="s">
        <v>37</v>
      </c>
      <c r="I693" s="2" t="s">
        <v>43</v>
      </c>
      <c r="J693" t="s">
        <v>31</v>
      </c>
      <c r="K693">
        <v>42</v>
      </c>
      <c r="L693" s="3"/>
      <c r="M693" s="3"/>
      <c r="N693" s="3"/>
      <c r="O693" s="3">
        <f t="shared" si="31"/>
        <v>0</v>
      </c>
      <c r="P693">
        <v>48</v>
      </c>
      <c r="Q693">
        <v>353</v>
      </c>
      <c r="R693">
        <v>0</v>
      </c>
      <c r="S693">
        <v>127</v>
      </c>
      <c r="T693">
        <f t="shared" si="32"/>
        <v>-0.36</v>
      </c>
    </row>
    <row r="694" spans="1:20" x14ac:dyDescent="0.3">
      <c r="A694" s="1">
        <v>45323</v>
      </c>
      <c r="B694" s="1" t="str">
        <f t="shared" si="30"/>
        <v>Grofers_Kolkata CFA_Product_20_45323</v>
      </c>
      <c r="C694" s="2" t="s">
        <v>153</v>
      </c>
      <c r="D694" s="2" t="s">
        <v>154</v>
      </c>
      <c r="E694" s="2" t="s">
        <v>34</v>
      </c>
      <c r="F694" s="2" t="s">
        <v>114</v>
      </c>
      <c r="G694" s="2" t="s">
        <v>63</v>
      </c>
      <c r="H694" s="2" t="s">
        <v>47</v>
      </c>
      <c r="I694" s="2" t="s">
        <v>130</v>
      </c>
      <c r="J694" t="s">
        <v>31</v>
      </c>
      <c r="K694">
        <v>4</v>
      </c>
      <c r="L694" s="3"/>
      <c r="M694" s="3"/>
      <c r="N694" s="3"/>
      <c r="O694" s="3">
        <f t="shared" si="31"/>
        <v>0</v>
      </c>
      <c r="P694">
        <v>383.52</v>
      </c>
      <c r="Q694">
        <v>293</v>
      </c>
      <c r="R694">
        <v>0</v>
      </c>
      <c r="S694">
        <v>125</v>
      </c>
      <c r="T694">
        <f t="shared" si="32"/>
        <v>3.3552</v>
      </c>
    </row>
    <row r="695" spans="1:20" x14ac:dyDescent="0.3">
      <c r="A695" s="1">
        <v>45323</v>
      </c>
      <c r="B695" s="1" t="str">
        <f t="shared" si="30"/>
        <v>Reliance_Bhiwandi_Product_8_45323</v>
      </c>
      <c r="C695" s="2" t="s">
        <v>64</v>
      </c>
      <c r="D695" s="2" t="s">
        <v>65</v>
      </c>
      <c r="E695" s="2" t="s">
        <v>34</v>
      </c>
      <c r="F695" s="2" t="s">
        <v>51</v>
      </c>
      <c r="G695" s="2" t="s">
        <v>66</v>
      </c>
      <c r="H695" s="2" t="s">
        <v>67</v>
      </c>
      <c r="I695" s="2" t="s">
        <v>68</v>
      </c>
      <c r="J695" t="s">
        <v>31</v>
      </c>
      <c r="K695">
        <v>2</v>
      </c>
      <c r="L695" s="3"/>
      <c r="M695" s="3"/>
      <c r="N695" s="3"/>
      <c r="O695" s="3">
        <f t="shared" si="31"/>
        <v>0</v>
      </c>
      <c r="P695">
        <v>383.52</v>
      </c>
      <c r="Q695">
        <v>251</v>
      </c>
      <c r="R695">
        <v>0</v>
      </c>
      <c r="S695">
        <v>126</v>
      </c>
      <c r="T695">
        <f t="shared" si="32"/>
        <v>0</v>
      </c>
    </row>
    <row r="696" spans="1:20" x14ac:dyDescent="0.3">
      <c r="A696" s="1">
        <v>45323</v>
      </c>
      <c r="B696" s="1" t="str">
        <f t="shared" si="30"/>
        <v>Reliance_Ahmedabad_Product_5_45323</v>
      </c>
      <c r="C696" s="2" t="s">
        <v>49</v>
      </c>
      <c r="D696" s="2" t="s">
        <v>50</v>
      </c>
      <c r="E696" s="2" t="s">
        <v>34</v>
      </c>
      <c r="F696" s="2" t="s">
        <v>51</v>
      </c>
      <c r="G696" s="2" t="s">
        <v>52</v>
      </c>
      <c r="H696" s="2" t="s">
        <v>53</v>
      </c>
      <c r="I696" s="2" t="s">
        <v>54</v>
      </c>
      <c r="J696" t="s">
        <v>31</v>
      </c>
      <c r="K696">
        <v>3</v>
      </c>
      <c r="L696" s="3"/>
      <c r="M696" s="3"/>
      <c r="N696" s="3"/>
      <c r="O696" s="3">
        <f t="shared" si="31"/>
        <v>0</v>
      </c>
      <c r="P696">
        <v>672</v>
      </c>
      <c r="Q696">
        <v>262</v>
      </c>
      <c r="R696">
        <v>0</v>
      </c>
      <c r="S696">
        <v>132</v>
      </c>
      <c r="T696">
        <f t="shared" si="32"/>
        <v>2.8848000000000003</v>
      </c>
    </row>
    <row r="697" spans="1:20" x14ac:dyDescent="0.3">
      <c r="A697" s="1">
        <v>45323</v>
      </c>
      <c r="B697" s="1" t="str">
        <f t="shared" si="30"/>
        <v>Swiggy_Kolkata CFA_Product_20_45323</v>
      </c>
      <c r="C697" s="2" t="s">
        <v>128</v>
      </c>
      <c r="D697" s="2" t="s">
        <v>129</v>
      </c>
      <c r="E697" s="2" t="s">
        <v>34</v>
      </c>
      <c r="F697" s="2" t="s">
        <v>35</v>
      </c>
      <c r="G697" s="2" t="s">
        <v>63</v>
      </c>
      <c r="H697" s="2" t="s">
        <v>47</v>
      </c>
      <c r="I697" s="2" t="s">
        <v>130</v>
      </c>
      <c r="J697" t="s">
        <v>31</v>
      </c>
      <c r="K697">
        <v>1</v>
      </c>
      <c r="L697" s="3"/>
      <c r="M697" s="3"/>
      <c r="N697" s="3"/>
      <c r="O697" s="3">
        <f t="shared" si="31"/>
        <v>0</v>
      </c>
      <c r="P697">
        <v>672</v>
      </c>
      <c r="Q697">
        <v>112</v>
      </c>
      <c r="R697">
        <v>5</v>
      </c>
      <c r="S697">
        <v>125</v>
      </c>
      <c r="T697">
        <f t="shared" si="32"/>
        <v>0</v>
      </c>
    </row>
    <row r="698" spans="1:20" x14ac:dyDescent="0.3">
      <c r="A698" s="1">
        <v>45323</v>
      </c>
      <c r="B698" s="1" t="str">
        <f t="shared" si="30"/>
        <v>Grofers_Mundka_Product_21_45323</v>
      </c>
      <c r="C698" s="2" t="s">
        <v>131</v>
      </c>
      <c r="D698" s="2" t="s">
        <v>132</v>
      </c>
      <c r="E698" s="2" t="s">
        <v>34</v>
      </c>
      <c r="F698" s="2" t="s">
        <v>114</v>
      </c>
      <c r="G698" s="2" t="s">
        <v>36</v>
      </c>
      <c r="H698" s="2" t="s">
        <v>133</v>
      </c>
      <c r="I698" s="2" t="s">
        <v>134</v>
      </c>
      <c r="J698" t="s">
        <v>31</v>
      </c>
      <c r="K698">
        <v>6</v>
      </c>
      <c r="L698" s="3"/>
      <c r="M698" s="3"/>
      <c r="N698" s="3"/>
      <c r="O698" s="3">
        <f t="shared" si="31"/>
        <v>0</v>
      </c>
      <c r="P698">
        <v>421.92</v>
      </c>
      <c r="Q698">
        <v>495</v>
      </c>
      <c r="R698">
        <v>0</v>
      </c>
      <c r="S698">
        <v>115</v>
      </c>
      <c r="T698">
        <f t="shared" si="32"/>
        <v>-2.5007999999999999</v>
      </c>
    </row>
    <row r="699" spans="1:20" x14ac:dyDescent="0.3">
      <c r="A699" s="1">
        <v>45323</v>
      </c>
      <c r="B699" s="1" t="str">
        <f t="shared" si="30"/>
        <v>Reliance_Bhiwandi_Product_11_45323</v>
      </c>
      <c r="C699" s="2" t="s">
        <v>87</v>
      </c>
      <c r="D699" s="2" t="s">
        <v>88</v>
      </c>
      <c r="E699" s="2" t="s">
        <v>34</v>
      </c>
      <c r="F699" s="2" t="s">
        <v>51</v>
      </c>
      <c r="G699" s="2" t="s">
        <v>66</v>
      </c>
      <c r="H699" s="2" t="s">
        <v>67</v>
      </c>
      <c r="I699" s="2" t="s">
        <v>89</v>
      </c>
      <c r="J699" t="s">
        <v>31</v>
      </c>
      <c r="K699">
        <v>3</v>
      </c>
      <c r="L699" s="3"/>
      <c r="M699" s="3"/>
      <c r="N699" s="3"/>
      <c r="O699" s="3">
        <f t="shared" si="31"/>
        <v>0</v>
      </c>
      <c r="P699">
        <v>421.92</v>
      </c>
      <c r="Q699">
        <v>192</v>
      </c>
      <c r="R699">
        <v>0</v>
      </c>
      <c r="S699">
        <v>131</v>
      </c>
      <c r="T699">
        <f t="shared" si="32"/>
        <v>0</v>
      </c>
    </row>
    <row r="700" spans="1:20" x14ac:dyDescent="0.3">
      <c r="A700" s="1">
        <v>45323</v>
      </c>
      <c r="B700" s="1" t="str">
        <f t="shared" si="30"/>
        <v>Reliance_Bhiwandi_Product_10_45323</v>
      </c>
      <c r="C700" s="2" t="s">
        <v>85</v>
      </c>
      <c r="D700" s="2" t="s">
        <v>86</v>
      </c>
      <c r="E700" s="2" t="s">
        <v>34</v>
      </c>
      <c r="F700" s="2" t="s">
        <v>51</v>
      </c>
      <c r="G700" s="2" t="s">
        <v>66</v>
      </c>
      <c r="H700" s="2" t="s">
        <v>67</v>
      </c>
      <c r="I700" s="2" t="s">
        <v>76</v>
      </c>
      <c r="J700" t="s">
        <v>31</v>
      </c>
      <c r="K700">
        <v>4</v>
      </c>
      <c r="L700" s="3"/>
      <c r="M700" s="3"/>
      <c r="N700" s="3"/>
      <c r="O700" s="3">
        <f t="shared" si="31"/>
        <v>0</v>
      </c>
      <c r="P700">
        <v>748.8</v>
      </c>
      <c r="Q700">
        <v>231</v>
      </c>
      <c r="R700">
        <v>1</v>
      </c>
      <c r="S700">
        <v>106</v>
      </c>
      <c r="T700">
        <f t="shared" si="32"/>
        <v>3.2687999999999993</v>
      </c>
    </row>
    <row r="701" spans="1:20" x14ac:dyDescent="0.3">
      <c r="A701" s="1">
        <v>45323</v>
      </c>
      <c r="B701" s="1" t="str">
        <f t="shared" si="30"/>
        <v>Maharashtra_MH-Aggregated_Product_9_45323</v>
      </c>
      <c r="C701" s="2" t="s">
        <v>69</v>
      </c>
      <c r="D701" s="2" t="s">
        <v>70</v>
      </c>
      <c r="E701" s="2" t="s">
        <v>26</v>
      </c>
      <c r="F701" s="2" t="s">
        <v>41</v>
      </c>
      <c r="G701" s="2" t="s">
        <v>42</v>
      </c>
      <c r="H701" s="2" t="s">
        <v>37</v>
      </c>
      <c r="I701" s="2" t="s">
        <v>71</v>
      </c>
      <c r="J701" t="s">
        <v>31</v>
      </c>
      <c r="K701">
        <v>2</v>
      </c>
      <c r="L701" s="3"/>
      <c r="M701" s="3"/>
      <c r="N701" s="3"/>
      <c r="O701" s="3">
        <f t="shared" si="31"/>
        <v>0</v>
      </c>
      <c r="P701">
        <v>748.8</v>
      </c>
      <c r="Q701">
        <v>435</v>
      </c>
      <c r="R701">
        <v>2</v>
      </c>
      <c r="S701">
        <v>119</v>
      </c>
      <c r="T701">
        <f t="shared" si="32"/>
        <v>0</v>
      </c>
    </row>
    <row r="702" spans="1:20" x14ac:dyDescent="0.3">
      <c r="A702" s="1">
        <v>45323</v>
      </c>
      <c r="B702" s="1" t="str">
        <f t="shared" si="30"/>
        <v>Reliance_Ahmedabad_Product_9_45323</v>
      </c>
      <c r="C702" s="2" t="s">
        <v>151</v>
      </c>
      <c r="D702" s="2" t="s">
        <v>152</v>
      </c>
      <c r="E702" s="2" t="s">
        <v>34</v>
      </c>
      <c r="F702" s="2" t="s">
        <v>51</v>
      </c>
      <c r="G702" s="2" t="s">
        <v>52</v>
      </c>
      <c r="H702" s="2" t="s">
        <v>37</v>
      </c>
      <c r="I702" s="2" t="s">
        <v>71</v>
      </c>
      <c r="J702" t="s">
        <v>31</v>
      </c>
      <c r="K702">
        <v>4</v>
      </c>
      <c r="L702" s="3"/>
      <c r="M702" s="3"/>
      <c r="N702" s="3"/>
      <c r="O702" s="3">
        <f t="shared" si="31"/>
        <v>0</v>
      </c>
      <c r="P702">
        <v>84</v>
      </c>
      <c r="Q702">
        <v>205</v>
      </c>
      <c r="R702">
        <v>0</v>
      </c>
      <c r="S702">
        <v>119</v>
      </c>
      <c r="T702">
        <f t="shared" si="32"/>
        <v>-6.6479999999999997</v>
      </c>
    </row>
    <row r="703" spans="1:20" x14ac:dyDescent="0.3">
      <c r="A703" s="1">
        <v>45323</v>
      </c>
      <c r="B703" s="1" t="str">
        <f t="shared" si="30"/>
        <v>Swiggy_Bangalore_Product_16_45323</v>
      </c>
      <c r="C703" s="2" t="s">
        <v>107</v>
      </c>
      <c r="D703" s="2" t="s">
        <v>108</v>
      </c>
      <c r="E703" s="2" t="s">
        <v>34</v>
      </c>
      <c r="F703" s="2" t="s">
        <v>35</v>
      </c>
      <c r="G703" s="2" t="s">
        <v>79</v>
      </c>
      <c r="H703" s="2" t="s">
        <v>47</v>
      </c>
      <c r="I703" s="2" t="s">
        <v>109</v>
      </c>
      <c r="J703" t="s">
        <v>31</v>
      </c>
      <c r="K703">
        <v>9</v>
      </c>
      <c r="L703" s="3"/>
      <c r="M703" s="3"/>
      <c r="N703" s="3"/>
      <c r="O703" s="3">
        <f t="shared" si="31"/>
        <v>0</v>
      </c>
      <c r="P703">
        <v>48</v>
      </c>
      <c r="Q703">
        <v>206</v>
      </c>
      <c r="R703">
        <v>2</v>
      </c>
      <c r="S703">
        <v>122</v>
      </c>
      <c r="T703">
        <f t="shared" si="32"/>
        <v>-0.36</v>
      </c>
    </row>
    <row r="704" spans="1:20" x14ac:dyDescent="0.3">
      <c r="A704" s="1">
        <v>45323</v>
      </c>
      <c r="B704" s="1" t="str">
        <f t="shared" si="30"/>
        <v>Reliance_Kolkata CFA_Product_12_45323</v>
      </c>
      <c r="C704" s="2" t="s">
        <v>101</v>
      </c>
      <c r="D704" s="2" t="s">
        <v>102</v>
      </c>
      <c r="E704" s="2" t="s">
        <v>34</v>
      </c>
      <c r="F704" s="2" t="s">
        <v>51</v>
      </c>
      <c r="G704" s="2" t="s">
        <v>63</v>
      </c>
      <c r="H704" s="2" t="s">
        <v>67</v>
      </c>
      <c r="I704" s="2" t="s">
        <v>92</v>
      </c>
      <c r="J704" t="s">
        <v>31</v>
      </c>
      <c r="K704">
        <v>14</v>
      </c>
      <c r="L704" s="3"/>
      <c r="M704" s="3"/>
      <c r="N704" s="3"/>
      <c r="O704" s="3">
        <f t="shared" si="31"/>
        <v>0</v>
      </c>
      <c r="P704">
        <v>383.52</v>
      </c>
      <c r="Q704">
        <v>295</v>
      </c>
      <c r="R704">
        <v>12</v>
      </c>
      <c r="S704">
        <v>94</v>
      </c>
      <c r="T704">
        <f t="shared" si="32"/>
        <v>3.3552</v>
      </c>
    </row>
    <row r="705" spans="1:20" x14ac:dyDescent="0.3">
      <c r="A705" s="1">
        <v>45323</v>
      </c>
      <c r="B705" s="1" t="str">
        <f t="shared" si="30"/>
        <v>Reliance_Bangalore_Product_13_45323</v>
      </c>
      <c r="C705" s="2" t="s">
        <v>93</v>
      </c>
      <c r="D705" s="2" t="s">
        <v>94</v>
      </c>
      <c r="E705" s="2" t="s">
        <v>34</v>
      </c>
      <c r="F705" s="2" t="s">
        <v>51</v>
      </c>
      <c r="G705" s="2" t="s">
        <v>79</v>
      </c>
      <c r="H705" s="2" t="s">
        <v>67</v>
      </c>
      <c r="I705" s="2" t="s">
        <v>95</v>
      </c>
      <c r="J705" t="s">
        <v>31</v>
      </c>
      <c r="K705">
        <v>3</v>
      </c>
      <c r="L705" s="3"/>
      <c r="M705" s="3"/>
      <c r="N705" s="3"/>
      <c r="O705" s="3">
        <f t="shared" si="31"/>
        <v>0</v>
      </c>
      <c r="P705">
        <v>383.52</v>
      </c>
      <c r="Q705">
        <v>404</v>
      </c>
      <c r="R705">
        <v>3</v>
      </c>
      <c r="S705">
        <v>113</v>
      </c>
      <c r="T705">
        <f t="shared" si="32"/>
        <v>0</v>
      </c>
    </row>
    <row r="706" spans="1:20" x14ac:dyDescent="0.3">
      <c r="A706" s="1">
        <v>45323</v>
      </c>
      <c r="B706" s="1" t="str">
        <f t="shared" si="30"/>
        <v>Reliance_Ahmedabad_Product_18_45323</v>
      </c>
      <c r="C706" s="2" t="s">
        <v>121</v>
      </c>
      <c r="D706" s="2" t="s">
        <v>122</v>
      </c>
      <c r="E706" s="2" t="s">
        <v>34</v>
      </c>
      <c r="F706" s="2" t="s">
        <v>51</v>
      </c>
      <c r="G706" s="2" t="s">
        <v>52</v>
      </c>
      <c r="H706" s="2" t="s">
        <v>29</v>
      </c>
      <c r="I706" s="2" t="s">
        <v>123</v>
      </c>
      <c r="J706" t="s">
        <v>31</v>
      </c>
      <c r="K706">
        <v>6</v>
      </c>
      <c r="L706" s="3"/>
      <c r="M706" s="3"/>
      <c r="N706" s="3"/>
      <c r="O706" s="3">
        <f t="shared" si="31"/>
        <v>0</v>
      </c>
      <c r="P706">
        <v>672</v>
      </c>
      <c r="Q706">
        <v>311</v>
      </c>
      <c r="R706">
        <v>0</v>
      </c>
      <c r="S706">
        <v>129</v>
      </c>
      <c r="T706">
        <f t="shared" si="32"/>
        <v>2.8848000000000003</v>
      </c>
    </row>
    <row r="707" spans="1:20" x14ac:dyDescent="0.3">
      <c r="A707" s="1">
        <v>45323</v>
      </c>
      <c r="B707" s="1" t="str">
        <f t="shared" ref="B707:B770" si="33">C707&amp;"_"&amp;A707</f>
        <v>Grofers_Hyderabad_Product_21_45323</v>
      </c>
      <c r="C707" s="2" t="s">
        <v>135</v>
      </c>
      <c r="D707" s="2" t="s">
        <v>136</v>
      </c>
      <c r="E707" s="2" t="s">
        <v>34</v>
      </c>
      <c r="F707" s="2" t="s">
        <v>114</v>
      </c>
      <c r="G707" s="2" t="s">
        <v>137</v>
      </c>
      <c r="H707" s="2" t="s">
        <v>133</v>
      </c>
      <c r="I707" s="2" t="s">
        <v>134</v>
      </c>
      <c r="J707" t="s">
        <v>31</v>
      </c>
      <c r="K707">
        <v>1</v>
      </c>
      <c r="L707" s="3"/>
      <c r="M707" s="3"/>
      <c r="N707" s="3"/>
      <c r="O707" s="3">
        <f t="shared" ref="O707:O770" si="34">L707</f>
        <v>0</v>
      </c>
      <c r="P707">
        <v>672</v>
      </c>
      <c r="Q707">
        <v>435</v>
      </c>
      <c r="R707">
        <v>0</v>
      </c>
      <c r="S707">
        <v>115</v>
      </c>
      <c r="T707">
        <f t="shared" si="32"/>
        <v>0</v>
      </c>
    </row>
    <row r="708" spans="1:20" x14ac:dyDescent="0.3">
      <c r="A708" s="1">
        <v>45323</v>
      </c>
      <c r="B708" s="1" t="str">
        <f t="shared" si="33"/>
        <v>Jharkhand_JH-Aggregated_Product_19_45323</v>
      </c>
      <c r="C708" s="2" t="s">
        <v>124</v>
      </c>
      <c r="D708" s="2" t="s">
        <v>125</v>
      </c>
      <c r="E708" s="2" t="s">
        <v>26</v>
      </c>
      <c r="F708" s="2" t="s">
        <v>27</v>
      </c>
      <c r="G708" s="2" t="s">
        <v>28</v>
      </c>
      <c r="H708" s="2" t="s">
        <v>126</v>
      </c>
      <c r="I708" s="2" t="s">
        <v>127</v>
      </c>
      <c r="J708" t="s">
        <v>31</v>
      </c>
      <c r="K708">
        <v>32</v>
      </c>
      <c r="L708" s="3"/>
      <c r="M708" s="3"/>
      <c r="N708" s="3"/>
      <c r="O708" s="3">
        <f t="shared" si="34"/>
        <v>0</v>
      </c>
      <c r="P708">
        <v>421.92</v>
      </c>
      <c r="Q708">
        <v>380</v>
      </c>
      <c r="R708">
        <v>5</v>
      </c>
      <c r="S708">
        <v>94</v>
      </c>
      <c r="T708">
        <f t="shared" ref="T708:T771" si="35">(P708-P707)/100</f>
        <v>-2.5007999999999999</v>
      </c>
    </row>
    <row r="709" spans="1:20" x14ac:dyDescent="0.3">
      <c r="A709" s="1">
        <v>45323</v>
      </c>
      <c r="B709" s="1" t="str">
        <f t="shared" si="33"/>
        <v>Zepto_Bangalore_Product_12_45323</v>
      </c>
      <c r="C709" s="2" t="s">
        <v>90</v>
      </c>
      <c r="D709" s="2" t="s">
        <v>91</v>
      </c>
      <c r="E709" s="2" t="s">
        <v>34</v>
      </c>
      <c r="F709" s="2" t="s">
        <v>46</v>
      </c>
      <c r="G709" s="2" t="s">
        <v>79</v>
      </c>
      <c r="H709" s="2" t="s">
        <v>67</v>
      </c>
      <c r="I709" s="2" t="s">
        <v>92</v>
      </c>
      <c r="J709" t="s">
        <v>31</v>
      </c>
      <c r="K709">
        <v>6</v>
      </c>
      <c r="L709" s="3"/>
      <c r="M709" s="3"/>
      <c r="N709" s="3"/>
      <c r="O709" s="3">
        <f t="shared" si="34"/>
        <v>0</v>
      </c>
      <c r="P709">
        <v>421.92</v>
      </c>
      <c r="Q709">
        <v>472</v>
      </c>
      <c r="R709">
        <v>7</v>
      </c>
      <c r="S709">
        <v>94</v>
      </c>
      <c r="T709">
        <f t="shared" si="35"/>
        <v>0</v>
      </c>
    </row>
    <row r="710" spans="1:20" x14ac:dyDescent="0.3">
      <c r="A710" s="1">
        <v>45323</v>
      </c>
      <c r="B710" s="1" t="str">
        <f t="shared" si="33"/>
        <v>Reliance_Mundka_Product_6_45323</v>
      </c>
      <c r="C710" s="2" t="s">
        <v>55</v>
      </c>
      <c r="D710" s="2" t="s">
        <v>56</v>
      </c>
      <c r="E710" s="2" t="s">
        <v>34</v>
      </c>
      <c r="F710" s="2" t="s">
        <v>51</v>
      </c>
      <c r="G710" s="2" t="s">
        <v>36</v>
      </c>
      <c r="H710" s="2" t="s">
        <v>37</v>
      </c>
      <c r="I710" s="2" t="s">
        <v>57</v>
      </c>
      <c r="J710" t="s">
        <v>31</v>
      </c>
      <c r="K710">
        <v>11</v>
      </c>
      <c r="L710" s="3"/>
      <c r="M710" s="3"/>
      <c r="N710" s="3"/>
      <c r="O710" s="3">
        <f t="shared" si="34"/>
        <v>0</v>
      </c>
      <c r="P710">
        <v>748.8</v>
      </c>
      <c r="Q710">
        <v>328</v>
      </c>
      <c r="R710">
        <v>0</v>
      </c>
      <c r="S710">
        <v>135</v>
      </c>
      <c r="T710">
        <f t="shared" si="35"/>
        <v>3.2687999999999993</v>
      </c>
    </row>
    <row r="711" spans="1:20" x14ac:dyDescent="0.3">
      <c r="A711" s="1">
        <v>45323</v>
      </c>
      <c r="B711" s="1" t="str">
        <f t="shared" si="33"/>
        <v>Grofers_Ahmedabad_Product_8_45323</v>
      </c>
      <c r="C711" s="2" t="s">
        <v>157</v>
      </c>
      <c r="D711" s="2" t="s">
        <v>158</v>
      </c>
      <c r="E711" s="2" t="s">
        <v>34</v>
      </c>
      <c r="F711" s="2" t="s">
        <v>114</v>
      </c>
      <c r="G711" s="2" t="s">
        <v>52</v>
      </c>
      <c r="H711" s="2" t="s">
        <v>67</v>
      </c>
      <c r="I711" s="2" t="s">
        <v>68</v>
      </c>
      <c r="J711" t="s">
        <v>31</v>
      </c>
      <c r="K711">
        <v>2</v>
      </c>
      <c r="L711" s="3"/>
      <c r="M711" s="3"/>
      <c r="N711" s="3"/>
      <c r="O711" s="3">
        <f t="shared" si="34"/>
        <v>0</v>
      </c>
      <c r="P711">
        <v>748.8</v>
      </c>
      <c r="Q711">
        <v>377</v>
      </c>
      <c r="R711">
        <v>4</v>
      </c>
      <c r="S711">
        <v>126</v>
      </c>
      <c r="T711">
        <f t="shared" si="35"/>
        <v>0</v>
      </c>
    </row>
    <row r="712" spans="1:20" x14ac:dyDescent="0.3">
      <c r="A712" s="1">
        <v>45323</v>
      </c>
      <c r="B712" s="1" t="str">
        <f t="shared" si="33"/>
        <v>Reliance_Chennai_Product_11_45323</v>
      </c>
      <c r="C712" s="2" t="s">
        <v>110</v>
      </c>
      <c r="D712" s="2" t="s">
        <v>111</v>
      </c>
      <c r="E712" s="2" t="s">
        <v>34</v>
      </c>
      <c r="F712" s="2" t="s">
        <v>51</v>
      </c>
      <c r="G712" s="2" t="s">
        <v>84</v>
      </c>
      <c r="H712" s="2" t="s">
        <v>67</v>
      </c>
      <c r="I712" s="2" t="s">
        <v>89</v>
      </c>
      <c r="J712" t="s">
        <v>31</v>
      </c>
      <c r="K712">
        <v>19</v>
      </c>
      <c r="L712" s="3"/>
      <c r="M712" s="3"/>
      <c r="N712" s="3"/>
      <c r="O712" s="3">
        <f t="shared" si="34"/>
        <v>0</v>
      </c>
      <c r="P712">
        <v>84</v>
      </c>
      <c r="Q712">
        <v>411</v>
      </c>
      <c r="R712">
        <v>2</v>
      </c>
      <c r="S712">
        <v>131</v>
      </c>
      <c r="T712">
        <f t="shared" si="35"/>
        <v>-6.6479999999999997</v>
      </c>
    </row>
    <row r="713" spans="1:20" x14ac:dyDescent="0.3">
      <c r="A713" s="1">
        <v>45323</v>
      </c>
      <c r="B713" s="1" t="str">
        <f t="shared" si="33"/>
        <v>Swiggy_Kolkata CFA_Product_11_45323</v>
      </c>
      <c r="C713" s="2" t="s">
        <v>119</v>
      </c>
      <c r="D713" s="2" t="s">
        <v>120</v>
      </c>
      <c r="E713" s="2" t="s">
        <v>34</v>
      </c>
      <c r="F713" s="2" t="s">
        <v>35</v>
      </c>
      <c r="G713" s="2" t="s">
        <v>63</v>
      </c>
      <c r="H713" s="2" t="s">
        <v>67</v>
      </c>
      <c r="I713" s="2" t="s">
        <v>89</v>
      </c>
      <c r="J713" t="s">
        <v>31</v>
      </c>
      <c r="K713">
        <v>42</v>
      </c>
      <c r="L713" s="3"/>
      <c r="M713" s="3"/>
      <c r="N713" s="3"/>
      <c r="O713" s="3">
        <f t="shared" si="34"/>
        <v>0</v>
      </c>
      <c r="P713">
        <v>48</v>
      </c>
      <c r="Q713">
        <v>217</v>
      </c>
      <c r="R713">
        <v>0</v>
      </c>
      <c r="S713">
        <v>131</v>
      </c>
      <c r="T713">
        <f t="shared" si="35"/>
        <v>-0.36</v>
      </c>
    </row>
    <row r="714" spans="1:20" x14ac:dyDescent="0.3">
      <c r="A714" s="1">
        <v>45323</v>
      </c>
      <c r="B714" s="1" t="str">
        <f t="shared" si="33"/>
        <v>Reliance_Ahmedabad_Product_7_45323</v>
      </c>
      <c r="C714" s="2" t="s">
        <v>99</v>
      </c>
      <c r="D714" s="2" t="s">
        <v>100</v>
      </c>
      <c r="E714" s="2" t="s">
        <v>34</v>
      </c>
      <c r="F714" s="2" t="s">
        <v>51</v>
      </c>
      <c r="G714" s="2" t="s">
        <v>52</v>
      </c>
      <c r="H714" s="2" t="s">
        <v>37</v>
      </c>
      <c r="I714" s="2" t="s">
        <v>60</v>
      </c>
      <c r="J714" t="s">
        <v>31</v>
      </c>
      <c r="K714">
        <v>30</v>
      </c>
      <c r="L714" s="3"/>
      <c r="M714" s="3"/>
      <c r="N714" s="3"/>
      <c r="O714" s="3">
        <f t="shared" si="34"/>
        <v>0</v>
      </c>
      <c r="P714">
        <v>383.52</v>
      </c>
      <c r="Q714">
        <v>343</v>
      </c>
      <c r="R714">
        <v>10</v>
      </c>
      <c r="S714">
        <v>117</v>
      </c>
      <c r="T714">
        <f t="shared" si="35"/>
        <v>3.3552</v>
      </c>
    </row>
    <row r="715" spans="1:20" x14ac:dyDescent="0.3">
      <c r="A715" s="1">
        <v>45352</v>
      </c>
      <c r="B715" s="1" t="str">
        <f t="shared" si="33"/>
        <v>Reliance_Bhiwandi_Product_11_45352</v>
      </c>
      <c r="C715" s="2" t="s">
        <v>87</v>
      </c>
      <c r="D715" s="2" t="s">
        <v>88</v>
      </c>
      <c r="E715" s="2" t="s">
        <v>34</v>
      </c>
      <c r="F715" s="2" t="s">
        <v>51</v>
      </c>
      <c r="G715" s="2" t="s">
        <v>66</v>
      </c>
      <c r="H715" s="2" t="s">
        <v>67</v>
      </c>
      <c r="I715" s="2" t="s">
        <v>89</v>
      </c>
      <c r="J715" t="s">
        <v>31</v>
      </c>
      <c r="K715">
        <v>5</v>
      </c>
      <c r="L715" s="3"/>
      <c r="M715" s="3"/>
      <c r="N715" s="3"/>
      <c r="O715" s="3">
        <f t="shared" si="34"/>
        <v>0</v>
      </c>
      <c r="P715">
        <v>383.52</v>
      </c>
      <c r="Q715">
        <v>160</v>
      </c>
      <c r="R715">
        <v>0</v>
      </c>
      <c r="S715">
        <v>131</v>
      </c>
      <c r="T715">
        <f t="shared" si="35"/>
        <v>0</v>
      </c>
    </row>
    <row r="716" spans="1:20" x14ac:dyDescent="0.3">
      <c r="A716" s="1">
        <v>45352</v>
      </c>
      <c r="B716" s="1" t="str">
        <f t="shared" si="33"/>
        <v>Jharkhand_JH-Aggregated_Product_19_45352</v>
      </c>
      <c r="C716" s="2" t="s">
        <v>124</v>
      </c>
      <c r="D716" s="2" t="s">
        <v>125</v>
      </c>
      <c r="E716" s="2" t="s">
        <v>26</v>
      </c>
      <c r="F716" s="2" t="s">
        <v>27</v>
      </c>
      <c r="G716" s="2" t="s">
        <v>28</v>
      </c>
      <c r="H716" s="2" t="s">
        <v>126</v>
      </c>
      <c r="I716" s="2" t="s">
        <v>127</v>
      </c>
      <c r="J716" t="s">
        <v>31</v>
      </c>
      <c r="K716">
        <v>12</v>
      </c>
      <c r="L716" s="3"/>
      <c r="M716" s="3"/>
      <c r="N716" s="3"/>
      <c r="O716" s="3">
        <f t="shared" si="34"/>
        <v>0</v>
      </c>
      <c r="P716">
        <v>672</v>
      </c>
      <c r="Q716">
        <v>436</v>
      </c>
      <c r="R716">
        <v>0</v>
      </c>
      <c r="S716">
        <v>94</v>
      </c>
      <c r="T716">
        <f t="shared" si="35"/>
        <v>2.8848000000000003</v>
      </c>
    </row>
    <row r="717" spans="1:20" x14ac:dyDescent="0.3">
      <c r="A717" s="1">
        <v>45352</v>
      </c>
      <c r="B717" s="1" t="str">
        <f t="shared" si="33"/>
        <v>Reliance_Kolkata CFA_Product_12_45352</v>
      </c>
      <c r="C717" s="2" t="s">
        <v>101</v>
      </c>
      <c r="D717" s="2" t="s">
        <v>102</v>
      </c>
      <c r="E717" s="2" t="s">
        <v>34</v>
      </c>
      <c r="F717" s="2" t="s">
        <v>51</v>
      </c>
      <c r="G717" s="2" t="s">
        <v>63</v>
      </c>
      <c r="H717" s="2" t="s">
        <v>67</v>
      </c>
      <c r="I717" s="2" t="s">
        <v>92</v>
      </c>
      <c r="J717" t="s">
        <v>31</v>
      </c>
      <c r="K717">
        <v>3</v>
      </c>
      <c r="L717" s="3"/>
      <c r="M717" s="3"/>
      <c r="N717" s="3"/>
      <c r="O717" s="3">
        <f t="shared" si="34"/>
        <v>0</v>
      </c>
      <c r="P717">
        <v>672</v>
      </c>
      <c r="Q717">
        <v>235</v>
      </c>
      <c r="R717">
        <v>0</v>
      </c>
      <c r="S717">
        <v>94</v>
      </c>
      <c r="T717">
        <f t="shared" si="35"/>
        <v>0</v>
      </c>
    </row>
    <row r="718" spans="1:20" x14ac:dyDescent="0.3">
      <c r="A718" s="1">
        <v>45352</v>
      </c>
      <c r="B718" s="1" t="str">
        <f t="shared" si="33"/>
        <v>Reliance_Ahmedabad_Product_9_45352</v>
      </c>
      <c r="C718" s="2" t="s">
        <v>151</v>
      </c>
      <c r="D718" s="2" t="s">
        <v>152</v>
      </c>
      <c r="E718" s="2" t="s">
        <v>34</v>
      </c>
      <c r="F718" s="2" t="s">
        <v>51</v>
      </c>
      <c r="G718" s="2" t="s">
        <v>52</v>
      </c>
      <c r="H718" s="2" t="s">
        <v>37</v>
      </c>
      <c r="I718" s="2" t="s">
        <v>71</v>
      </c>
      <c r="J718" t="s">
        <v>31</v>
      </c>
      <c r="K718">
        <v>72</v>
      </c>
      <c r="L718" s="3"/>
      <c r="M718" s="3"/>
      <c r="N718" s="3"/>
      <c r="O718" s="3">
        <f t="shared" si="34"/>
        <v>0</v>
      </c>
      <c r="P718">
        <v>421.92</v>
      </c>
      <c r="Q718">
        <v>332</v>
      </c>
      <c r="R718">
        <v>8</v>
      </c>
      <c r="S718">
        <v>119</v>
      </c>
      <c r="T718">
        <f t="shared" si="35"/>
        <v>-2.5007999999999999</v>
      </c>
    </row>
    <row r="719" spans="1:20" x14ac:dyDescent="0.3">
      <c r="A719" s="1">
        <v>45352</v>
      </c>
      <c r="B719" s="1" t="str">
        <f t="shared" si="33"/>
        <v>Swiggy_Chennai_Product_3_45352</v>
      </c>
      <c r="C719" s="2" t="s">
        <v>82</v>
      </c>
      <c r="D719" s="2" t="s">
        <v>83</v>
      </c>
      <c r="E719" s="2" t="s">
        <v>34</v>
      </c>
      <c r="F719" s="2" t="s">
        <v>35</v>
      </c>
      <c r="G719" s="2" t="s">
        <v>84</v>
      </c>
      <c r="H719" s="2" t="s">
        <v>37</v>
      </c>
      <c r="I719" s="2" t="s">
        <v>43</v>
      </c>
      <c r="J719" t="s">
        <v>31</v>
      </c>
      <c r="K719">
        <v>11</v>
      </c>
      <c r="L719" s="3"/>
      <c r="M719" s="3"/>
      <c r="N719" s="3"/>
      <c r="O719" s="3">
        <f t="shared" si="34"/>
        <v>0</v>
      </c>
      <c r="P719">
        <v>421.92</v>
      </c>
      <c r="Q719">
        <v>446</v>
      </c>
      <c r="R719">
        <v>6</v>
      </c>
      <c r="S719">
        <v>127</v>
      </c>
      <c r="T719">
        <f t="shared" si="35"/>
        <v>0</v>
      </c>
    </row>
    <row r="720" spans="1:20" x14ac:dyDescent="0.3">
      <c r="A720" s="1">
        <v>45352</v>
      </c>
      <c r="B720" s="1" t="str">
        <f t="shared" si="33"/>
        <v>Zepto_Mundka_Product_3_45352</v>
      </c>
      <c r="C720" s="2" t="s">
        <v>72</v>
      </c>
      <c r="D720" s="2" t="s">
        <v>73</v>
      </c>
      <c r="E720" s="2" t="s">
        <v>34</v>
      </c>
      <c r="F720" s="2" t="s">
        <v>46</v>
      </c>
      <c r="G720" s="2" t="s">
        <v>36</v>
      </c>
      <c r="H720" s="2" t="s">
        <v>37</v>
      </c>
      <c r="I720" s="2" t="s">
        <v>43</v>
      </c>
      <c r="J720" t="s">
        <v>31</v>
      </c>
      <c r="K720">
        <v>22</v>
      </c>
      <c r="L720" s="3"/>
      <c r="M720" s="3"/>
      <c r="N720" s="3"/>
      <c r="O720" s="3">
        <f t="shared" si="34"/>
        <v>0</v>
      </c>
      <c r="P720">
        <v>748.8</v>
      </c>
      <c r="Q720">
        <v>445</v>
      </c>
      <c r="R720">
        <v>0</v>
      </c>
      <c r="S720">
        <v>127</v>
      </c>
      <c r="T720">
        <f t="shared" si="35"/>
        <v>3.2687999999999993</v>
      </c>
    </row>
    <row r="721" spans="1:20" x14ac:dyDescent="0.3">
      <c r="A721" s="1">
        <v>45352</v>
      </c>
      <c r="B721" s="1" t="str">
        <f t="shared" si="33"/>
        <v>Reliance_Bhiwandi_Product_10_45352</v>
      </c>
      <c r="C721" s="2" t="s">
        <v>85</v>
      </c>
      <c r="D721" s="2" t="s">
        <v>86</v>
      </c>
      <c r="E721" s="2" t="s">
        <v>34</v>
      </c>
      <c r="F721" s="2" t="s">
        <v>51</v>
      </c>
      <c r="G721" s="2" t="s">
        <v>66</v>
      </c>
      <c r="H721" s="2" t="s">
        <v>67</v>
      </c>
      <c r="I721" s="2" t="s">
        <v>76</v>
      </c>
      <c r="J721" t="s">
        <v>31</v>
      </c>
      <c r="K721">
        <v>4</v>
      </c>
      <c r="L721" s="3"/>
      <c r="M721" s="3"/>
      <c r="N721" s="3"/>
      <c r="O721" s="3">
        <f t="shared" si="34"/>
        <v>0</v>
      </c>
      <c r="P721">
        <v>748.8</v>
      </c>
      <c r="Q721">
        <v>398</v>
      </c>
      <c r="R721">
        <v>2</v>
      </c>
      <c r="S721">
        <v>106</v>
      </c>
      <c r="T721">
        <f t="shared" si="35"/>
        <v>0</v>
      </c>
    </row>
    <row r="722" spans="1:20" x14ac:dyDescent="0.3">
      <c r="A722" s="1">
        <v>45352</v>
      </c>
      <c r="B722" s="1" t="str">
        <f t="shared" si="33"/>
        <v>Grofers_Ahmedabad_Product_9_45352</v>
      </c>
      <c r="C722" s="2" t="s">
        <v>112</v>
      </c>
      <c r="D722" s="2" t="s">
        <v>113</v>
      </c>
      <c r="E722" s="2" t="s">
        <v>34</v>
      </c>
      <c r="F722" s="2" t="s">
        <v>114</v>
      </c>
      <c r="G722" s="2" t="s">
        <v>52</v>
      </c>
      <c r="H722" s="2" t="s">
        <v>37</v>
      </c>
      <c r="I722" s="2" t="s">
        <v>71</v>
      </c>
      <c r="J722" t="s">
        <v>31</v>
      </c>
      <c r="K722">
        <v>42</v>
      </c>
      <c r="L722" s="3"/>
      <c r="M722" s="3"/>
      <c r="N722" s="3"/>
      <c r="O722" s="3">
        <f t="shared" si="34"/>
        <v>0</v>
      </c>
      <c r="P722">
        <v>84</v>
      </c>
      <c r="Q722">
        <v>347</v>
      </c>
      <c r="R722">
        <v>0</v>
      </c>
      <c r="S722">
        <v>119</v>
      </c>
      <c r="T722">
        <f t="shared" si="35"/>
        <v>-6.6479999999999997</v>
      </c>
    </row>
    <row r="723" spans="1:20" x14ac:dyDescent="0.3">
      <c r="A723" s="1">
        <v>45352</v>
      </c>
      <c r="B723" s="1" t="str">
        <f t="shared" si="33"/>
        <v>Zepto_Bangalore_Product_12_45352</v>
      </c>
      <c r="C723" s="2" t="s">
        <v>90</v>
      </c>
      <c r="D723" s="2" t="s">
        <v>91</v>
      </c>
      <c r="E723" s="2" t="s">
        <v>34</v>
      </c>
      <c r="F723" s="2" t="s">
        <v>46</v>
      </c>
      <c r="G723" s="2" t="s">
        <v>79</v>
      </c>
      <c r="H723" s="2" t="s">
        <v>67</v>
      </c>
      <c r="I723" s="2" t="s">
        <v>92</v>
      </c>
      <c r="J723" t="s">
        <v>31</v>
      </c>
      <c r="K723">
        <v>95</v>
      </c>
      <c r="L723" s="3"/>
      <c r="M723" s="3"/>
      <c r="N723" s="3"/>
      <c r="O723" s="3">
        <f t="shared" si="34"/>
        <v>0</v>
      </c>
      <c r="P723">
        <v>48</v>
      </c>
      <c r="Q723">
        <v>250</v>
      </c>
      <c r="R723">
        <v>4</v>
      </c>
      <c r="S723">
        <v>94</v>
      </c>
      <c r="T723">
        <f t="shared" si="35"/>
        <v>-0.36</v>
      </c>
    </row>
    <row r="724" spans="1:20" x14ac:dyDescent="0.3">
      <c r="A724" s="1">
        <v>45352</v>
      </c>
      <c r="B724" s="1" t="str">
        <f t="shared" si="33"/>
        <v>Reliance_Bangalore_Product_3_45352</v>
      </c>
      <c r="C724" s="2" t="s">
        <v>80</v>
      </c>
      <c r="D724" s="2" t="s">
        <v>81</v>
      </c>
      <c r="E724" s="2" t="s">
        <v>34</v>
      </c>
      <c r="F724" s="2" t="s">
        <v>51</v>
      </c>
      <c r="G724" s="2" t="s">
        <v>79</v>
      </c>
      <c r="H724" s="2" t="s">
        <v>37</v>
      </c>
      <c r="I724" s="2" t="s">
        <v>43</v>
      </c>
      <c r="J724" t="s">
        <v>31</v>
      </c>
      <c r="K724">
        <v>3</v>
      </c>
      <c r="L724" s="3"/>
      <c r="M724" s="3"/>
      <c r="N724" s="3"/>
      <c r="O724" s="3">
        <f t="shared" si="34"/>
        <v>0</v>
      </c>
      <c r="P724">
        <v>383.52</v>
      </c>
      <c r="Q724">
        <v>390</v>
      </c>
      <c r="R724">
        <v>5</v>
      </c>
      <c r="S724">
        <v>127</v>
      </c>
      <c r="T724">
        <f t="shared" si="35"/>
        <v>3.3552</v>
      </c>
    </row>
    <row r="725" spans="1:20" x14ac:dyDescent="0.3">
      <c r="A725" s="1">
        <v>45352</v>
      </c>
      <c r="B725" s="1" t="str">
        <f t="shared" si="33"/>
        <v>Reliance_Chennai_Product_9_45352</v>
      </c>
      <c r="C725" s="2" t="s">
        <v>147</v>
      </c>
      <c r="D725" s="2" t="s">
        <v>148</v>
      </c>
      <c r="E725" s="2" t="s">
        <v>34</v>
      </c>
      <c r="F725" s="2" t="s">
        <v>51</v>
      </c>
      <c r="G725" s="2" t="s">
        <v>84</v>
      </c>
      <c r="H725" s="2" t="s">
        <v>37</v>
      </c>
      <c r="I725" s="2" t="s">
        <v>71</v>
      </c>
      <c r="J725" t="s">
        <v>31</v>
      </c>
      <c r="K725">
        <v>2</v>
      </c>
      <c r="L725" s="3"/>
      <c r="M725" s="3"/>
      <c r="N725" s="3"/>
      <c r="O725" s="3">
        <f t="shared" si="34"/>
        <v>0</v>
      </c>
      <c r="P725">
        <v>383.52</v>
      </c>
      <c r="Q725">
        <v>486</v>
      </c>
      <c r="R725">
        <v>5</v>
      </c>
      <c r="S725">
        <v>119</v>
      </c>
      <c r="T725">
        <f t="shared" si="35"/>
        <v>0</v>
      </c>
    </row>
    <row r="726" spans="1:20" x14ac:dyDescent="0.3">
      <c r="A726" s="1">
        <v>45352</v>
      </c>
      <c r="B726" s="1" t="str">
        <f t="shared" si="33"/>
        <v>Reliance_Ahmedabad_Product_18_45352</v>
      </c>
      <c r="C726" s="2" t="s">
        <v>121</v>
      </c>
      <c r="D726" s="2" t="s">
        <v>122</v>
      </c>
      <c r="E726" s="2" t="s">
        <v>34</v>
      </c>
      <c r="F726" s="2" t="s">
        <v>51</v>
      </c>
      <c r="G726" s="2" t="s">
        <v>52</v>
      </c>
      <c r="H726" s="2" t="s">
        <v>29</v>
      </c>
      <c r="I726" s="2" t="s">
        <v>123</v>
      </c>
      <c r="J726" t="s">
        <v>31</v>
      </c>
      <c r="K726">
        <v>2</v>
      </c>
      <c r="L726" s="3"/>
      <c r="M726" s="3"/>
      <c r="N726" s="3"/>
      <c r="O726" s="3">
        <f t="shared" si="34"/>
        <v>0</v>
      </c>
      <c r="P726">
        <v>672</v>
      </c>
      <c r="Q726">
        <v>390</v>
      </c>
      <c r="R726">
        <v>5</v>
      </c>
      <c r="S726">
        <v>129</v>
      </c>
      <c r="T726">
        <f t="shared" si="35"/>
        <v>2.8848000000000003</v>
      </c>
    </row>
    <row r="727" spans="1:20" x14ac:dyDescent="0.3">
      <c r="A727" s="1">
        <v>45352</v>
      </c>
      <c r="B727" s="1" t="str">
        <f t="shared" si="33"/>
        <v>Reliance_Chennai_Product_11_45352</v>
      </c>
      <c r="C727" s="2" t="s">
        <v>110</v>
      </c>
      <c r="D727" s="2" t="s">
        <v>111</v>
      </c>
      <c r="E727" s="2" t="s">
        <v>34</v>
      </c>
      <c r="F727" s="2" t="s">
        <v>51</v>
      </c>
      <c r="G727" s="2" t="s">
        <v>84</v>
      </c>
      <c r="H727" s="2" t="s">
        <v>67</v>
      </c>
      <c r="I727" s="2" t="s">
        <v>89</v>
      </c>
      <c r="J727" t="s">
        <v>31</v>
      </c>
      <c r="K727">
        <v>1</v>
      </c>
      <c r="L727" s="3"/>
      <c r="M727" s="3"/>
      <c r="N727" s="3"/>
      <c r="O727" s="3">
        <f t="shared" si="34"/>
        <v>0</v>
      </c>
      <c r="P727">
        <v>672</v>
      </c>
      <c r="Q727">
        <v>227</v>
      </c>
      <c r="R727">
        <v>0</v>
      </c>
      <c r="S727">
        <v>131</v>
      </c>
      <c r="T727">
        <f t="shared" si="35"/>
        <v>0</v>
      </c>
    </row>
    <row r="728" spans="1:20" x14ac:dyDescent="0.3">
      <c r="A728" s="1">
        <v>45352</v>
      </c>
      <c r="B728" s="1" t="str">
        <f t="shared" si="33"/>
        <v>Reliance_Bangalore_Product_13_45352</v>
      </c>
      <c r="C728" s="2" t="s">
        <v>93</v>
      </c>
      <c r="D728" s="2" t="s">
        <v>94</v>
      </c>
      <c r="E728" s="2" t="s">
        <v>34</v>
      </c>
      <c r="F728" s="2" t="s">
        <v>51</v>
      </c>
      <c r="G728" s="2" t="s">
        <v>79</v>
      </c>
      <c r="H728" s="2" t="s">
        <v>67</v>
      </c>
      <c r="I728" s="2" t="s">
        <v>95</v>
      </c>
      <c r="J728" t="s">
        <v>31</v>
      </c>
      <c r="K728">
        <v>5</v>
      </c>
      <c r="L728" s="3"/>
      <c r="M728" s="3"/>
      <c r="N728" s="3"/>
      <c r="O728" s="3">
        <f t="shared" si="34"/>
        <v>0</v>
      </c>
      <c r="P728">
        <v>421.92</v>
      </c>
      <c r="Q728">
        <v>374</v>
      </c>
      <c r="R728">
        <v>4</v>
      </c>
      <c r="S728">
        <v>113</v>
      </c>
      <c r="T728">
        <f t="shared" si="35"/>
        <v>-2.5007999999999999</v>
      </c>
    </row>
    <row r="729" spans="1:20" x14ac:dyDescent="0.3">
      <c r="A729" s="1">
        <v>45352</v>
      </c>
      <c r="B729" s="1" t="str">
        <f t="shared" si="33"/>
        <v>Swiggy_Mundka_Product_14_45352</v>
      </c>
      <c r="C729" s="2" t="s">
        <v>96</v>
      </c>
      <c r="D729" s="2" t="s">
        <v>97</v>
      </c>
      <c r="E729" s="2" t="s">
        <v>34</v>
      </c>
      <c r="F729" s="2" t="s">
        <v>35</v>
      </c>
      <c r="G729" s="2" t="s">
        <v>36</v>
      </c>
      <c r="H729" s="2" t="s">
        <v>47</v>
      </c>
      <c r="I729" s="2" t="s">
        <v>98</v>
      </c>
      <c r="J729" t="s">
        <v>31</v>
      </c>
      <c r="K729">
        <v>2</v>
      </c>
      <c r="L729" s="3"/>
      <c r="M729" s="3"/>
      <c r="N729" s="3"/>
      <c r="O729" s="3">
        <f t="shared" si="34"/>
        <v>0</v>
      </c>
      <c r="P729">
        <v>421.92</v>
      </c>
      <c r="Q729">
        <v>230</v>
      </c>
      <c r="R729">
        <v>1</v>
      </c>
      <c r="S729">
        <v>97</v>
      </c>
      <c r="T729">
        <f t="shared" si="35"/>
        <v>0</v>
      </c>
    </row>
    <row r="730" spans="1:20" x14ac:dyDescent="0.3">
      <c r="A730" s="1">
        <v>45352</v>
      </c>
      <c r="B730" s="1" t="str">
        <f t="shared" si="33"/>
        <v>Jharkhand_JH-Aggregated_Product_1_45352</v>
      </c>
      <c r="C730" s="2" t="s">
        <v>24</v>
      </c>
      <c r="D730" s="2" t="s">
        <v>25</v>
      </c>
      <c r="E730" s="2" t="s">
        <v>26</v>
      </c>
      <c r="F730" s="2" t="s">
        <v>27</v>
      </c>
      <c r="G730" s="2" t="s">
        <v>28</v>
      </c>
      <c r="H730" s="2" t="s">
        <v>29</v>
      </c>
      <c r="I730" s="2" t="s">
        <v>30</v>
      </c>
      <c r="J730" t="s">
        <v>31</v>
      </c>
      <c r="K730">
        <v>3</v>
      </c>
      <c r="L730" s="3"/>
      <c r="M730" s="3"/>
      <c r="N730" s="3"/>
      <c r="O730" s="3">
        <f t="shared" si="34"/>
        <v>0</v>
      </c>
      <c r="P730">
        <v>748.8</v>
      </c>
      <c r="Q730">
        <v>155</v>
      </c>
      <c r="R730">
        <v>0</v>
      </c>
      <c r="S730">
        <v>111</v>
      </c>
      <c r="T730">
        <f t="shared" si="35"/>
        <v>3.2687999999999993</v>
      </c>
    </row>
    <row r="731" spans="1:20" x14ac:dyDescent="0.3">
      <c r="A731" s="1">
        <v>45352</v>
      </c>
      <c r="B731" s="1" t="str">
        <f t="shared" si="33"/>
        <v>Maharashtra_MH-Aggregated_Product_3_45352</v>
      </c>
      <c r="C731" s="2" t="s">
        <v>39</v>
      </c>
      <c r="D731" s="2" t="s">
        <v>40</v>
      </c>
      <c r="E731" s="2" t="s">
        <v>26</v>
      </c>
      <c r="F731" s="2" t="s">
        <v>41</v>
      </c>
      <c r="G731" s="2" t="s">
        <v>42</v>
      </c>
      <c r="H731" s="2" t="s">
        <v>37</v>
      </c>
      <c r="I731" s="2" t="s">
        <v>43</v>
      </c>
      <c r="J731" t="s">
        <v>31</v>
      </c>
      <c r="K731">
        <v>2</v>
      </c>
      <c r="L731" s="3"/>
      <c r="M731" s="3"/>
      <c r="N731" s="3"/>
      <c r="O731" s="3">
        <f t="shared" si="34"/>
        <v>0</v>
      </c>
      <c r="P731">
        <v>748.8</v>
      </c>
      <c r="Q731">
        <v>277</v>
      </c>
      <c r="R731">
        <v>0</v>
      </c>
      <c r="S731">
        <v>127</v>
      </c>
      <c r="T731">
        <f t="shared" si="35"/>
        <v>0</v>
      </c>
    </row>
    <row r="732" spans="1:20" x14ac:dyDescent="0.3">
      <c r="A732" s="1">
        <v>45352</v>
      </c>
      <c r="B732" s="1" t="str">
        <f t="shared" si="33"/>
        <v>Reliance_Mundka_Product_6_45352</v>
      </c>
      <c r="C732" s="2" t="s">
        <v>55</v>
      </c>
      <c r="D732" s="2" t="s">
        <v>56</v>
      </c>
      <c r="E732" s="2" t="s">
        <v>34</v>
      </c>
      <c r="F732" s="2" t="s">
        <v>51</v>
      </c>
      <c r="G732" s="2" t="s">
        <v>36</v>
      </c>
      <c r="H732" s="2" t="s">
        <v>37</v>
      </c>
      <c r="I732" s="2" t="s">
        <v>57</v>
      </c>
      <c r="J732" t="s">
        <v>31</v>
      </c>
      <c r="K732">
        <v>2</v>
      </c>
      <c r="L732" s="3"/>
      <c r="M732" s="3"/>
      <c r="N732" s="3"/>
      <c r="O732" s="3">
        <f t="shared" si="34"/>
        <v>0</v>
      </c>
      <c r="P732">
        <v>84</v>
      </c>
      <c r="Q732">
        <v>240</v>
      </c>
      <c r="R732">
        <v>0</v>
      </c>
      <c r="S732">
        <v>135</v>
      </c>
      <c r="T732">
        <f t="shared" si="35"/>
        <v>-6.6479999999999997</v>
      </c>
    </row>
    <row r="733" spans="1:20" x14ac:dyDescent="0.3">
      <c r="A733" s="1">
        <v>45352</v>
      </c>
      <c r="B733" s="1" t="str">
        <f t="shared" si="33"/>
        <v>Swiggy_Kolkata CFA_Product_20_45352</v>
      </c>
      <c r="C733" s="2" t="s">
        <v>128</v>
      </c>
      <c r="D733" s="2" t="s">
        <v>129</v>
      </c>
      <c r="E733" s="2" t="s">
        <v>34</v>
      </c>
      <c r="F733" s="2" t="s">
        <v>35</v>
      </c>
      <c r="G733" s="2" t="s">
        <v>63</v>
      </c>
      <c r="H733" s="2" t="s">
        <v>47</v>
      </c>
      <c r="I733" s="2" t="s">
        <v>130</v>
      </c>
      <c r="J733" t="s">
        <v>31</v>
      </c>
      <c r="K733">
        <v>5</v>
      </c>
      <c r="L733" s="3"/>
      <c r="M733" s="3"/>
      <c r="N733" s="3"/>
      <c r="O733" s="3">
        <f t="shared" si="34"/>
        <v>0</v>
      </c>
      <c r="P733">
        <v>48</v>
      </c>
      <c r="Q733">
        <v>153</v>
      </c>
      <c r="R733">
        <v>8</v>
      </c>
      <c r="S733">
        <v>125</v>
      </c>
      <c r="T733">
        <f t="shared" si="35"/>
        <v>-0.36</v>
      </c>
    </row>
    <row r="734" spans="1:20" x14ac:dyDescent="0.3">
      <c r="A734" s="1">
        <v>45352</v>
      </c>
      <c r="B734" s="1" t="str">
        <f t="shared" si="33"/>
        <v>Grofers_Kolkata CFA_Product_20_45352</v>
      </c>
      <c r="C734" s="2" t="s">
        <v>153</v>
      </c>
      <c r="D734" s="2" t="s">
        <v>154</v>
      </c>
      <c r="E734" s="2" t="s">
        <v>34</v>
      </c>
      <c r="F734" s="2" t="s">
        <v>114</v>
      </c>
      <c r="G734" s="2" t="s">
        <v>63</v>
      </c>
      <c r="H734" s="2" t="s">
        <v>47</v>
      </c>
      <c r="I734" s="2" t="s">
        <v>130</v>
      </c>
      <c r="J734" t="s">
        <v>31</v>
      </c>
      <c r="K734">
        <v>9</v>
      </c>
      <c r="L734" s="3"/>
      <c r="M734" s="3"/>
      <c r="N734" s="3"/>
      <c r="O734" s="3">
        <f t="shared" si="34"/>
        <v>0</v>
      </c>
      <c r="P734">
        <v>383.52</v>
      </c>
      <c r="Q734">
        <v>350</v>
      </c>
      <c r="R734">
        <v>2</v>
      </c>
      <c r="S734">
        <v>125</v>
      </c>
      <c r="T734">
        <f t="shared" si="35"/>
        <v>3.3552</v>
      </c>
    </row>
    <row r="735" spans="1:20" x14ac:dyDescent="0.3">
      <c r="A735" s="1">
        <v>45352</v>
      </c>
      <c r="B735" s="1" t="str">
        <f t="shared" si="33"/>
        <v>Grofers_Ahmedabad_Product_8_45352</v>
      </c>
      <c r="C735" s="2" t="s">
        <v>157</v>
      </c>
      <c r="D735" s="2" t="s">
        <v>158</v>
      </c>
      <c r="E735" s="2" t="s">
        <v>34</v>
      </c>
      <c r="F735" s="2" t="s">
        <v>114</v>
      </c>
      <c r="G735" s="2" t="s">
        <v>52</v>
      </c>
      <c r="H735" s="2" t="s">
        <v>67</v>
      </c>
      <c r="I735" s="2" t="s">
        <v>68</v>
      </c>
      <c r="J735" t="s">
        <v>31</v>
      </c>
      <c r="K735">
        <v>2</v>
      </c>
      <c r="L735" s="3"/>
      <c r="M735" s="3"/>
      <c r="N735" s="3"/>
      <c r="O735" s="3">
        <f t="shared" si="34"/>
        <v>0</v>
      </c>
      <c r="P735">
        <v>383.52</v>
      </c>
      <c r="Q735">
        <v>421</v>
      </c>
      <c r="R735">
        <v>0</v>
      </c>
      <c r="S735">
        <v>126</v>
      </c>
      <c r="T735">
        <f t="shared" si="35"/>
        <v>0</v>
      </c>
    </row>
    <row r="736" spans="1:20" x14ac:dyDescent="0.3">
      <c r="A736" s="1">
        <v>45352</v>
      </c>
      <c r="B736" s="1" t="str">
        <f t="shared" si="33"/>
        <v>Swiggy_Kolkata CFA_Product_3_45352</v>
      </c>
      <c r="C736" s="2" t="s">
        <v>61</v>
      </c>
      <c r="D736" s="2" t="s">
        <v>62</v>
      </c>
      <c r="E736" s="2" t="s">
        <v>34</v>
      </c>
      <c r="F736" s="2" t="s">
        <v>35</v>
      </c>
      <c r="G736" s="2" t="s">
        <v>63</v>
      </c>
      <c r="H736" s="2" t="s">
        <v>37</v>
      </c>
      <c r="I736" s="2" t="s">
        <v>43</v>
      </c>
      <c r="J736" t="s">
        <v>31</v>
      </c>
      <c r="K736">
        <v>5</v>
      </c>
      <c r="L736" s="3"/>
      <c r="M736" s="3"/>
      <c r="N736" s="3"/>
      <c r="O736" s="3">
        <f t="shared" si="34"/>
        <v>0</v>
      </c>
      <c r="P736">
        <v>383.52</v>
      </c>
      <c r="Q736">
        <v>330</v>
      </c>
      <c r="R736">
        <v>1</v>
      </c>
      <c r="S736">
        <v>127</v>
      </c>
      <c r="T736">
        <f t="shared" si="35"/>
        <v>0</v>
      </c>
    </row>
    <row r="737" spans="1:20" x14ac:dyDescent="0.3">
      <c r="A737" s="1">
        <v>45352</v>
      </c>
      <c r="B737" s="1" t="str">
        <f t="shared" si="33"/>
        <v>Reliance_Mundka_Product_7_45352</v>
      </c>
      <c r="C737" s="2" t="s">
        <v>58</v>
      </c>
      <c r="D737" s="2" t="s">
        <v>59</v>
      </c>
      <c r="E737" s="2" t="s">
        <v>34</v>
      </c>
      <c r="F737" s="2" t="s">
        <v>51</v>
      </c>
      <c r="G737" s="2" t="s">
        <v>36</v>
      </c>
      <c r="H737" s="2" t="s">
        <v>37</v>
      </c>
      <c r="I737" s="2" t="s">
        <v>60</v>
      </c>
      <c r="J737" t="s">
        <v>31</v>
      </c>
      <c r="K737">
        <v>2</v>
      </c>
      <c r="L737" s="3"/>
      <c r="M737" s="3"/>
      <c r="N737" s="3"/>
      <c r="O737" s="3">
        <f t="shared" si="34"/>
        <v>0</v>
      </c>
      <c r="P737">
        <v>383.52</v>
      </c>
      <c r="Q737">
        <v>192</v>
      </c>
      <c r="R737">
        <v>4</v>
      </c>
      <c r="S737">
        <v>117</v>
      </c>
      <c r="T737">
        <f t="shared" si="35"/>
        <v>0</v>
      </c>
    </row>
    <row r="738" spans="1:20" x14ac:dyDescent="0.3">
      <c r="A738" s="1">
        <v>45352</v>
      </c>
      <c r="B738" s="1" t="str">
        <f t="shared" si="33"/>
        <v>Swiggy_Mundka_Product_2_45352</v>
      </c>
      <c r="C738" s="2" t="s">
        <v>32</v>
      </c>
      <c r="D738" s="2" t="s">
        <v>33</v>
      </c>
      <c r="E738" s="2" t="s">
        <v>34</v>
      </c>
      <c r="F738" s="2" t="s">
        <v>35</v>
      </c>
      <c r="G738" s="2" t="s">
        <v>36</v>
      </c>
      <c r="H738" s="2" t="s">
        <v>37</v>
      </c>
      <c r="I738" s="2" t="s">
        <v>38</v>
      </c>
      <c r="J738" t="s">
        <v>31</v>
      </c>
      <c r="K738">
        <v>7</v>
      </c>
      <c r="L738" s="3"/>
      <c r="M738" s="3"/>
      <c r="N738" s="3"/>
      <c r="O738" s="3">
        <f t="shared" si="34"/>
        <v>0</v>
      </c>
      <c r="P738">
        <v>383.52</v>
      </c>
      <c r="Q738">
        <v>264</v>
      </c>
      <c r="R738">
        <v>0</v>
      </c>
      <c r="S738">
        <v>134</v>
      </c>
      <c r="T738">
        <f t="shared" si="35"/>
        <v>0</v>
      </c>
    </row>
    <row r="739" spans="1:20" x14ac:dyDescent="0.3">
      <c r="A739" s="1">
        <v>45352</v>
      </c>
      <c r="B739" s="1" t="str">
        <f t="shared" si="33"/>
        <v>Swiggy_Kolkata CFA_Product_11_45352</v>
      </c>
      <c r="C739" s="2" t="s">
        <v>119</v>
      </c>
      <c r="D739" s="2" t="s">
        <v>120</v>
      </c>
      <c r="E739" s="2" t="s">
        <v>34</v>
      </c>
      <c r="F739" s="2" t="s">
        <v>35</v>
      </c>
      <c r="G739" s="2" t="s">
        <v>63</v>
      </c>
      <c r="H739" s="2" t="s">
        <v>67</v>
      </c>
      <c r="I739" s="2" t="s">
        <v>89</v>
      </c>
      <c r="J739" t="s">
        <v>31</v>
      </c>
      <c r="K739">
        <v>2</v>
      </c>
      <c r="L739" s="3"/>
      <c r="M739" s="3"/>
      <c r="N739" s="3"/>
      <c r="O739" s="3">
        <f t="shared" si="34"/>
        <v>0</v>
      </c>
      <c r="P739">
        <v>383.52</v>
      </c>
      <c r="Q739">
        <v>349</v>
      </c>
      <c r="R739">
        <v>0</v>
      </c>
      <c r="S739">
        <v>131</v>
      </c>
      <c r="T739">
        <f t="shared" si="35"/>
        <v>0</v>
      </c>
    </row>
    <row r="740" spans="1:20" x14ac:dyDescent="0.3">
      <c r="A740" s="1">
        <v>45352</v>
      </c>
      <c r="B740" s="1" t="str">
        <f t="shared" si="33"/>
        <v>Reliance_Ahmedabad_Product_5_45352</v>
      </c>
      <c r="C740" s="2" t="s">
        <v>49</v>
      </c>
      <c r="D740" s="2" t="s">
        <v>50</v>
      </c>
      <c r="E740" s="2" t="s">
        <v>34</v>
      </c>
      <c r="F740" s="2" t="s">
        <v>51</v>
      </c>
      <c r="G740" s="2" t="s">
        <v>52</v>
      </c>
      <c r="H740" s="2" t="s">
        <v>53</v>
      </c>
      <c r="I740" s="2" t="s">
        <v>54</v>
      </c>
      <c r="J740" t="s">
        <v>31</v>
      </c>
      <c r="K740">
        <v>3</v>
      </c>
      <c r="L740" s="3"/>
      <c r="M740" s="3"/>
      <c r="N740" s="3"/>
      <c r="O740" s="3">
        <f t="shared" si="34"/>
        <v>0</v>
      </c>
      <c r="P740">
        <v>672</v>
      </c>
      <c r="Q740">
        <v>432</v>
      </c>
      <c r="R740">
        <v>8</v>
      </c>
      <c r="S740">
        <v>132</v>
      </c>
      <c r="T740">
        <f t="shared" si="35"/>
        <v>2.8848000000000003</v>
      </c>
    </row>
    <row r="741" spans="1:20" x14ac:dyDescent="0.3">
      <c r="A741" s="1">
        <v>45352</v>
      </c>
      <c r="B741" s="1" t="str">
        <f t="shared" si="33"/>
        <v>Grofers_Mundka_Product_21_45352</v>
      </c>
      <c r="C741" s="2" t="s">
        <v>131</v>
      </c>
      <c r="D741" s="2" t="s">
        <v>132</v>
      </c>
      <c r="E741" s="2" t="s">
        <v>34</v>
      </c>
      <c r="F741" s="2" t="s">
        <v>114</v>
      </c>
      <c r="G741" s="2" t="s">
        <v>36</v>
      </c>
      <c r="H741" s="2" t="s">
        <v>133</v>
      </c>
      <c r="I741" s="2" t="s">
        <v>134</v>
      </c>
      <c r="J741" t="s">
        <v>31</v>
      </c>
      <c r="K741">
        <v>1</v>
      </c>
      <c r="L741" s="3"/>
      <c r="M741" s="3"/>
      <c r="N741" s="3"/>
      <c r="O741" s="3">
        <f t="shared" si="34"/>
        <v>0</v>
      </c>
      <c r="P741">
        <v>672</v>
      </c>
      <c r="Q741">
        <v>245</v>
      </c>
      <c r="R741">
        <v>10</v>
      </c>
      <c r="S741">
        <v>115</v>
      </c>
      <c r="T741">
        <f t="shared" si="35"/>
        <v>0</v>
      </c>
    </row>
    <row r="742" spans="1:20" x14ac:dyDescent="0.3">
      <c r="A742" s="1">
        <v>45352</v>
      </c>
      <c r="B742" s="1" t="str">
        <f t="shared" si="33"/>
        <v>Jharkhand_JH-Aggregated_Product_15_45352</v>
      </c>
      <c r="C742" s="2" t="s">
        <v>103</v>
      </c>
      <c r="D742" s="2" t="s">
        <v>104</v>
      </c>
      <c r="E742" s="2" t="s">
        <v>26</v>
      </c>
      <c r="F742" s="2" t="s">
        <v>27</v>
      </c>
      <c r="G742" s="2" t="s">
        <v>28</v>
      </c>
      <c r="H742" s="2" t="s">
        <v>105</v>
      </c>
      <c r="I742" s="2" t="s">
        <v>106</v>
      </c>
      <c r="J742" t="s">
        <v>31</v>
      </c>
      <c r="K742">
        <v>12</v>
      </c>
      <c r="L742" s="3"/>
      <c r="M742" s="3"/>
      <c r="N742" s="3"/>
      <c r="O742" s="3">
        <f t="shared" si="34"/>
        <v>0</v>
      </c>
      <c r="P742">
        <v>421.92</v>
      </c>
      <c r="Q742">
        <v>407</v>
      </c>
      <c r="R742">
        <v>12</v>
      </c>
      <c r="S742">
        <v>143</v>
      </c>
      <c r="T742">
        <f t="shared" si="35"/>
        <v>-2.5007999999999999</v>
      </c>
    </row>
    <row r="743" spans="1:20" x14ac:dyDescent="0.3">
      <c r="A743" s="1">
        <v>45352</v>
      </c>
      <c r="B743" s="1" t="str">
        <f t="shared" si="33"/>
        <v>Grofers_Hyderabad_Product_21_45352</v>
      </c>
      <c r="C743" s="2" t="s">
        <v>135</v>
      </c>
      <c r="D743" s="2" t="s">
        <v>136</v>
      </c>
      <c r="E743" s="2" t="s">
        <v>34</v>
      </c>
      <c r="F743" s="2" t="s">
        <v>114</v>
      </c>
      <c r="G743" s="2" t="s">
        <v>137</v>
      </c>
      <c r="H743" s="2" t="s">
        <v>133</v>
      </c>
      <c r="I743" s="2" t="s">
        <v>134</v>
      </c>
      <c r="J743" t="s">
        <v>31</v>
      </c>
      <c r="K743">
        <v>3</v>
      </c>
      <c r="L743" s="3"/>
      <c r="M743" s="3"/>
      <c r="N743" s="3"/>
      <c r="O743" s="3">
        <f t="shared" si="34"/>
        <v>0</v>
      </c>
      <c r="P743">
        <v>421.92</v>
      </c>
      <c r="Q743">
        <v>190</v>
      </c>
      <c r="R743">
        <v>13</v>
      </c>
      <c r="S743">
        <v>115</v>
      </c>
      <c r="T743">
        <f t="shared" si="35"/>
        <v>0</v>
      </c>
    </row>
    <row r="744" spans="1:20" x14ac:dyDescent="0.3">
      <c r="A744" s="1">
        <v>45352</v>
      </c>
      <c r="B744" s="1" t="str">
        <f t="shared" si="33"/>
        <v>Reliance_Mundka_Product_9_45352</v>
      </c>
      <c r="C744" s="2" t="s">
        <v>145</v>
      </c>
      <c r="D744" s="2" t="s">
        <v>146</v>
      </c>
      <c r="E744" s="2" t="s">
        <v>34</v>
      </c>
      <c r="F744" s="2" t="s">
        <v>51</v>
      </c>
      <c r="G744" s="2" t="s">
        <v>36</v>
      </c>
      <c r="H744" s="2" t="s">
        <v>37</v>
      </c>
      <c r="I744" s="2" t="s">
        <v>71</v>
      </c>
      <c r="J744" t="s">
        <v>31</v>
      </c>
      <c r="K744">
        <v>6</v>
      </c>
      <c r="L744" s="3"/>
      <c r="M744" s="3"/>
      <c r="N744" s="3"/>
      <c r="O744" s="3">
        <f t="shared" si="34"/>
        <v>0</v>
      </c>
      <c r="P744">
        <v>748.8</v>
      </c>
      <c r="Q744">
        <v>221</v>
      </c>
      <c r="R744">
        <v>8</v>
      </c>
      <c r="S744">
        <v>119</v>
      </c>
      <c r="T744">
        <f t="shared" si="35"/>
        <v>3.2687999999999993</v>
      </c>
    </row>
    <row r="745" spans="1:20" x14ac:dyDescent="0.3">
      <c r="A745" s="1">
        <v>45352</v>
      </c>
      <c r="B745" s="1" t="str">
        <f t="shared" si="33"/>
        <v>Swiggy_Bangalore_Product_16_45352</v>
      </c>
      <c r="C745" s="2" t="s">
        <v>107</v>
      </c>
      <c r="D745" s="2" t="s">
        <v>108</v>
      </c>
      <c r="E745" s="2" t="s">
        <v>34</v>
      </c>
      <c r="F745" s="2" t="s">
        <v>35</v>
      </c>
      <c r="G745" s="2" t="s">
        <v>79</v>
      </c>
      <c r="H745" s="2" t="s">
        <v>47</v>
      </c>
      <c r="I745" s="2" t="s">
        <v>109</v>
      </c>
      <c r="J745" t="s">
        <v>31</v>
      </c>
      <c r="K745">
        <v>2</v>
      </c>
      <c r="L745" s="3"/>
      <c r="M745" s="3"/>
      <c r="N745" s="3"/>
      <c r="O745" s="3">
        <f t="shared" si="34"/>
        <v>0</v>
      </c>
      <c r="P745">
        <v>748.8</v>
      </c>
      <c r="Q745">
        <v>187</v>
      </c>
      <c r="R745">
        <v>0</v>
      </c>
      <c r="S745">
        <v>122</v>
      </c>
      <c r="T745">
        <f t="shared" si="35"/>
        <v>0</v>
      </c>
    </row>
    <row r="746" spans="1:20" x14ac:dyDescent="0.3">
      <c r="A746" s="1">
        <v>45352</v>
      </c>
      <c r="B746" s="1" t="str">
        <f t="shared" si="33"/>
        <v>Reliance_Bangalore_Product_8_45352</v>
      </c>
      <c r="C746" s="2" t="s">
        <v>77</v>
      </c>
      <c r="D746" s="2" t="s">
        <v>78</v>
      </c>
      <c r="E746" s="2" t="s">
        <v>34</v>
      </c>
      <c r="F746" s="2" t="s">
        <v>51</v>
      </c>
      <c r="G746" s="2" t="s">
        <v>79</v>
      </c>
      <c r="H746" s="2" t="s">
        <v>67</v>
      </c>
      <c r="I746" s="2" t="s">
        <v>68</v>
      </c>
      <c r="J746" t="s">
        <v>31</v>
      </c>
      <c r="K746">
        <v>8</v>
      </c>
      <c r="L746" s="3"/>
      <c r="M746" s="3"/>
      <c r="N746" s="3"/>
      <c r="O746" s="3">
        <f t="shared" si="34"/>
        <v>0</v>
      </c>
      <c r="P746">
        <v>84</v>
      </c>
      <c r="Q746">
        <v>202</v>
      </c>
      <c r="R746">
        <v>0</v>
      </c>
      <c r="S746">
        <v>126</v>
      </c>
      <c r="T746">
        <f t="shared" si="35"/>
        <v>-6.6479999999999997</v>
      </c>
    </row>
    <row r="747" spans="1:20" x14ac:dyDescent="0.3">
      <c r="A747" s="1">
        <v>45352</v>
      </c>
      <c r="B747" s="1" t="str">
        <f t="shared" si="33"/>
        <v>Reliance_Ahmedabad_Product_7_45352</v>
      </c>
      <c r="C747" s="2" t="s">
        <v>99</v>
      </c>
      <c r="D747" s="2" t="s">
        <v>100</v>
      </c>
      <c r="E747" s="2" t="s">
        <v>34</v>
      </c>
      <c r="F747" s="2" t="s">
        <v>51</v>
      </c>
      <c r="G747" s="2" t="s">
        <v>52</v>
      </c>
      <c r="H747" s="2" t="s">
        <v>37</v>
      </c>
      <c r="I747" s="2" t="s">
        <v>60</v>
      </c>
      <c r="J747" t="s">
        <v>31</v>
      </c>
      <c r="K747">
        <v>16</v>
      </c>
      <c r="L747" s="3"/>
      <c r="M747" s="3"/>
      <c r="N747" s="3"/>
      <c r="O747" s="3">
        <f t="shared" si="34"/>
        <v>0</v>
      </c>
      <c r="P747">
        <v>48</v>
      </c>
      <c r="Q747">
        <v>115</v>
      </c>
      <c r="R747">
        <v>12</v>
      </c>
      <c r="S747">
        <v>117</v>
      </c>
      <c r="T747">
        <f t="shared" si="35"/>
        <v>-0.36</v>
      </c>
    </row>
    <row r="748" spans="1:20" x14ac:dyDescent="0.3">
      <c r="A748" s="1">
        <v>45352</v>
      </c>
      <c r="B748" s="1" t="str">
        <f t="shared" si="33"/>
        <v>Reliance_Bhiwandi_Product_8_45352</v>
      </c>
      <c r="C748" s="2" t="s">
        <v>64</v>
      </c>
      <c r="D748" s="2" t="s">
        <v>65</v>
      </c>
      <c r="E748" s="2" t="s">
        <v>34</v>
      </c>
      <c r="F748" s="2" t="s">
        <v>51</v>
      </c>
      <c r="G748" s="2" t="s">
        <v>66</v>
      </c>
      <c r="H748" s="2" t="s">
        <v>67</v>
      </c>
      <c r="I748" s="2" t="s">
        <v>68</v>
      </c>
      <c r="J748" t="s">
        <v>31</v>
      </c>
      <c r="K748">
        <v>18</v>
      </c>
      <c r="L748" s="3"/>
      <c r="M748" s="3"/>
      <c r="N748" s="3"/>
      <c r="O748" s="3">
        <f t="shared" si="34"/>
        <v>0</v>
      </c>
      <c r="P748">
        <v>383.52</v>
      </c>
      <c r="Q748">
        <v>460</v>
      </c>
      <c r="R748">
        <v>5</v>
      </c>
      <c r="S748">
        <v>126</v>
      </c>
      <c r="T748">
        <f t="shared" si="35"/>
        <v>3.3552</v>
      </c>
    </row>
    <row r="749" spans="1:20" x14ac:dyDescent="0.3">
      <c r="A749" s="1">
        <v>45352</v>
      </c>
      <c r="B749" s="1" t="str">
        <f t="shared" si="33"/>
        <v>Maharashtra_MH-Aggregated_Product_9_45352</v>
      </c>
      <c r="C749" s="2" t="s">
        <v>69</v>
      </c>
      <c r="D749" s="2" t="s">
        <v>70</v>
      </c>
      <c r="E749" s="2" t="s">
        <v>26</v>
      </c>
      <c r="F749" s="2" t="s">
        <v>41</v>
      </c>
      <c r="G749" s="2" t="s">
        <v>42</v>
      </c>
      <c r="H749" s="2" t="s">
        <v>37</v>
      </c>
      <c r="I749" s="2" t="s">
        <v>71</v>
      </c>
      <c r="J749" t="s">
        <v>31</v>
      </c>
      <c r="K749">
        <v>4</v>
      </c>
      <c r="L749" s="3"/>
      <c r="M749" s="3"/>
      <c r="N749" s="3"/>
      <c r="O749" s="3">
        <f t="shared" si="34"/>
        <v>0</v>
      </c>
      <c r="P749">
        <v>383.52</v>
      </c>
      <c r="Q749">
        <v>447</v>
      </c>
      <c r="R749">
        <v>0</v>
      </c>
      <c r="S749">
        <v>119</v>
      </c>
      <c r="T749">
        <f t="shared" si="35"/>
        <v>0</v>
      </c>
    </row>
    <row r="750" spans="1:20" x14ac:dyDescent="0.3">
      <c r="A750" s="1">
        <v>45383</v>
      </c>
      <c r="B750" s="1" t="str">
        <f t="shared" si="33"/>
        <v>Jharkhand_JH-Aggregated_Product_15_45383</v>
      </c>
      <c r="C750" s="2" t="s">
        <v>103</v>
      </c>
      <c r="D750" s="2" t="s">
        <v>104</v>
      </c>
      <c r="E750" s="2" t="s">
        <v>26</v>
      </c>
      <c r="F750" s="2" t="s">
        <v>27</v>
      </c>
      <c r="G750" s="2" t="s">
        <v>28</v>
      </c>
      <c r="H750" s="2" t="s">
        <v>105</v>
      </c>
      <c r="I750" s="2" t="s">
        <v>106</v>
      </c>
      <c r="J750" t="s">
        <v>31</v>
      </c>
      <c r="K750">
        <v>8</v>
      </c>
      <c r="L750" s="3"/>
      <c r="M750" s="3"/>
      <c r="N750" s="3"/>
      <c r="O750" s="3">
        <f t="shared" si="34"/>
        <v>0</v>
      </c>
      <c r="P750">
        <v>672</v>
      </c>
      <c r="Q750">
        <v>300</v>
      </c>
      <c r="R750">
        <v>0</v>
      </c>
      <c r="S750">
        <v>143</v>
      </c>
      <c r="T750">
        <f t="shared" si="35"/>
        <v>2.8848000000000003</v>
      </c>
    </row>
    <row r="751" spans="1:20" x14ac:dyDescent="0.3">
      <c r="A751" s="1">
        <v>45383</v>
      </c>
      <c r="B751" s="1" t="str">
        <f t="shared" si="33"/>
        <v>Reliance_Ahmedabad_Product_5_45383</v>
      </c>
      <c r="C751" s="2" t="s">
        <v>49</v>
      </c>
      <c r="D751" s="2" t="s">
        <v>50</v>
      </c>
      <c r="E751" s="2" t="s">
        <v>34</v>
      </c>
      <c r="F751" s="2" t="s">
        <v>51</v>
      </c>
      <c r="G751" s="2" t="s">
        <v>52</v>
      </c>
      <c r="H751" s="2" t="s">
        <v>53</v>
      </c>
      <c r="I751" s="2" t="s">
        <v>54</v>
      </c>
      <c r="J751" t="s">
        <v>31</v>
      </c>
      <c r="K751">
        <v>2</v>
      </c>
      <c r="L751" s="3"/>
      <c r="M751" s="3"/>
      <c r="N751" s="3"/>
      <c r="O751" s="3">
        <f t="shared" si="34"/>
        <v>0</v>
      </c>
      <c r="P751">
        <v>672</v>
      </c>
      <c r="Q751">
        <v>472</v>
      </c>
      <c r="R751">
        <v>7</v>
      </c>
      <c r="S751">
        <v>132</v>
      </c>
      <c r="T751">
        <f t="shared" si="35"/>
        <v>0</v>
      </c>
    </row>
    <row r="752" spans="1:20" x14ac:dyDescent="0.3">
      <c r="A752" s="1">
        <v>45383</v>
      </c>
      <c r="B752" s="1" t="str">
        <f t="shared" si="33"/>
        <v>Reliance_Kolkata CFA_Product_12_45383</v>
      </c>
      <c r="C752" s="2" t="s">
        <v>101</v>
      </c>
      <c r="D752" s="2" t="s">
        <v>102</v>
      </c>
      <c r="E752" s="2" t="s">
        <v>34</v>
      </c>
      <c r="F752" s="2" t="s">
        <v>51</v>
      </c>
      <c r="G752" s="2" t="s">
        <v>63</v>
      </c>
      <c r="H752" s="2" t="s">
        <v>67</v>
      </c>
      <c r="I752" s="2" t="s">
        <v>92</v>
      </c>
      <c r="J752" t="s">
        <v>31</v>
      </c>
      <c r="K752">
        <v>39</v>
      </c>
      <c r="L752" s="3"/>
      <c r="M752" s="3"/>
      <c r="N752" s="3"/>
      <c r="O752" s="3">
        <f t="shared" si="34"/>
        <v>0</v>
      </c>
      <c r="P752">
        <v>421.92</v>
      </c>
      <c r="Q752">
        <v>219</v>
      </c>
      <c r="R752">
        <v>11</v>
      </c>
      <c r="S752">
        <v>94</v>
      </c>
      <c r="T752">
        <f t="shared" si="35"/>
        <v>-2.5007999999999999</v>
      </c>
    </row>
    <row r="753" spans="1:20" x14ac:dyDescent="0.3">
      <c r="A753" s="1">
        <v>45383</v>
      </c>
      <c r="B753" s="1" t="str">
        <f t="shared" si="33"/>
        <v>Zepto_Bhiwandi_Product_10_45383</v>
      </c>
      <c r="C753" s="2" t="s">
        <v>74</v>
      </c>
      <c r="D753" s="2" t="s">
        <v>75</v>
      </c>
      <c r="E753" s="2" t="s">
        <v>34</v>
      </c>
      <c r="F753" s="2" t="s">
        <v>46</v>
      </c>
      <c r="G753" s="2" t="s">
        <v>66</v>
      </c>
      <c r="H753" s="2" t="s">
        <v>67</v>
      </c>
      <c r="I753" s="2" t="s">
        <v>76</v>
      </c>
      <c r="J753" t="s">
        <v>31</v>
      </c>
      <c r="K753">
        <v>8</v>
      </c>
      <c r="L753" s="3"/>
      <c r="M753" s="3"/>
      <c r="N753" s="3"/>
      <c r="O753" s="3">
        <f t="shared" si="34"/>
        <v>0</v>
      </c>
      <c r="P753">
        <v>421.92</v>
      </c>
      <c r="Q753">
        <v>137</v>
      </c>
      <c r="R753">
        <v>0</v>
      </c>
      <c r="S753">
        <v>106</v>
      </c>
      <c r="T753">
        <f t="shared" si="35"/>
        <v>0</v>
      </c>
    </row>
    <row r="754" spans="1:20" x14ac:dyDescent="0.3">
      <c r="A754" s="1">
        <v>45383</v>
      </c>
      <c r="B754" s="1" t="str">
        <f t="shared" si="33"/>
        <v>Maharashtra_MH-Aggregated_Product_3_45383</v>
      </c>
      <c r="C754" s="2" t="s">
        <v>39</v>
      </c>
      <c r="D754" s="2" t="s">
        <v>40</v>
      </c>
      <c r="E754" s="2" t="s">
        <v>26</v>
      </c>
      <c r="F754" s="2" t="s">
        <v>41</v>
      </c>
      <c r="G754" s="2" t="s">
        <v>42</v>
      </c>
      <c r="H754" s="2" t="s">
        <v>37</v>
      </c>
      <c r="I754" s="2" t="s">
        <v>43</v>
      </c>
      <c r="J754" t="s">
        <v>31</v>
      </c>
      <c r="K754">
        <v>13</v>
      </c>
      <c r="L754" s="3"/>
      <c r="M754" s="3"/>
      <c r="N754" s="3"/>
      <c r="O754" s="3">
        <f t="shared" si="34"/>
        <v>0</v>
      </c>
      <c r="P754">
        <v>748.8</v>
      </c>
      <c r="Q754">
        <v>239</v>
      </c>
      <c r="R754">
        <v>0</v>
      </c>
      <c r="S754">
        <v>127</v>
      </c>
      <c r="T754">
        <f t="shared" si="35"/>
        <v>3.2687999999999993</v>
      </c>
    </row>
    <row r="755" spans="1:20" x14ac:dyDescent="0.3">
      <c r="A755" s="1">
        <v>45383</v>
      </c>
      <c r="B755" s="1" t="str">
        <f t="shared" si="33"/>
        <v>Reliance_Mundka_Product_9_45383</v>
      </c>
      <c r="C755" s="2" t="s">
        <v>145</v>
      </c>
      <c r="D755" s="2" t="s">
        <v>146</v>
      </c>
      <c r="E755" s="2" t="s">
        <v>34</v>
      </c>
      <c r="F755" s="2" t="s">
        <v>51</v>
      </c>
      <c r="G755" s="2" t="s">
        <v>36</v>
      </c>
      <c r="H755" s="2" t="s">
        <v>37</v>
      </c>
      <c r="I755" s="2" t="s">
        <v>71</v>
      </c>
      <c r="J755" t="s">
        <v>31</v>
      </c>
      <c r="K755">
        <v>3</v>
      </c>
      <c r="L755" s="3"/>
      <c r="M755" s="3"/>
      <c r="N755" s="3"/>
      <c r="O755" s="3">
        <f t="shared" si="34"/>
        <v>0</v>
      </c>
      <c r="P755">
        <v>748.8</v>
      </c>
      <c r="Q755">
        <v>478</v>
      </c>
      <c r="R755">
        <v>0</v>
      </c>
      <c r="S755">
        <v>119</v>
      </c>
      <c r="T755">
        <f t="shared" si="35"/>
        <v>0</v>
      </c>
    </row>
    <row r="756" spans="1:20" x14ac:dyDescent="0.3">
      <c r="A756" s="1">
        <v>45383</v>
      </c>
      <c r="B756" s="1" t="str">
        <f t="shared" si="33"/>
        <v>Reliance_Ahmedabad_Product_7_45383</v>
      </c>
      <c r="C756" s="2" t="s">
        <v>99</v>
      </c>
      <c r="D756" s="2" t="s">
        <v>100</v>
      </c>
      <c r="E756" s="2" t="s">
        <v>34</v>
      </c>
      <c r="F756" s="2" t="s">
        <v>51</v>
      </c>
      <c r="G756" s="2" t="s">
        <v>52</v>
      </c>
      <c r="H756" s="2" t="s">
        <v>37</v>
      </c>
      <c r="I756" s="2" t="s">
        <v>60</v>
      </c>
      <c r="J756" t="s">
        <v>31</v>
      </c>
      <c r="K756">
        <v>23</v>
      </c>
      <c r="L756" s="3"/>
      <c r="M756" s="3"/>
      <c r="N756" s="3"/>
      <c r="O756" s="3">
        <f t="shared" si="34"/>
        <v>0</v>
      </c>
      <c r="P756">
        <v>84</v>
      </c>
      <c r="Q756">
        <v>466</v>
      </c>
      <c r="R756">
        <v>0</v>
      </c>
      <c r="S756">
        <v>117</v>
      </c>
      <c r="T756">
        <f t="shared" si="35"/>
        <v>-6.6479999999999997</v>
      </c>
    </row>
    <row r="757" spans="1:20" x14ac:dyDescent="0.3">
      <c r="A757" s="1">
        <v>45383</v>
      </c>
      <c r="B757" s="1" t="str">
        <f t="shared" si="33"/>
        <v>Swiggy_Chennai_Product_3_45383</v>
      </c>
      <c r="C757" s="2" t="s">
        <v>82</v>
      </c>
      <c r="D757" s="2" t="s">
        <v>83</v>
      </c>
      <c r="E757" s="2" t="s">
        <v>34</v>
      </c>
      <c r="F757" s="2" t="s">
        <v>35</v>
      </c>
      <c r="G757" s="2" t="s">
        <v>84</v>
      </c>
      <c r="H757" s="2" t="s">
        <v>37</v>
      </c>
      <c r="I757" s="2" t="s">
        <v>43</v>
      </c>
      <c r="J757" t="s">
        <v>31</v>
      </c>
      <c r="K757">
        <v>52</v>
      </c>
      <c r="L757" s="3"/>
      <c r="M757" s="3"/>
      <c r="N757" s="3"/>
      <c r="O757" s="3">
        <f t="shared" si="34"/>
        <v>0</v>
      </c>
      <c r="P757">
        <v>48</v>
      </c>
      <c r="Q757">
        <v>402</v>
      </c>
      <c r="R757">
        <v>9</v>
      </c>
      <c r="S757">
        <v>127</v>
      </c>
      <c r="T757">
        <f t="shared" si="35"/>
        <v>-0.36</v>
      </c>
    </row>
    <row r="758" spans="1:20" x14ac:dyDescent="0.3">
      <c r="A758" s="1">
        <v>45383</v>
      </c>
      <c r="B758" s="1" t="str">
        <f t="shared" si="33"/>
        <v>Grofers_Ahmedabad_Product_14_45383</v>
      </c>
      <c r="C758" s="2" t="s">
        <v>159</v>
      </c>
      <c r="D758" s="2" t="s">
        <v>160</v>
      </c>
      <c r="E758" s="2" t="s">
        <v>34</v>
      </c>
      <c r="F758" s="2" t="s">
        <v>114</v>
      </c>
      <c r="G758" s="2" t="s">
        <v>52</v>
      </c>
      <c r="H758" s="2" t="s">
        <v>47</v>
      </c>
      <c r="I758" s="2" t="s">
        <v>98</v>
      </c>
      <c r="J758" t="s">
        <v>31</v>
      </c>
      <c r="K758">
        <v>5</v>
      </c>
      <c r="L758" s="3"/>
      <c r="M758" s="3"/>
      <c r="N758" s="3"/>
      <c r="O758" s="3">
        <f t="shared" si="34"/>
        <v>0</v>
      </c>
      <c r="P758">
        <v>383.52</v>
      </c>
      <c r="Q758">
        <v>215</v>
      </c>
      <c r="R758">
        <v>0</v>
      </c>
      <c r="S758">
        <v>97</v>
      </c>
      <c r="T758">
        <f t="shared" si="35"/>
        <v>3.3552</v>
      </c>
    </row>
    <row r="759" spans="1:20" x14ac:dyDescent="0.3">
      <c r="A759" s="1">
        <v>45383</v>
      </c>
      <c r="B759" s="1" t="str">
        <f t="shared" si="33"/>
        <v>Reliance_Bangalore_Product_13_45383</v>
      </c>
      <c r="C759" s="2" t="s">
        <v>93</v>
      </c>
      <c r="D759" s="2" t="s">
        <v>94</v>
      </c>
      <c r="E759" s="2" t="s">
        <v>34</v>
      </c>
      <c r="F759" s="2" t="s">
        <v>51</v>
      </c>
      <c r="G759" s="2" t="s">
        <v>79</v>
      </c>
      <c r="H759" s="2" t="s">
        <v>67</v>
      </c>
      <c r="I759" s="2" t="s">
        <v>95</v>
      </c>
      <c r="J759" t="s">
        <v>31</v>
      </c>
      <c r="K759">
        <v>2</v>
      </c>
      <c r="L759" s="3"/>
      <c r="M759" s="3"/>
      <c r="N759" s="3"/>
      <c r="O759" s="3">
        <f t="shared" si="34"/>
        <v>0</v>
      </c>
      <c r="P759">
        <v>383.52</v>
      </c>
      <c r="Q759">
        <v>178</v>
      </c>
      <c r="R759">
        <v>0</v>
      </c>
      <c r="S759">
        <v>113</v>
      </c>
      <c r="T759">
        <f t="shared" si="35"/>
        <v>0</v>
      </c>
    </row>
    <row r="760" spans="1:20" x14ac:dyDescent="0.3">
      <c r="A760" s="1">
        <v>45383</v>
      </c>
      <c r="B760" s="1" t="str">
        <f t="shared" si="33"/>
        <v>Grofers_Ahmedabad_Product_9_45383</v>
      </c>
      <c r="C760" s="2" t="s">
        <v>112</v>
      </c>
      <c r="D760" s="2" t="s">
        <v>113</v>
      </c>
      <c r="E760" s="2" t="s">
        <v>34</v>
      </c>
      <c r="F760" s="2" t="s">
        <v>114</v>
      </c>
      <c r="G760" s="2" t="s">
        <v>52</v>
      </c>
      <c r="H760" s="2" t="s">
        <v>37</v>
      </c>
      <c r="I760" s="2" t="s">
        <v>71</v>
      </c>
      <c r="J760" t="s">
        <v>31</v>
      </c>
      <c r="K760">
        <v>3</v>
      </c>
      <c r="L760" s="3"/>
      <c r="M760" s="3"/>
      <c r="N760" s="3"/>
      <c r="O760" s="3">
        <f t="shared" si="34"/>
        <v>0</v>
      </c>
      <c r="P760">
        <v>672</v>
      </c>
      <c r="Q760">
        <v>324</v>
      </c>
      <c r="R760">
        <v>0</v>
      </c>
      <c r="S760">
        <v>119</v>
      </c>
      <c r="T760">
        <f t="shared" si="35"/>
        <v>2.8848000000000003</v>
      </c>
    </row>
    <row r="761" spans="1:20" x14ac:dyDescent="0.3">
      <c r="A761" s="1">
        <v>45383</v>
      </c>
      <c r="B761" s="1" t="str">
        <f t="shared" si="33"/>
        <v>Jharkhand_JH-Aggregated_Product_19_45383</v>
      </c>
      <c r="C761" s="2" t="s">
        <v>124</v>
      </c>
      <c r="D761" s="2" t="s">
        <v>125</v>
      </c>
      <c r="E761" s="2" t="s">
        <v>26</v>
      </c>
      <c r="F761" s="2" t="s">
        <v>27</v>
      </c>
      <c r="G761" s="2" t="s">
        <v>28</v>
      </c>
      <c r="H761" s="2" t="s">
        <v>126</v>
      </c>
      <c r="I761" s="2" t="s">
        <v>127</v>
      </c>
      <c r="J761" t="s">
        <v>31</v>
      </c>
      <c r="K761">
        <v>2</v>
      </c>
      <c r="L761" s="3"/>
      <c r="M761" s="3"/>
      <c r="N761" s="3"/>
      <c r="O761" s="3">
        <f t="shared" si="34"/>
        <v>0</v>
      </c>
      <c r="P761">
        <v>672</v>
      </c>
      <c r="Q761">
        <v>116</v>
      </c>
      <c r="R761">
        <v>8</v>
      </c>
      <c r="S761">
        <v>94</v>
      </c>
      <c r="T761">
        <f t="shared" si="35"/>
        <v>0</v>
      </c>
    </row>
    <row r="762" spans="1:20" x14ac:dyDescent="0.3">
      <c r="A762" s="1">
        <v>45383</v>
      </c>
      <c r="B762" s="1" t="str">
        <f t="shared" si="33"/>
        <v>Reliance_Chennai_Product_9_45383</v>
      </c>
      <c r="C762" s="2" t="s">
        <v>147</v>
      </c>
      <c r="D762" s="2" t="s">
        <v>148</v>
      </c>
      <c r="E762" s="2" t="s">
        <v>34</v>
      </c>
      <c r="F762" s="2" t="s">
        <v>51</v>
      </c>
      <c r="G762" s="2" t="s">
        <v>84</v>
      </c>
      <c r="H762" s="2" t="s">
        <v>37</v>
      </c>
      <c r="I762" s="2" t="s">
        <v>71</v>
      </c>
      <c r="J762" t="s">
        <v>31</v>
      </c>
      <c r="K762">
        <v>9</v>
      </c>
      <c r="L762" s="3"/>
      <c r="M762" s="3"/>
      <c r="N762" s="3"/>
      <c r="O762" s="3">
        <f t="shared" si="34"/>
        <v>0</v>
      </c>
      <c r="P762">
        <v>421.92</v>
      </c>
      <c r="Q762">
        <v>349</v>
      </c>
      <c r="R762">
        <v>6</v>
      </c>
      <c r="S762">
        <v>119</v>
      </c>
      <c r="T762">
        <f t="shared" si="35"/>
        <v>-2.5007999999999999</v>
      </c>
    </row>
    <row r="763" spans="1:20" x14ac:dyDescent="0.3">
      <c r="A763" s="1">
        <v>45383</v>
      </c>
      <c r="B763" s="1" t="str">
        <f t="shared" si="33"/>
        <v>Zepto_Mundka_Product_3_45383</v>
      </c>
      <c r="C763" s="2" t="s">
        <v>72</v>
      </c>
      <c r="D763" s="2" t="s">
        <v>73</v>
      </c>
      <c r="E763" s="2" t="s">
        <v>34</v>
      </c>
      <c r="F763" s="2" t="s">
        <v>46</v>
      </c>
      <c r="G763" s="2" t="s">
        <v>36</v>
      </c>
      <c r="H763" s="2" t="s">
        <v>37</v>
      </c>
      <c r="I763" s="2" t="s">
        <v>43</v>
      </c>
      <c r="J763" t="s">
        <v>31</v>
      </c>
      <c r="K763">
        <v>3</v>
      </c>
      <c r="L763" s="3"/>
      <c r="M763" s="3"/>
      <c r="N763" s="3"/>
      <c r="O763" s="3">
        <f t="shared" si="34"/>
        <v>0</v>
      </c>
      <c r="P763">
        <v>421.92</v>
      </c>
      <c r="Q763">
        <v>107</v>
      </c>
      <c r="R763">
        <v>0</v>
      </c>
      <c r="S763">
        <v>127</v>
      </c>
      <c r="T763">
        <f t="shared" si="35"/>
        <v>0</v>
      </c>
    </row>
    <row r="764" spans="1:20" x14ac:dyDescent="0.3">
      <c r="A764" s="1">
        <v>45383</v>
      </c>
      <c r="B764" s="1" t="str">
        <f t="shared" si="33"/>
        <v>Reliance_Bhiwandi_Product_11_45383</v>
      </c>
      <c r="C764" s="2" t="s">
        <v>87</v>
      </c>
      <c r="D764" s="2" t="s">
        <v>88</v>
      </c>
      <c r="E764" s="2" t="s">
        <v>34</v>
      </c>
      <c r="F764" s="2" t="s">
        <v>51</v>
      </c>
      <c r="G764" s="2" t="s">
        <v>66</v>
      </c>
      <c r="H764" s="2" t="s">
        <v>67</v>
      </c>
      <c r="I764" s="2" t="s">
        <v>89</v>
      </c>
      <c r="J764" t="s">
        <v>31</v>
      </c>
      <c r="K764">
        <v>4</v>
      </c>
      <c r="L764" s="3"/>
      <c r="M764" s="3"/>
      <c r="N764" s="3"/>
      <c r="O764" s="3">
        <f t="shared" si="34"/>
        <v>0</v>
      </c>
      <c r="P764">
        <v>748.8</v>
      </c>
      <c r="Q764">
        <v>320</v>
      </c>
      <c r="R764">
        <v>0</v>
      </c>
      <c r="S764">
        <v>131</v>
      </c>
      <c r="T764">
        <f t="shared" si="35"/>
        <v>3.2687999999999993</v>
      </c>
    </row>
    <row r="765" spans="1:20" x14ac:dyDescent="0.3">
      <c r="A765" s="1">
        <v>45383</v>
      </c>
      <c r="B765" s="1" t="str">
        <f t="shared" si="33"/>
        <v>Swiggy_Mundka_Product_14_45383</v>
      </c>
      <c r="C765" s="2" t="s">
        <v>96</v>
      </c>
      <c r="D765" s="2" t="s">
        <v>97</v>
      </c>
      <c r="E765" s="2" t="s">
        <v>34</v>
      </c>
      <c r="F765" s="2" t="s">
        <v>35</v>
      </c>
      <c r="G765" s="2" t="s">
        <v>36</v>
      </c>
      <c r="H765" s="2" t="s">
        <v>47</v>
      </c>
      <c r="I765" s="2" t="s">
        <v>98</v>
      </c>
      <c r="J765" t="s">
        <v>31</v>
      </c>
      <c r="K765">
        <v>1</v>
      </c>
      <c r="L765" s="3"/>
      <c r="M765" s="3"/>
      <c r="N765" s="3"/>
      <c r="O765" s="3">
        <f t="shared" si="34"/>
        <v>0</v>
      </c>
      <c r="P765">
        <v>748.8</v>
      </c>
      <c r="Q765">
        <v>195</v>
      </c>
      <c r="R765">
        <v>0</v>
      </c>
      <c r="S765">
        <v>97</v>
      </c>
      <c r="T765">
        <f t="shared" si="35"/>
        <v>0</v>
      </c>
    </row>
    <row r="766" spans="1:20" x14ac:dyDescent="0.3">
      <c r="A766" s="1">
        <v>45383</v>
      </c>
      <c r="B766" s="1" t="str">
        <f t="shared" si="33"/>
        <v>Reliance_Ahmedabad_Product_9_45383</v>
      </c>
      <c r="C766" s="2" t="s">
        <v>151</v>
      </c>
      <c r="D766" s="2" t="s">
        <v>152</v>
      </c>
      <c r="E766" s="2" t="s">
        <v>34</v>
      </c>
      <c r="F766" s="2" t="s">
        <v>51</v>
      </c>
      <c r="G766" s="2" t="s">
        <v>52</v>
      </c>
      <c r="H766" s="2" t="s">
        <v>37</v>
      </c>
      <c r="I766" s="2" t="s">
        <v>71</v>
      </c>
      <c r="J766" t="s">
        <v>31</v>
      </c>
      <c r="K766">
        <v>7</v>
      </c>
      <c r="L766" s="3"/>
      <c r="M766" s="3"/>
      <c r="N766" s="3"/>
      <c r="O766" s="3">
        <f t="shared" si="34"/>
        <v>0</v>
      </c>
      <c r="P766">
        <v>84</v>
      </c>
      <c r="Q766">
        <v>304</v>
      </c>
      <c r="R766">
        <v>0</v>
      </c>
      <c r="S766">
        <v>119</v>
      </c>
      <c r="T766">
        <f t="shared" si="35"/>
        <v>-6.6479999999999997</v>
      </c>
    </row>
    <row r="767" spans="1:20" x14ac:dyDescent="0.3">
      <c r="A767" s="1">
        <v>45383</v>
      </c>
      <c r="B767" s="1" t="str">
        <f t="shared" si="33"/>
        <v>Grofers_Kolkata CFA_Product_20_45383</v>
      </c>
      <c r="C767" s="2" t="s">
        <v>153</v>
      </c>
      <c r="D767" s="2" t="s">
        <v>154</v>
      </c>
      <c r="E767" s="2" t="s">
        <v>34</v>
      </c>
      <c r="F767" s="2" t="s">
        <v>114</v>
      </c>
      <c r="G767" s="2" t="s">
        <v>63</v>
      </c>
      <c r="H767" s="2" t="s">
        <v>47</v>
      </c>
      <c r="I767" s="2" t="s">
        <v>130</v>
      </c>
      <c r="J767" t="s">
        <v>31</v>
      </c>
      <c r="K767">
        <v>13</v>
      </c>
      <c r="L767" s="3"/>
      <c r="M767" s="3"/>
      <c r="N767" s="3"/>
      <c r="O767" s="3">
        <f t="shared" si="34"/>
        <v>0</v>
      </c>
      <c r="P767">
        <v>48</v>
      </c>
      <c r="Q767">
        <v>420</v>
      </c>
      <c r="R767">
        <v>1</v>
      </c>
      <c r="S767">
        <v>125</v>
      </c>
      <c r="T767">
        <f t="shared" si="35"/>
        <v>-0.36</v>
      </c>
    </row>
    <row r="768" spans="1:20" x14ac:dyDescent="0.3">
      <c r="A768" s="1">
        <v>45383</v>
      </c>
      <c r="B768" s="1" t="str">
        <f t="shared" si="33"/>
        <v>Grofers_Kolkata CFA_Product_14_45383</v>
      </c>
      <c r="C768" s="2" t="s">
        <v>161</v>
      </c>
      <c r="D768" s="2" t="s">
        <v>162</v>
      </c>
      <c r="E768" s="2" t="s">
        <v>34</v>
      </c>
      <c r="F768" s="2" t="s">
        <v>114</v>
      </c>
      <c r="G768" s="2" t="s">
        <v>63</v>
      </c>
      <c r="H768" s="2" t="s">
        <v>47</v>
      </c>
      <c r="I768" s="2" t="s">
        <v>98</v>
      </c>
      <c r="J768" t="s">
        <v>31</v>
      </c>
      <c r="K768">
        <v>15</v>
      </c>
      <c r="L768" s="3"/>
      <c r="M768" s="3"/>
      <c r="N768" s="3"/>
      <c r="O768" s="3">
        <f t="shared" si="34"/>
        <v>0</v>
      </c>
      <c r="P768">
        <v>383.52</v>
      </c>
      <c r="Q768">
        <v>110</v>
      </c>
      <c r="R768">
        <v>11</v>
      </c>
      <c r="S768">
        <v>97</v>
      </c>
      <c r="T768">
        <f t="shared" si="35"/>
        <v>3.3552</v>
      </c>
    </row>
    <row r="769" spans="1:20" x14ac:dyDescent="0.3">
      <c r="A769" s="1">
        <v>45383</v>
      </c>
      <c r="B769" s="1" t="str">
        <f t="shared" si="33"/>
        <v>Maharashtra_MH-Aggregated_Product_9_45383</v>
      </c>
      <c r="C769" s="2" t="s">
        <v>69</v>
      </c>
      <c r="D769" s="2" t="s">
        <v>70</v>
      </c>
      <c r="E769" s="2" t="s">
        <v>26</v>
      </c>
      <c r="F769" s="2" t="s">
        <v>41</v>
      </c>
      <c r="G769" s="2" t="s">
        <v>42</v>
      </c>
      <c r="H769" s="2" t="s">
        <v>37</v>
      </c>
      <c r="I769" s="2" t="s">
        <v>71</v>
      </c>
      <c r="J769" t="s">
        <v>31</v>
      </c>
      <c r="K769">
        <v>3</v>
      </c>
      <c r="L769" s="3"/>
      <c r="M769" s="3"/>
      <c r="N769" s="3"/>
      <c r="O769" s="3">
        <f t="shared" si="34"/>
        <v>0</v>
      </c>
      <c r="P769">
        <v>383.52</v>
      </c>
      <c r="Q769">
        <v>435</v>
      </c>
      <c r="R769">
        <v>0</v>
      </c>
      <c r="S769">
        <v>119</v>
      </c>
      <c r="T769">
        <f t="shared" si="35"/>
        <v>0</v>
      </c>
    </row>
    <row r="770" spans="1:20" x14ac:dyDescent="0.3">
      <c r="A770" s="1">
        <v>45383</v>
      </c>
      <c r="B770" s="1" t="str">
        <f t="shared" si="33"/>
        <v>Grofers_Mundka_Product_21_45383</v>
      </c>
      <c r="C770" s="2" t="s">
        <v>131</v>
      </c>
      <c r="D770" s="2" t="s">
        <v>132</v>
      </c>
      <c r="E770" s="2" t="s">
        <v>34</v>
      </c>
      <c r="F770" s="2" t="s">
        <v>114</v>
      </c>
      <c r="G770" s="2" t="s">
        <v>36</v>
      </c>
      <c r="H770" s="2" t="s">
        <v>133</v>
      </c>
      <c r="I770" s="2" t="s">
        <v>134</v>
      </c>
      <c r="J770" t="s">
        <v>31</v>
      </c>
      <c r="K770">
        <v>6</v>
      </c>
      <c r="L770" s="3"/>
      <c r="M770" s="3"/>
      <c r="N770" s="3"/>
      <c r="O770" s="3">
        <f t="shared" si="34"/>
        <v>0</v>
      </c>
      <c r="P770">
        <v>672</v>
      </c>
      <c r="Q770">
        <v>473</v>
      </c>
      <c r="R770">
        <v>0</v>
      </c>
      <c r="S770">
        <v>115</v>
      </c>
      <c r="T770">
        <f t="shared" si="35"/>
        <v>2.8848000000000003</v>
      </c>
    </row>
    <row r="771" spans="1:20" x14ac:dyDescent="0.3">
      <c r="A771" s="1">
        <v>45383</v>
      </c>
      <c r="B771" s="1" t="str">
        <f t="shared" ref="B771:B834" si="36">C771&amp;"_"&amp;A771</f>
        <v>Reliance_Bhiwandi_Product_8_45383</v>
      </c>
      <c r="C771" s="2" t="s">
        <v>64</v>
      </c>
      <c r="D771" s="2" t="s">
        <v>65</v>
      </c>
      <c r="E771" s="2" t="s">
        <v>34</v>
      </c>
      <c r="F771" s="2" t="s">
        <v>51</v>
      </c>
      <c r="G771" s="2" t="s">
        <v>66</v>
      </c>
      <c r="H771" s="2" t="s">
        <v>67</v>
      </c>
      <c r="I771" s="2" t="s">
        <v>68</v>
      </c>
      <c r="J771" t="s">
        <v>31</v>
      </c>
      <c r="K771">
        <v>2</v>
      </c>
      <c r="L771" s="3"/>
      <c r="M771" s="3"/>
      <c r="N771" s="3"/>
      <c r="O771" s="3">
        <f t="shared" ref="O771:O834" si="37">L771</f>
        <v>0</v>
      </c>
      <c r="P771">
        <v>672</v>
      </c>
      <c r="Q771">
        <v>415</v>
      </c>
      <c r="R771">
        <v>4</v>
      </c>
      <c r="S771">
        <v>126</v>
      </c>
      <c r="T771">
        <f t="shared" si="35"/>
        <v>0</v>
      </c>
    </row>
    <row r="772" spans="1:20" x14ac:dyDescent="0.3">
      <c r="A772" s="1">
        <v>45383</v>
      </c>
      <c r="B772" s="1" t="str">
        <f t="shared" si="36"/>
        <v>Reliance_Bhiwandi_Product_10_45383</v>
      </c>
      <c r="C772" s="2" t="s">
        <v>85</v>
      </c>
      <c r="D772" s="2" t="s">
        <v>86</v>
      </c>
      <c r="E772" s="2" t="s">
        <v>34</v>
      </c>
      <c r="F772" s="2" t="s">
        <v>51</v>
      </c>
      <c r="G772" s="2" t="s">
        <v>66</v>
      </c>
      <c r="H772" s="2" t="s">
        <v>67</v>
      </c>
      <c r="I772" s="2" t="s">
        <v>76</v>
      </c>
      <c r="J772" t="s">
        <v>31</v>
      </c>
      <c r="K772">
        <v>34</v>
      </c>
      <c r="L772" s="3"/>
      <c r="M772" s="3"/>
      <c r="N772" s="3"/>
      <c r="O772" s="3">
        <f t="shared" si="37"/>
        <v>0</v>
      </c>
      <c r="P772">
        <v>421.92</v>
      </c>
      <c r="Q772">
        <v>343</v>
      </c>
      <c r="R772">
        <v>3</v>
      </c>
      <c r="S772">
        <v>106</v>
      </c>
      <c r="T772">
        <f t="shared" ref="T772:T835" si="38">(P772-P771)/100</f>
        <v>-2.5007999999999999</v>
      </c>
    </row>
    <row r="773" spans="1:20" x14ac:dyDescent="0.3">
      <c r="A773" s="1">
        <v>45383</v>
      </c>
      <c r="B773" s="1" t="str">
        <f t="shared" si="36"/>
        <v>Grofers_Ahmedabad_Product_8_45383</v>
      </c>
      <c r="C773" s="2" t="s">
        <v>157</v>
      </c>
      <c r="D773" s="2" t="s">
        <v>158</v>
      </c>
      <c r="E773" s="2" t="s">
        <v>34</v>
      </c>
      <c r="F773" s="2" t="s">
        <v>114</v>
      </c>
      <c r="G773" s="2" t="s">
        <v>52</v>
      </c>
      <c r="H773" s="2" t="s">
        <v>67</v>
      </c>
      <c r="I773" s="2" t="s">
        <v>68</v>
      </c>
      <c r="J773" t="s">
        <v>31</v>
      </c>
      <c r="K773">
        <v>6</v>
      </c>
      <c r="L773" s="3"/>
      <c r="M773" s="3"/>
      <c r="N773" s="3"/>
      <c r="O773" s="3">
        <f t="shared" si="37"/>
        <v>0</v>
      </c>
      <c r="P773">
        <v>421.92</v>
      </c>
      <c r="Q773">
        <v>296</v>
      </c>
      <c r="R773">
        <v>0</v>
      </c>
      <c r="S773">
        <v>126</v>
      </c>
      <c r="T773">
        <f t="shared" si="38"/>
        <v>0</v>
      </c>
    </row>
    <row r="774" spans="1:20" x14ac:dyDescent="0.3">
      <c r="A774" s="1">
        <v>45383</v>
      </c>
      <c r="B774" s="1" t="str">
        <f t="shared" si="36"/>
        <v>Reliance_Bangalore_Product_3_45383</v>
      </c>
      <c r="C774" s="2" t="s">
        <v>80</v>
      </c>
      <c r="D774" s="2" t="s">
        <v>81</v>
      </c>
      <c r="E774" s="2" t="s">
        <v>34</v>
      </c>
      <c r="F774" s="2" t="s">
        <v>51</v>
      </c>
      <c r="G774" s="2" t="s">
        <v>79</v>
      </c>
      <c r="H774" s="2" t="s">
        <v>37</v>
      </c>
      <c r="I774" s="2" t="s">
        <v>43</v>
      </c>
      <c r="J774" t="s">
        <v>31</v>
      </c>
      <c r="K774">
        <v>11</v>
      </c>
      <c r="L774" s="3"/>
      <c r="M774" s="3"/>
      <c r="N774" s="3"/>
      <c r="O774" s="3">
        <f t="shared" si="37"/>
        <v>0</v>
      </c>
      <c r="P774">
        <v>748.8</v>
      </c>
      <c r="Q774">
        <v>258</v>
      </c>
      <c r="R774">
        <v>0</v>
      </c>
      <c r="S774">
        <v>127</v>
      </c>
      <c r="T774">
        <f t="shared" si="38"/>
        <v>3.2687999999999993</v>
      </c>
    </row>
    <row r="775" spans="1:20" x14ac:dyDescent="0.3">
      <c r="A775" s="1">
        <v>45383</v>
      </c>
      <c r="B775" s="1" t="str">
        <f t="shared" si="36"/>
        <v>Swiggy_Kolkata CFA_Product_3_45383</v>
      </c>
      <c r="C775" s="2" t="s">
        <v>61</v>
      </c>
      <c r="D775" s="2" t="s">
        <v>62</v>
      </c>
      <c r="E775" s="2" t="s">
        <v>34</v>
      </c>
      <c r="F775" s="2" t="s">
        <v>35</v>
      </c>
      <c r="G775" s="2" t="s">
        <v>63</v>
      </c>
      <c r="H775" s="2" t="s">
        <v>37</v>
      </c>
      <c r="I775" s="2" t="s">
        <v>43</v>
      </c>
      <c r="J775" t="s">
        <v>31</v>
      </c>
      <c r="K775">
        <v>2</v>
      </c>
      <c r="L775" s="3"/>
      <c r="M775" s="3"/>
      <c r="N775" s="3"/>
      <c r="O775" s="3">
        <f t="shared" si="37"/>
        <v>0</v>
      </c>
      <c r="P775">
        <v>748.8</v>
      </c>
      <c r="Q775">
        <v>428</v>
      </c>
      <c r="R775">
        <v>0</v>
      </c>
      <c r="S775">
        <v>127</v>
      </c>
      <c r="T775">
        <f t="shared" si="38"/>
        <v>0</v>
      </c>
    </row>
    <row r="776" spans="1:20" x14ac:dyDescent="0.3">
      <c r="A776" s="1">
        <v>45383</v>
      </c>
      <c r="B776" s="1" t="str">
        <f t="shared" si="36"/>
        <v>Reliance_Mundka_Product_6_45383</v>
      </c>
      <c r="C776" s="2" t="s">
        <v>55</v>
      </c>
      <c r="D776" s="2" t="s">
        <v>56</v>
      </c>
      <c r="E776" s="2" t="s">
        <v>34</v>
      </c>
      <c r="F776" s="2" t="s">
        <v>51</v>
      </c>
      <c r="G776" s="2" t="s">
        <v>36</v>
      </c>
      <c r="H776" s="2" t="s">
        <v>37</v>
      </c>
      <c r="I776" s="2" t="s">
        <v>57</v>
      </c>
      <c r="J776" t="s">
        <v>31</v>
      </c>
      <c r="K776">
        <v>20</v>
      </c>
      <c r="L776" s="3"/>
      <c r="M776" s="3"/>
      <c r="N776" s="3"/>
      <c r="O776" s="3">
        <f t="shared" si="37"/>
        <v>0</v>
      </c>
      <c r="P776">
        <v>84</v>
      </c>
      <c r="Q776">
        <v>363</v>
      </c>
      <c r="R776">
        <v>13</v>
      </c>
      <c r="S776">
        <v>135</v>
      </c>
      <c r="T776">
        <f t="shared" si="38"/>
        <v>-6.6479999999999997</v>
      </c>
    </row>
    <row r="777" spans="1:20" x14ac:dyDescent="0.3">
      <c r="A777" s="1">
        <v>45383</v>
      </c>
      <c r="B777" s="1" t="str">
        <f t="shared" si="36"/>
        <v>Reliance_Bangalore_Product_8_45383</v>
      </c>
      <c r="C777" s="2" t="s">
        <v>77</v>
      </c>
      <c r="D777" s="2" t="s">
        <v>78</v>
      </c>
      <c r="E777" s="2" t="s">
        <v>34</v>
      </c>
      <c r="F777" s="2" t="s">
        <v>51</v>
      </c>
      <c r="G777" s="2" t="s">
        <v>79</v>
      </c>
      <c r="H777" s="2" t="s">
        <v>67</v>
      </c>
      <c r="I777" s="2" t="s">
        <v>68</v>
      </c>
      <c r="J777" t="s">
        <v>31</v>
      </c>
      <c r="K777">
        <v>44</v>
      </c>
      <c r="L777" s="3"/>
      <c r="M777" s="3"/>
      <c r="N777" s="3"/>
      <c r="O777" s="3">
        <f t="shared" si="37"/>
        <v>0</v>
      </c>
      <c r="P777">
        <v>48</v>
      </c>
      <c r="Q777">
        <v>145</v>
      </c>
      <c r="R777">
        <v>13</v>
      </c>
      <c r="S777">
        <v>126</v>
      </c>
      <c r="T777">
        <f t="shared" si="38"/>
        <v>-0.36</v>
      </c>
    </row>
    <row r="778" spans="1:20" x14ac:dyDescent="0.3">
      <c r="A778" s="1">
        <v>45383</v>
      </c>
      <c r="B778" s="1" t="str">
        <f t="shared" si="36"/>
        <v>Swiggy_Mundka_Product_2_45383</v>
      </c>
      <c r="C778" s="2" t="s">
        <v>32</v>
      </c>
      <c r="D778" s="2" t="s">
        <v>33</v>
      </c>
      <c r="E778" s="2" t="s">
        <v>34</v>
      </c>
      <c r="F778" s="2" t="s">
        <v>35</v>
      </c>
      <c r="G778" s="2" t="s">
        <v>36</v>
      </c>
      <c r="H778" s="2" t="s">
        <v>37</v>
      </c>
      <c r="I778" s="2" t="s">
        <v>38</v>
      </c>
      <c r="J778" t="s">
        <v>31</v>
      </c>
      <c r="K778">
        <v>4</v>
      </c>
      <c r="L778" s="3"/>
      <c r="M778" s="3"/>
      <c r="N778" s="3"/>
      <c r="O778" s="3">
        <f t="shared" si="37"/>
        <v>0</v>
      </c>
      <c r="P778">
        <v>383.52</v>
      </c>
      <c r="Q778">
        <v>366</v>
      </c>
      <c r="R778">
        <v>0</v>
      </c>
      <c r="S778">
        <v>134</v>
      </c>
      <c r="T778">
        <f t="shared" si="38"/>
        <v>3.3552</v>
      </c>
    </row>
    <row r="779" spans="1:20" x14ac:dyDescent="0.3">
      <c r="A779" s="1">
        <v>45383</v>
      </c>
      <c r="B779" s="1" t="str">
        <f t="shared" si="36"/>
        <v>Zepto_Mundka_Product_4_45383</v>
      </c>
      <c r="C779" s="2" t="s">
        <v>44</v>
      </c>
      <c r="D779" s="2" t="s">
        <v>45</v>
      </c>
      <c r="E779" s="2" t="s">
        <v>34</v>
      </c>
      <c r="F779" s="2" t="s">
        <v>46</v>
      </c>
      <c r="G779" s="2" t="s">
        <v>36</v>
      </c>
      <c r="H779" s="2" t="s">
        <v>47</v>
      </c>
      <c r="I779" s="2" t="s">
        <v>48</v>
      </c>
      <c r="J779" t="s">
        <v>31</v>
      </c>
      <c r="K779">
        <v>2</v>
      </c>
      <c r="L779" s="3"/>
      <c r="M779" s="3"/>
      <c r="N779" s="3"/>
      <c r="O779" s="3">
        <f t="shared" si="37"/>
        <v>0</v>
      </c>
      <c r="P779">
        <v>383.52</v>
      </c>
      <c r="Q779">
        <v>448</v>
      </c>
      <c r="R779">
        <v>14</v>
      </c>
      <c r="S779">
        <v>142</v>
      </c>
      <c r="T779">
        <f t="shared" si="38"/>
        <v>0</v>
      </c>
    </row>
    <row r="780" spans="1:20" x14ac:dyDescent="0.3">
      <c r="A780" s="1">
        <v>45383</v>
      </c>
      <c r="B780" s="1" t="str">
        <f t="shared" si="36"/>
        <v>Reliance_Chennai_Product_11_45383</v>
      </c>
      <c r="C780" s="2" t="s">
        <v>110</v>
      </c>
      <c r="D780" s="2" t="s">
        <v>111</v>
      </c>
      <c r="E780" s="2" t="s">
        <v>34</v>
      </c>
      <c r="F780" s="2" t="s">
        <v>51</v>
      </c>
      <c r="G780" s="2" t="s">
        <v>84</v>
      </c>
      <c r="H780" s="2" t="s">
        <v>67</v>
      </c>
      <c r="I780" s="2" t="s">
        <v>89</v>
      </c>
      <c r="J780" t="s">
        <v>31</v>
      </c>
      <c r="K780">
        <v>3</v>
      </c>
      <c r="L780" s="3"/>
      <c r="M780" s="3"/>
      <c r="N780" s="3"/>
      <c r="O780" s="3">
        <f t="shared" si="37"/>
        <v>0</v>
      </c>
      <c r="P780">
        <v>672</v>
      </c>
      <c r="Q780">
        <v>358</v>
      </c>
      <c r="R780">
        <v>0</v>
      </c>
      <c r="S780">
        <v>131</v>
      </c>
      <c r="T780">
        <f t="shared" si="38"/>
        <v>2.8848000000000003</v>
      </c>
    </row>
    <row r="781" spans="1:20" x14ac:dyDescent="0.3">
      <c r="A781" s="1">
        <v>45383</v>
      </c>
      <c r="B781" s="1" t="str">
        <f t="shared" si="36"/>
        <v>Reliance_Ahmedabad_Product_18_45383</v>
      </c>
      <c r="C781" s="2" t="s">
        <v>121</v>
      </c>
      <c r="D781" s="2" t="s">
        <v>122</v>
      </c>
      <c r="E781" s="2" t="s">
        <v>34</v>
      </c>
      <c r="F781" s="2" t="s">
        <v>51</v>
      </c>
      <c r="G781" s="2" t="s">
        <v>52</v>
      </c>
      <c r="H781" s="2" t="s">
        <v>29</v>
      </c>
      <c r="I781" s="2" t="s">
        <v>123</v>
      </c>
      <c r="J781" t="s">
        <v>31</v>
      </c>
      <c r="K781">
        <v>2</v>
      </c>
      <c r="L781" s="3"/>
      <c r="M781" s="3"/>
      <c r="N781" s="3"/>
      <c r="O781" s="3">
        <f t="shared" si="37"/>
        <v>0</v>
      </c>
      <c r="P781">
        <v>672</v>
      </c>
      <c r="Q781">
        <v>356</v>
      </c>
      <c r="R781">
        <v>4</v>
      </c>
      <c r="S781">
        <v>129</v>
      </c>
      <c r="T781">
        <f t="shared" si="38"/>
        <v>0</v>
      </c>
    </row>
    <row r="782" spans="1:20" x14ac:dyDescent="0.3">
      <c r="A782" s="1">
        <v>45383</v>
      </c>
      <c r="B782" s="1" t="str">
        <f t="shared" si="36"/>
        <v>Jharkhand_JH-Aggregated_Product_1_45383</v>
      </c>
      <c r="C782" s="2" t="s">
        <v>24</v>
      </c>
      <c r="D782" s="2" t="s">
        <v>25</v>
      </c>
      <c r="E782" s="2" t="s">
        <v>26</v>
      </c>
      <c r="F782" s="2" t="s">
        <v>27</v>
      </c>
      <c r="G782" s="2" t="s">
        <v>28</v>
      </c>
      <c r="H782" s="2" t="s">
        <v>29</v>
      </c>
      <c r="I782" s="2" t="s">
        <v>30</v>
      </c>
      <c r="J782" t="s">
        <v>31</v>
      </c>
      <c r="K782">
        <v>7</v>
      </c>
      <c r="L782" s="3"/>
      <c r="M782" s="3"/>
      <c r="N782" s="3"/>
      <c r="O782" s="3">
        <f t="shared" si="37"/>
        <v>0</v>
      </c>
      <c r="P782">
        <v>421.92</v>
      </c>
      <c r="Q782">
        <v>241</v>
      </c>
      <c r="R782">
        <v>0</v>
      </c>
      <c r="S782">
        <v>111</v>
      </c>
      <c r="T782">
        <f t="shared" si="38"/>
        <v>-2.5007999999999999</v>
      </c>
    </row>
    <row r="783" spans="1:20" x14ac:dyDescent="0.3">
      <c r="A783" s="1">
        <v>45383</v>
      </c>
      <c r="B783" s="1" t="str">
        <f t="shared" si="36"/>
        <v>Swiggy_Kolkata CFA_Product_11_45383</v>
      </c>
      <c r="C783" s="2" t="s">
        <v>119</v>
      </c>
      <c r="D783" s="2" t="s">
        <v>120</v>
      </c>
      <c r="E783" s="2" t="s">
        <v>34</v>
      </c>
      <c r="F783" s="2" t="s">
        <v>35</v>
      </c>
      <c r="G783" s="2" t="s">
        <v>63</v>
      </c>
      <c r="H783" s="2" t="s">
        <v>67</v>
      </c>
      <c r="I783" s="2" t="s">
        <v>89</v>
      </c>
      <c r="J783" t="s">
        <v>31</v>
      </c>
      <c r="K783">
        <v>3</v>
      </c>
      <c r="L783" s="3"/>
      <c r="M783" s="3"/>
      <c r="N783" s="3"/>
      <c r="O783" s="3">
        <f t="shared" si="37"/>
        <v>0</v>
      </c>
      <c r="P783">
        <v>421.92</v>
      </c>
      <c r="Q783">
        <v>258</v>
      </c>
      <c r="R783">
        <v>4</v>
      </c>
      <c r="S783">
        <v>131</v>
      </c>
      <c r="T783">
        <f t="shared" si="38"/>
        <v>0</v>
      </c>
    </row>
    <row r="784" spans="1:20" x14ac:dyDescent="0.3">
      <c r="A784" s="1">
        <v>45383</v>
      </c>
      <c r="B784" s="1" t="str">
        <f t="shared" si="36"/>
        <v>Swiggy_Bangalore_Product_16_45383</v>
      </c>
      <c r="C784" s="2" t="s">
        <v>107</v>
      </c>
      <c r="D784" s="2" t="s">
        <v>108</v>
      </c>
      <c r="E784" s="2" t="s">
        <v>34</v>
      </c>
      <c r="F784" s="2" t="s">
        <v>35</v>
      </c>
      <c r="G784" s="2" t="s">
        <v>79</v>
      </c>
      <c r="H784" s="2" t="s">
        <v>47</v>
      </c>
      <c r="I784" s="2" t="s">
        <v>109</v>
      </c>
      <c r="J784" t="s">
        <v>31</v>
      </c>
      <c r="K784">
        <v>4</v>
      </c>
      <c r="L784" s="3"/>
      <c r="M784" s="3"/>
      <c r="N784" s="3"/>
      <c r="O784" s="3">
        <f t="shared" si="37"/>
        <v>0</v>
      </c>
      <c r="P784">
        <v>748.8</v>
      </c>
      <c r="Q784">
        <v>107</v>
      </c>
      <c r="R784">
        <v>0</v>
      </c>
      <c r="S784">
        <v>122</v>
      </c>
      <c r="T784">
        <f t="shared" si="38"/>
        <v>3.2687999999999993</v>
      </c>
    </row>
    <row r="785" spans="1:20" x14ac:dyDescent="0.3">
      <c r="A785" s="1">
        <v>45383</v>
      </c>
      <c r="B785" s="1" t="str">
        <f t="shared" si="36"/>
        <v>Swiggy_Kolkata CFA_Product_20_45383</v>
      </c>
      <c r="C785" s="2" t="s">
        <v>128</v>
      </c>
      <c r="D785" s="2" t="s">
        <v>129</v>
      </c>
      <c r="E785" s="2" t="s">
        <v>34</v>
      </c>
      <c r="F785" s="2" t="s">
        <v>35</v>
      </c>
      <c r="G785" s="2" t="s">
        <v>63</v>
      </c>
      <c r="H785" s="2" t="s">
        <v>47</v>
      </c>
      <c r="I785" s="2" t="s">
        <v>130</v>
      </c>
      <c r="J785" t="s">
        <v>31</v>
      </c>
      <c r="K785">
        <v>1</v>
      </c>
      <c r="L785" s="3"/>
      <c r="M785" s="3"/>
      <c r="N785" s="3"/>
      <c r="O785" s="3">
        <f t="shared" si="37"/>
        <v>0</v>
      </c>
      <c r="P785">
        <v>748.8</v>
      </c>
      <c r="Q785">
        <v>356</v>
      </c>
      <c r="R785">
        <v>0</v>
      </c>
      <c r="S785">
        <v>125</v>
      </c>
      <c r="T785">
        <f t="shared" si="38"/>
        <v>0</v>
      </c>
    </row>
    <row r="786" spans="1:20" x14ac:dyDescent="0.3">
      <c r="A786" s="1">
        <v>45383</v>
      </c>
      <c r="B786" s="1" t="str">
        <f t="shared" si="36"/>
        <v>Grofers_Hyderabad_Product_21_45383</v>
      </c>
      <c r="C786" s="2" t="s">
        <v>135</v>
      </c>
      <c r="D786" s="2" t="s">
        <v>136</v>
      </c>
      <c r="E786" s="2" t="s">
        <v>34</v>
      </c>
      <c r="F786" s="2" t="s">
        <v>114</v>
      </c>
      <c r="G786" s="2" t="s">
        <v>137</v>
      </c>
      <c r="H786" s="2" t="s">
        <v>133</v>
      </c>
      <c r="I786" s="2" t="s">
        <v>134</v>
      </c>
      <c r="J786" t="s">
        <v>31</v>
      </c>
      <c r="K786">
        <v>5</v>
      </c>
      <c r="L786" s="3"/>
      <c r="M786" s="3"/>
      <c r="N786" s="3"/>
      <c r="O786" s="3">
        <f t="shared" si="37"/>
        <v>0</v>
      </c>
      <c r="P786">
        <v>84</v>
      </c>
      <c r="Q786">
        <v>188</v>
      </c>
      <c r="R786">
        <v>0</v>
      </c>
      <c r="S786">
        <v>115</v>
      </c>
      <c r="T786">
        <f t="shared" si="38"/>
        <v>-6.6479999999999997</v>
      </c>
    </row>
    <row r="787" spans="1:20" x14ac:dyDescent="0.3">
      <c r="A787" s="1">
        <v>45383</v>
      </c>
      <c r="B787" s="1" t="str">
        <f t="shared" si="36"/>
        <v>Reliance_Mundka_Product_7_45383</v>
      </c>
      <c r="C787" s="2" t="s">
        <v>58</v>
      </c>
      <c r="D787" s="2" t="s">
        <v>59</v>
      </c>
      <c r="E787" s="2" t="s">
        <v>34</v>
      </c>
      <c r="F787" s="2" t="s">
        <v>51</v>
      </c>
      <c r="G787" s="2" t="s">
        <v>36</v>
      </c>
      <c r="H787" s="2" t="s">
        <v>37</v>
      </c>
      <c r="I787" s="2" t="s">
        <v>60</v>
      </c>
      <c r="J787" t="s">
        <v>31</v>
      </c>
      <c r="K787">
        <v>10</v>
      </c>
      <c r="L787" s="3"/>
      <c r="M787" s="3"/>
      <c r="N787" s="3"/>
      <c r="O787" s="3">
        <f t="shared" si="37"/>
        <v>0</v>
      </c>
      <c r="P787">
        <v>48</v>
      </c>
      <c r="Q787">
        <v>473</v>
      </c>
      <c r="R787">
        <v>0</v>
      </c>
      <c r="S787">
        <v>117</v>
      </c>
      <c r="T787">
        <f t="shared" si="38"/>
        <v>-0.36</v>
      </c>
    </row>
    <row r="788" spans="1:20" x14ac:dyDescent="0.3">
      <c r="A788" s="1">
        <v>45383</v>
      </c>
      <c r="B788" s="1" t="str">
        <f t="shared" si="36"/>
        <v>Reliance_Bangalore_Product_14_45383</v>
      </c>
      <c r="C788" s="2" t="s">
        <v>155</v>
      </c>
      <c r="D788" s="2" t="s">
        <v>156</v>
      </c>
      <c r="E788" s="2" t="s">
        <v>34</v>
      </c>
      <c r="F788" s="2" t="s">
        <v>51</v>
      </c>
      <c r="G788" s="2" t="s">
        <v>79</v>
      </c>
      <c r="H788" s="2" t="s">
        <v>47</v>
      </c>
      <c r="I788" s="2" t="s">
        <v>98</v>
      </c>
      <c r="J788" t="s">
        <v>31</v>
      </c>
      <c r="K788">
        <v>15</v>
      </c>
      <c r="L788" s="3"/>
      <c r="M788" s="3"/>
      <c r="N788" s="3"/>
      <c r="O788" s="3">
        <f t="shared" si="37"/>
        <v>0</v>
      </c>
      <c r="P788">
        <v>383.52</v>
      </c>
      <c r="Q788">
        <v>195</v>
      </c>
      <c r="R788">
        <v>5</v>
      </c>
      <c r="S788">
        <v>97</v>
      </c>
      <c r="T788">
        <f t="shared" si="38"/>
        <v>3.3552</v>
      </c>
    </row>
    <row r="789" spans="1:20" x14ac:dyDescent="0.3">
      <c r="A789" s="1">
        <v>45413</v>
      </c>
      <c r="B789" s="1" t="str">
        <f t="shared" si="36"/>
        <v>Reliance_Kolkata CFA_Product_12_45413</v>
      </c>
      <c r="C789" s="2" t="s">
        <v>101</v>
      </c>
      <c r="D789" s="2" t="s">
        <v>102</v>
      </c>
      <c r="E789" s="2" t="s">
        <v>34</v>
      </c>
      <c r="F789" s="2" t="s">
        <v>51</v>
      </c>
      <c r="G789" s="2" t="s">
        <v>63</v>
      </c>
      <c r="H789" s="2" t="s">
        <v>67</v>
      </c>
      <c r="I789" s="2" t="s">
        <v>92</v>
      </c>
      <c r="J789" t="s">
        <v>31</v>
      </c>
      <c r="K789">
        <v>3</v>
      </c>
      <c r="L789" s="3"/>
      <c r="M789" s="3"/>
      <c r="N789" s="3"/>
      <c r="O789" s="3">
        <f t="shared" si="37"/>
        <v>0</v>
      </c>
      <c r="P789">
        <v>383.52</v>
      </c>
      <c r="Q789">
        <v>294</v>
      </c>
      <c r="R789">
        <v>0</v>
      </c>
      <c r="S789">
        <v>94</v>
      </c>
      <c r="T789">
        <f t="shared" si="38"/>
        <v>0</v>
      </c>
    </row>
    <row r="790" spans="1:20" x14ac:dyDescent="0.3">
      <c r="A790" s="1">
        <v>45413</v>
      </c>
      <c r="B790" s="1" t="str">
        <f t="shared" si="36"/>
        <v>Jharkhand_JH-Aggregated_Product_19_45413</v>
      </c>
      <c r="C790" s="2" t="s">
        <v>124</v>
      </c>
      <c r="D790" s="2" t="s">
        <v>125</v>
      </c>
      <c r="E790" s="2" t="s">
        <v>26</v>
      </c>
      <c r="F790" s="2" t="s">
        <v>27</v>
      </c>
      <c r="G790" s="2" t="s">
        <v>28</v>
      </c>
      <c r="H790" s="2" t="s">
        <v>126</v>
      </c>
      <c r="I790" s="2" t="s">
        <v>127</v>
      </c>
      <c r="J790" t="s">
        <v>31</v>
      </c>
      <c r="K790">
        <v>6</v>
      </c>
      <c r="L790" s="3"/>
      <c r="M790" s="3"/>
      <c r="N790" s="3"/>
      <c r="O790" s="3">
        <f t="shared" si="37"/>
        <v>0</v>
      </c>
      <c r="P790">
        <v>672</v>
      </c>
      <c r="Q790">
        <v>191</v>
      </c>
      <c r="R790">
        <v>5</v>
      </c>
      <c r="S790">
        <v>94</v>
      </c>
      <c r="T790">
        <f t="shared" si="38"/>
        <v>2.8848000000000003</v>
      </c>
    </row>
    <row r="791" spans="1:20" x14ac:dyDescent="0.3">
      <c r="A791" s="1">
        <v>45413</v>
      </c>
      <c r="B791" s="1" t="str">
        <f t="shared" si="36"/>
        <v>Zepto_Bangalore_Product_12_45413</v>
      </c>
      <c r="C791" s="2" t="s">
        <v>90</v>
      </c>
      <c r="D791" s="2" t="s">
        <v>91</v>
      </c>
      <c r="E791" s="2" t="s">
        <v>34</v>
      </c>
      <c r="F791" s="2" t="s">
        <v>46</v>
      </c>
      <c r="G791" s="2" t="s">
        <v>79</v>
      </c>
      <c r="H791" s="2" t="s">
        <v>67</v>
      </c>
      <c r="I791" s="2" t="s">
        <v>92</v>
      </c>
      <c r="J791" t="s">
        <v>31</v>
      </c>
      <c r="K791">
        <v>2</v>
      </c>
      <c r="L791" s="3"/>
      <c r="M791" s="3"/>
      <c r="N791" s="3"/>
      <c r="O791" s="3">
        <f t="shared" si="37"/>
        <v>0</v>
      </c>
      <c r="P791">
        <v>672</v>
      </c>
      <c r="Q791">
        <v>346</v>
      </c>
      <c r="R791">
        <v>8</v>
      </c>
      <c r="S791">
        <v>94</v>
      </c>
      <c r="T791">
        <f t="shared" si="38"/>
        <v>0</v>
      </c>
    </row>
    <row r="792" spans="1:20" x14ac:dyDescent="0.3">
      <c r="A792" s="1">
        <v>45413</v>
      </c>
      <c r="B792" s="1" t="str">
        <f t="shared" si="36"/>
        <v>Reliance_Ahmedabad_Product_5_45413</v>
      </c>
      <c r="C792" s="2" t="s">
        <v>49</v>
      </c>
      <c r="D792" s="2" t="s">
        <v>50</v>
      </c>
      <c r="E792" s="2" t="s">
        <v>34</v>
      </c>
      <c r="F792" s="2" t="s">
        <v>51</v>
      </c>
      <c r="G792" s="2" t="s">
        <v>52</v>
      </c>
      <c r="H792" s="2" t="s">
        <v>53</v>
      </c>
      <c r="I792" s="2" t="s">
        <v>54</v>
      </c>
      <c r="J792" t="s">
        <v>31</v>
      </c>
      <c r="K792">
        <v>34</v>
      </c>
      <c r="L792" s="3"/>
      <c r="M792" s="3"/>
      <c r="N792" s="3"/>
      <c r="O792" s="3">
        <f t="shared" si="37"/>
        <v>0</v>
      </c>
      <c r="P792">
        <v>421.92</v>
      </c>
      <c r="Q792">
        <v>491</v>
      </c>
      <c r="R792">
        <v>9</v>
      </c>
      <c r="S792">
        <v>132</v>
      </c>
      <c r="T792">
        <f t="shared" si="38"/>
        <v>-2.5007999999999999</v>
      </c>
    </row>
    <row r="793" spans="1:20" x14ac:dyDescent="0.3">
      <c r="A793" s="1">
        <v>45413</v>
      </c>
      <c r="B793" s="1" t="str">
        <f t="shared" si="36"/>
        <v>Grofers_Kolkata CFA_Product_14_45413</v>
      </c>
      <c r="C793" s="2" t="s">
        <v>161</v>
      </c>
      <c r="D793" s="2" t="s">
        <v>162</v>
      </c>
      <c r="E793" s="2" t="s">
        <v>34</v>
      </c>
      <c r="F793" s="2" t="s">
        <v>114</v>
      </c>
      <c r="G793" s="2" t="s">
        <v>63</v>
      </c>
      <c r="H793" s="2" t="s">
        <v>47</v>
      </c>
      <c r="I793" s="2" t="s">
        <v>98</v>
      </c>
      <c r="J793" t="s">
        <v>31</v>
      </c>
      <c r="K793">
        <v>6</v>
      </c>
      <c r="L793" s="3"/>
      <c r="M793" s="3"/>
      <c r="N793" s="3"/>
      <c r="O793" s="3">
        <f t="shared" si="37"/>
        <v>0</v>
      </c>
      <c r="P793">
        <v>421.92</v>
      </c>
      <c r="Q793">
        <v>414</v>
      </c>
      <c r="R793">
        <v>9</v>
      </c>
      <c r="S793">
        <v>97</v>
      </c>
      <c r="T793">
        <f t="shared" si="38"/>
        <v>0</v>
      </c>
    </row>
    <row r="794" spans="1:20" x14ac:dyDescent="0.3">
      <c r="A794" s="1">
        <v>45413</v>
      </c>
      <c r="B794" s="1" t="str">
        <f t="shared" si="36"/>
        <v>Grofers_Ahmedabad_Product_9_45413</v>
      </c>
      <c r="C794" s="2" t="s">
        <v>112</v>
      </c>
      <c r="D794" s="2" t="s">
        <v>113</v>
      </c>
      <c r="E794" s="2" t="s">
        <v>34</v>
      </c>
      <c r="F794" s="2" t="s">
        <v>114</v>
      </c>
      <c r="G794" s="2" t="s">
        <v>52</v>
      </c>
      <c r="H794" s="2" t="s">
        <v>37</v>
      </c>
      <c r="I794" s="2" t="s">
        <v>71</v>
      </c>
      <c r="J794" t="s">
        <v>31</v>
      </c>
      <c r="K794">
        <v>11</v>
      </c>
      <c r="L794" s="3"/>
      <c r="M794" s="3"/>
      <c r="N794" s="3"/>
      <c r="O794" s="3">
        <f t="shared" si="37"/>
        <v>0</v>
      </c>
      <c r="P794">
        <v>748.8</v>
      </c>
      <c r="Q794">
        <v>371</v>
      </c>
      <c r="R794">
        <v>0</v>
      </c>
      <c r="S794">
        <v>119</v>
      </c>
      <c r="T794">
        <f t="shared" si="38"/>
        <v>3.2687999999999993</v>
      </c>
    </row>
    <row r="795" spans="1:20" x14ac:dyDescent="0.3">
      <c r="A795" s="1">
        <v>45413</v>
      </c>
      <c r="B795" s="1" t="str">
        <f t="shared" si="36"/>
        <v>Maharashtra_MH-Aggregated_Product_3_45413</v>
      </c>
      <c r="C795" s="2" t="s">
        <v>39</v>
      </c>
      <c r="D795" s="2" t="s">
        <v>40</v>
      </c>
      <c r="E795" s="2" t="s">
        <v>26</v>
      </c>
      <c r="F795" s="2" t="s">
        <v>41</v>
      </c>
      <c r="G795" s="2" t="s">
        <v>42</v>
      </c>
      <c r="H795" s="2" t="s">
        <v>37</v>
      </c>
      <c r="I795" s="2" t="s">
        <v>43</v>
      </c>
      <c r="J795" t="s">
        <v>31</v>
      </c>
      <c r="K795">
        <v>2</v>
      </c>
      <c r="L795" s="3"/>
      <c r="M795" s="3"/>
      <c r="N795" s="3"/>
      <c r="O795" s="3">
        <f t="shared" si="37"/>
        <v>0</v>
      </c>
      <c r="P795">
        <v>748.8</v>
      </c>
      <c r="Q795">
        <v>366</v>
      </c>
      <c r="R795">
        <v>0</v>
      </c>
      <c r="S795">
        <v>127</v>
      </c>
      <c r="T795">
        <f t="shared" si="38"/>
        <v>0</v>
      </c>
    </row>
    <row r="796" spans="1:20" x14ac:dyDescent="0.3">
      <c r="A796" s="1">
        <v>45413</v>
      </c>
      <c r="B796" s="1" t="str">
        <f t="shared" si="36"/>
        <v>Jharkhand_JH-Aggregated_Product_1_45413</v>
      </c>
      <c r="C796" s="2" t="s">
        <v>24</v>
      </c>
      <c r="D796" s="2" t="s">
        <v>25</v>
      </c>
      <c r="E796" s="2" t="s">
        <v>26</v>
      </c>
      <c r="F796" s="2" t="s">
        <v>27</v>
      </c>
      <c r="G796" s="2" t="s">
        <v>28</v>
      </c>
      <c r="H796" s="2" t="s">
        <v>29</v>
      </c>
      <c r="I796" s="2" t="s">
        <v>30</v>
      </c>
      <c r="J796" t="s">
        <v>31</v>
      </c>
      <c r="K796">
        <v>20</v>
      </c>
      <c r="L796" s="3"/>
      <c r="M796" s="3"/>
      <c r="N796" s="3"/>
      <c r="O796" s="3">
        <f t="shared" si="37"/>
        <v>0</v>
      </c>
      <c r="P796">
        <v>84</v>
      </c>
      <c r="Q796">
        <v>304</v>
      </c>
      <c r="R796">
        <v>3</v>
      </c>
      <c r="S796">
        <v>111</v>
      </c>
      <c r="T796">
        <f t="shared" si="38"/>
        <v>-6.6479999999999997</v>
      </c>
    </row>
    <row r="797" spans="1:20" x14ac:dyDescent="0.3">
      <c r="A797" s="1">
        <v>45413</v>
      </c>
      <c r="B797" s="1" t="str">
        <f t="shared" si="36"/>
        <v>Reliance_Bhiwandi_Product_10_45413</v>
      </c>
      <c r="C797" s="2" t="s">
        <v>85</v>
      </c>
      <c r="D797" s="2" t="s">
        <v>86</v>
      </c>
      <c r="E797" s="2" t="s">
        <v>34</v>
      </c>
      <c r="F797" s="2" t="s">
        <v>51</v>
      </c>
      <c r="G797" s="2" t="s">
        <v>66</v>
      </c>
      <c r="H797" s="2" t="s">
        <v>67</v>
      </c>
      <c r="I797" s="2" t="s">
        <v>76</v>
      </c>
      <c r="J797" t="s">
        <v>31</v>
      </c>
      <c r="K797">
        <v>44</v>
      </c>
      <c r="L797" s="3"/>
      <c r="M797" s="3"/>
      <c r="N797" s="3"/>
      <c r="O797" s="3">
        <f t="shared" si="37"/>
        <v>0</v>
      </c>
      <c r="P797">
        <v>48</v>
      </c>
      <c r="Q797">
        <v>138</v>
      </c>
      <c r="R797">
        <v>0</v>
      </c>
      <c r="S797">
        <v>106</v>
      </c>
      <c r="T797">
        <f t="shared" si="38"/>
        <v>-0.36</v>
      </c>
    </row>
    <row r="798" spans="1:20" x14ac:dyDescent="0.3">
      <c r="A798" s="1">
        <v>45413</v>
      </c>
      <c r="B798" s="1" t="str">
        <f t="shared" si="36"/>
        <v>Grofers_Hyderabad_Product_21_45413</v>
      </c>
      <c r="C798" s="2" t="s">
        <v>135</v>
      </c>
      <c r="D798" s="2" t="s">
        <v>136</v>
      </c>
      <c r="E798" s="2" t="s">
        <v>34</v>
      </c>
      <c r="F798" s="2" t="s">
        <v>114</v>
      </c>
      <c r="G798" s="2" t="s">
        <v>137</v>
      </c>
      <c r="H798" s="2" t="s">
        <v>133</v>
      </c>
      <c r="I798" s="2" t="s">
        <v>134</v>
      </c>
      <c r="J798" t="s">
        <v>31</v>
      </c>
      <c r="K798">
        <v>32</v>
      </c>
      <c r="L798" s="3"/>
      <c r="M798" s="3"/>
      <c r="N798" s="3"/>
      <c r="O798" s="3">
        <f t="shared" si="37"/>
        <v>0</v>
      </c>
      <c r="P798">
        <v>383.52</v>
      </c>
      <c r="Q798">
        <v>362</v>
      </c>
      <c r="R798">
        <v>0</v>
      </c>
      <c r="S798">
        <v>115</v>
      </c>
      <c r="T798">
        <f t="shared" si="38"/>
        <v>3.3552</v>
      </c>
    </row>
    <row r="799" spans="1:20" x14ac:dyDescent="0.3">
      <c r="A799" s="1">
        <v>45413</v>
      </c>
      <c r="B799" s="1" t="str">
        <f t="shared" si="36"/>
        <v>Reliance_Bangalore_Product_3_45413</v>
      </c>
      <c r="C799" s="2" t="s">
        <v>80</v>
      </c>
      <c r="D799" s="2" t="s">
        <v>81</v>
      </c>
      <c r="E799" s="2" t="s">
        <v>34</v>
      </c>
      <c r="F799" s="2" t="s">
        <v>51</v>
      </c>
      <c r="G799" s="2" t="s">
        <v>79</v>
      </c>
      <c r="H799" s="2" t="s">
        <v>37</v>
      </c>
      <c r="I799" s="2" t="s">
        <v>43</v>
      </c>
      <c r="J799" t="s">
        <v>31</v>
      </c>
      <c r="K799">
        <v>5</v>
      </c>
      <c r="L799" s="3"/>
      <c r="M799" s="3"/>
      <c r="N799" s="3"/>
      <c r="O799" s="3">
        <f t="shared" si="37"/>
        <v>0</v>
      </c>
      <c r="P799">
        <v>383.52</v>
      </c>
      <c r="Q799">
        <v>452</v>
      </c>
      <c r="R799">
        <v>0</v>
      </c>
      <c r="S799">
        <v>127</v>
      </c>
      <c r="T799">
        <f t="shared" si="38"/>
        <v>0</v>
      </c>
    </row>
    <row r="800" spans="1:20" x14ac:dyDescent="0.3">
      <c r="A800" s="1">
        <v>45413</v>
      </c>
      <c r="B800" s="1" t="str">
        <f t="shared" si="36"/>
        <v>Zepto_Mundka_Product_3_45413</v>
      </c>
      <c r="C800" s="2" t="s">
        <v>72</v>
      </c>
      <c r="D800" s="2" t="s">
        <v>73</v>
      </c>
      <c r="E800" s="2" t="s">
        <v>34</v>
      </c>
      <c r="F800" s="2" t="s">
        <v>46</v>
      </c>
      <c r="G800" s="2" t="s">
        <v>36</v>
      </c>
      <c r="H800" s="2" t="s">
        <v>37</v>
      </c>
      <c r="I800" s="2" t="s">
        <v>43</v>
      </c>
      <c r="J800" t="s">
        <v>31</v>
      </c>
      <c r="K800">
        <v>13</v>
      </c>
      <c r="L800" s="3"/>
      <c r="M800" s="3"/>
      <c r="N800" s="3"/>
      <c r="O800" s="3">
        <f t="shared" si="37"/>
        <v>0</v>
      </c>
      <c r="P800">
        <v>672</v>
      </c>
      <c r="Q800">
        <v>389</v>
      </c>
      <c r="R800">
        <v>4</v>
      </c>
      <c r="S800">
        <v>127</v>
      </c>
      <c r="T800">
        <f t="shared" si="38"/>
        <v>2.8848000000000003</v>
      </c>
    </row>
    <row r="801" spans="1:20" x14ac:dyDescent="0.3">
      <c r="A801" s="1">
        <v>45413</v>
      </c>
      <c r="B801" s="1" t="str">
        <f t="shared" si="36"/>
        <v>Reliance_Bangalore_Product_14_45413</v>
      </c>
      <c r="C801" s="2" t="s">
        <v>155</v>
      </c>
      <c r="D801" s="2" t="s">
        <v>156</v>
      </c>
      <c r="E801" s="2" t="s">
        <v>34</v>
      </c>
      <c r="F801" s="2" t="s">
        <v>51</v>
      </c>
      <c r="G801" s="2" t="s">
        <v>79</v>
      </c>
      <c r="H801" s="2" t="s">
        <v>47</v>
      </c>
      <c r="I801" s="2" t="s">
        <v>98</v>
      </c>
      <c r="J801" t="s">
        <v>31</v>
      </c>
      <c r="K801">
        <v>3</v>
      </c>
      <c r="L801" s="3"/>
      <c r="M801" s="3"/>
      <c r="N801" s="3"/>
      <c r="O801" s="3">
        <f t="shared" si="37"/>
        <v>0</v>
      </c>
      <c r="P801">
        <v>672</v>
      </c>
      <c r="Q801">
        <v>378</v>
      </c>
      <c r="R801">
        <v>9</v>
      </c>
      <c r="S801">
        <v>97</v>
      </c>
      <c r="T801">
        <f t="shared" si="38"/>
        <v>0</v>
      </c>
    </row>
    <row r="802" spans="1:20" x14ac:dyDescent="0.3">
      <c r="A802" s="1">
        <v>45413</v>
      </c>
      <c r="B802" s="1" t="str">
        <f t="shared" si="36"/>
        <v>Swiggy_Mundka_Product_14_45413</v>
      </c>
      <c r="C802" s="2" t="s">
        <v>96</v>
      </c>
      <c r="D802" s="2" t="s">
        <v>97</v>
      </c>
      <c r="E802" s="2" t="s">
        <v>34</v>
      </c>
      <c r="F802" s="2" t="s">
        <v>35</v>
      </c>
      <c r="G802" s="2" t="s">
        <v>36</v>
      </c>
      <c r="H802" s="2" t="s">
        <v>47</v>
      </c>
      <c r="I802" s="2" t="s">
        <v>98</v>
      </c>
      <c r="J802" t="s">
        <v>31</v>
      </c>
      <c r="K802">
        <v>75</v>
      </c>
      <c r="L802" s="3"/>
      <c r="M802" s="3"/>
      <c r="N802" s="3"/>
      <c r="O802" s="3">
        <f t="shared" si="37"/>
        <v>0</v>
      </c>
      <c r="P802">
        <v>421.92</v>
      </c>
      <c r="Q802">
        <v>104</v>
      </c>
      <c r="R802">
        <v>6</v>
      </c>
      <c r="S802">
        <v>97</v>
      </c>
      <c r="T802">
        <f t="shared" si="38"/>
        <v>-2.5007999999999999</v>
      </c>
    </row>
    <row r="803" spans="1:20" x14ac:dyDescent="0.3">
      <c r="A803" s="1">
        <v>45413</v>
      </c>
      <c r="B803" s="1" t="str">
        <f t="shared" si="36"/>
        <v>Maharashtra_MH-Aggregated_Product_9_45413</v>
      </c>
      <c r="C803" s="2" t="s">
        <v>69</v>
      </c>
      <c r="D803" s="2" t="s">
        <v>70</v>
      </c>
      <c r="E803" s="2" t="s">
        <v>26</v>
      </c>
      <c r="F803" s="2" t="s">
        <v>41</v>
      </c>
      <c r="G803" s="2" t="s">
        <v>42</v>
      </c>
      <c r="H803" s="2" t="s">
        <v>37</v>
      </c>
      <c r="I803" s="2" t="s">
        <v>71</v>
      </c>
      <c r="J803" t="s">
        <v>31</v>
      </c>
      <c r="K803">
        <v>13</v>
      </c>
      <c r="L803" s="3"/>
      <c r="M803" s="3"/>
      <c r="N803" s="3"/>
      <c r="O803" s="3">
        <f t="shared" si="37"/>
        <v>0</v>
      </c>
      <c r="P803">
        <v>421.92</v>
      </c>
      <c r="Q803">
        <v>303</v>
      </c>
      <c r="R803">
        <v>5</v>
      </c>
      <c r="S803">
        <v>119</v>
      </c>
      <c r="T803">
        <f t="shared" si="38"/>
        <v>0</v>
      </c>
    </row>
    <row r="804" spans="1:20" x14ac:dyDescent="0.3">
      <c r="A804" s="1">
        <v>45413</v>
      </c>
      <c r="B804" s="1" t="str">
        <f t="shared" si="36"/>
        <v>Grofers_Mundka_Product_21_45413</v>
      </c>
      <c r="C804" s="2" t="s">
        <v>131</v>
      </c>
      <c r="D804" s="2" t="s">
        <v>132</v>
      </c>
      <c r="E804" s="2" t="s">
        <v>34</v>
      </c>
      <c r="F804" s="2" t="s">
        <v>114</v>
      </c>
      <c r="G804" s="2" t="s">
        <v>36</v>
      </c>
      <c r="H804" s="2" t="s">
        <v>133</v>
      </c>
      <c r="I804" s="2" t="s">
        <v>134</v>
      </c>
      <c r="J804" t="s">
        <v>31</v>
      </c>
      <c r="K804">
        <v>24</v>
      </c>
      <c r="L804" s="4"/>
      <c r="M804" s="3"/>
      <c r="N804" s="3"/>
      <c r="O804" s="3">
        <f t="shared" si="37"/>
        <v>0</v>
      </c>
      <c r="P804">
        <v>748.8</v>
      </c>
      <c r="Q804">
        <v>455</v>
      </c>
      <c r="R804">
        <v>0</v>
      </c>
      <c r="S804">
        <v>115</v>
      </c>
      <c r="T804">
        <f t="shared" si="38"/>
        <v>3.2687999999999993</v>
      </c>
    </row>
    <row r="805" spans="1:20" x14ac:dyDescent="0.3">
      <c r="A805" s="1">
        <v>45413</v>
      </c>
      <c r="B805" s="1" t="str">
        <f t="shared" si="36"/>
        <v>Reliance_Bangalore_Product_8_45413</v>
      </c>
      <c r="C805" s="2" t="s">
        <v>77</v>
      </c>
      <c r="D805" s="2" t="s">
        <v>78</v>
      </c>
      <c r="E805" s="2" t="s">
        <v>34</v>
      </c>
      <c r="F805" s="2" t="s">
        <v>51</v>
      </c>
      <c r="G805" s="2" t="s">
        <v>79</v>
      </c>
      <c r="H805" s="2" t="s">
        <v>67</v>
      </c>
      <c r="I805" s="2" t="s">
        <v>68</v>
      </c>
      <c r="J805" t="s">
        <v>31</v>
      </c>
      <c r="K805">
        <v>5</v>
      </c>
      <c r="L805" s="3"/>
      <c r="M805" s="3"/>
      <c r="N805" s="3"/>
      <c r="O805" s="3">
        <f t="shared" si="37"/>
        <v>0</v>
      </c>
      <c r="P805">
        <v>748.8</v>
      </c>
      <c r="Q805">
        <v>459</v>
      </c>
      <c r="R805">
        <v>4</v>
      </c>
      <c r="S805">
        <v>126</v>
      </c>
      <c r="T805">
        <f t="shared" si="38"/>
        <v>0</v>
      </c>
    </row>
    <row r="806" spans="1:20" x14ac:dyDescent="0.3">
      <c r="A806" s="1">
        <v>45413</v>
      </c>
      <c r="B806" s="1" t="str">
        <f t="shared" si="36"/>
        <v>Reliance_Bhiwandi_Product_8_45413</v>
      </c>
      <c r="C806" s="2" t="s">
        <v>64</v>
      </c>
      <c r="D806" s="2" t="s">
        <v>65</v>
      </c>
      <c r="E806" s="2" t="s">
        <v>34</v>
      </c>
      <c r="F806" s="2" t="s">
        <v>51</v>
      </c>
      <c r="G806" s="2" t="s">
        <v>66</v>
      </c>
      <c r="H806" s="2" t="s">
        <v>67</v>
      </c>
      <c r="I806" s="2" t="s">
        <v>68</v>
      </c>
      <c r="J806" t="s">
        <v>31</v>
      </c>
      <c r="K806">
        <v>45</v>
      </c>
      <c r="L806" s="3"/>
      <c r="M806" s="3"/>
      <c r="N806" s="3"/>
      <c r="O806" s="3">
        <f t="shared" si="37"/>
        <v>0</v>
      </c>
      <c r="P806">
        <v>84</v>
      </c>
      <c r="Q806">
        <v>322</v>
      </c>
      <c r="R806">
        <v>0</v>
      </c>
      <c r="S806">
        <v>126</v>
      </c>
      <c r="T806">
        <f t="shared" si="38"/>
        <v>-6.6479999999999997</v>
      </c>
    </row>
    <row r="807" spans="1:20" x14ac:dyDescent="0.3">
      <c r="A807" s="1">
        <v>45413</v>
      </c>
      <c r="B807" s="1" t="str">
        <f t="shared" si="36"/>
        <v>Reliance_Ahmedabad_Product_7_45413</v>
      </c>
      <c r="C807" s="2" t="s">
        <v>99</v>
      </c>
      <c r="D807" s="2" t="s">
        <v>100</v>
      </c>
      <c r="E807" s="2" t="s">
        <v>34</v>
      </c>
      <c r="F807" s="2" t="s">
        <v>51</v>
      </c>
      <c r="G807" s="2" t="s">
        <v>52</v>
      </c>
      <c r="H807" s="2" t="s">
        <v>37</v>
      </c>
      <c r="I807" s="2" t="s">
        <v>60</v>
      </c>
      <c r="J807" t="s">
        <v>31</v>
      </c>
      <c r="K807">
        <v>99</v>
      </c>
      <c r="L807" s="3"/>
      <c r="M807" s="3"/>
      <c r="N807" s="3"/>
      <c r="O807" s="3">
        <f t="shared" si="37"/>
        <v>0</v>
      </c>
      <c r="P807">
        <v>48</v>
      </c>
      <c r="Q807">
        <v>150</v>
      </c>
      <c r="R807">
        <v>0</v>
      </c>
      <c r="S807">
        <v>117</v>
      </c>
      <c r="T807">
        <f t="shared" si="38"/>
        <v>-0.36</v>
      </c>
    </row>
    <row r="808" spans="1:20" x14ac:dyDescent="0.3">
      <c r="A808" s="1">
        <v>45413</v>
      </c>
      <c r="B808" s="1" t="str">
        <f t="shared" si="36"/>
        <v>Swiggy_Kolkata CFA_Product_20_45413</v>
      </c>
      <c r="C808" s="2" t="s">
        <v>128</v>
      </c>
      <c r="D808" s="2" t="s">
        <v>129</v>
      </c>
      <c r="E808" s="2" t="s">
        <v>34</v>
      </c>
      <c r="F808" s="2" t="s">
        <v>35</v>
      </c>
      <c r="G808" s="2" t="s">
        <v>63</v>
      </c>
      <c r="H808" s="2" t="s">
        <v>47</v>
      </c>
      <c r="I808" s="2" t="s">
        <v>130</v>
      </c>
      <c r="J808" t="s">
        <v>31</v>
      </c>
      <c r="K808">
        <v>3</v>
      </c>
      <c r="L808" s="3"/>
      <c r="M808" s="3"/>
      <c r="N808" s="3"/>
      <c r="O808" s="3">
        <f t="shared" si="37"/>
        <v>0</v>
      </c>
      <c r="P808">
        <v>383.52</v>
      </c>
      <c r="Q808">
        <v>495</v>
      </c>
      <c r="R808">
        <v>3</v>
      </c>
      <c r="S808">
        <v>125</v>
      </c>
      <c r="T808">
        <f t="shared" si="38"/>
        <v>3.3552</v>
      </c>
    </row>
    <row r="809" spans="1:20" x14ac:dyDescent="0.3">
      <c r="A809" s="1">
        <v>45413</v>
      </c>
      <c r="B809" s="1" t="str">
        <f t="shared" si="36"/>
        <v>Reliance_Mundka_Product_7_45413</v>
      </c>
      <c r="C809" s="2" t="s">
        <v>58</v>
      </c>
      <c r="D809" s="2" t="s">
        <v>59</v>
      </c>
      <c r="E809" s="2" t="s">
        <v>34</v>
      </c>
      <c r="F809" s="2" t="s">
        <v>51</v>
      </c>
      <c r="G809" s="2" t="s">
        <v>36</v>
      </c>
      <c r="H809" s="2" t="s">
        <v>37</v>
      </c>
      <c r="I809" s="2" t="s">
        <v>60</v>
      </c>
      <c r="J809" t="s">
        <v>31</v>
      </c>
      <c r="K809">
        <v>2</v>
      </c>
      <c r="L809" s="3"/>
      <c r="M809" s="3"/>
      <c r="N809" s="3"/>
      <c r="O809" s="3">
        <f t="shared" si="37"/>
        <v>0</v>
      </c>
      <c r="P809">
        <v>383.52</v>
      </c>
      <c r="Q809">
        <v>151</v>
      </c>
      <c r="R809">
        <v>1</v>
      </c>
      <c r="S809">
        <v>117</v>
      </c>
      <c r="T809">
        <f t="shared" si="38"/>
        <v>0</v>
      </c>
    </row>
    <row r="810" spans="1:20" x14ac:dyDescent="0.3">
      <c r="A810" s="1">
        <v>45413</v>
      </c>
      <c r="B810" s="1" t="str">
        <f t="shared" si="36"/>
        <v>Grofers_Ahmedabad_Product_8_45413</v>
      </c>
      <c r="C810" s="2" t="s">
        <v>157</v>
      </c>
      <c r="D810" s="2" t="s">
        <v>158</v>
      </c>
      <c r="E810" s="2" t="s">
        <v>34</v>
      </c>
      <c r="F810" s="2" t="s">
        <v>114</v>
      </c>
      <c r="G810" s="2" t="s">
        <v>52</v>
      </c>
      <c r="H810" s="2" t="s">
        <v>67</v>
      </c>
      <c r="I810" s="2" t="s">
        <v>68</v>
      </c>
      <c r="J810" t="s">
        <v>31</v>
      </c>
      <c r="K810">
        <v>2</v>
      </c>
      <c r="L810" s="3"/>
      <c r="M810" s="3"/>
      <c r="N810" s="3"/>
      <c r="O810" s="3">
        <f t="shared" si="37"/>
        <v>0</v>
      </c>
      <c r="P810">
        <v>672</v>
      </c>
      <c r="Q810">
        <v>185</v>
      </c>
      <c r="R810">
        <v>5</v>
      </c>
      <c r="S810">
        <v>126</v>
      </c>
      <c r="T810">
        <f t="shared" si="38"/>
        <v>2.8848000000000003</v>
      </c>
    </row>
    <row r="811" spans="1:20" x14ac:dyDescent="0.3">
      <c r="A811" s="1">
        <v>45413</v>
      </c>
      <c r="B811" s="1" t="str">
        <f t="shared" si="36"/>
        <v>Reliance_Mundka_Product_6_45413</v>
      </c>
      <c r="C811" s="2" t="s">
        <v>55</v>
      </c>
      <c r="D811" s="2" t="s">
        <v>56</v>
      </c>
      <c r="E811" s="2" t="s">
        <v>34</v>
      </c>
      <c r="F811" s="2" t="s">
        <v>51</v>
      </c>
      <c r="G811" s="2" t="s">
        <v>36</v>
      </c>
      <c r="H811" s="2" t="s">
        <v>37</v>
      </c>
      <c r="I811" s="2" t="s">
        <v>57</v>
      </c>
      <c r="J811" t="s">
        <v>31</v>
      </c>
      <c r="K811">
        <v>2</v>
      </c>
      <c r="L811" s="3"/>
      <c r="M811" s="3"/>
      <c r="N811" s="3"/>
      <c r="O811" s="3">
        <f t="shared" si="37"/>
        <v>0</v>
      </c>
      <c r="P811">
        <v>672</v>
      </c>
      <c r="Q811">
        <v>105</v>
      </c>
      <c r="R811">
        <v>0</v>
      </c>
      <c r="S811">
        <v>135</v>
      </c>
      <c r="T811">
        <f t="shared" si="38"/>
        <v>0</v>
      </c>
    </row>
    <row r="812" spans="1:20" x14ac:dyDescent="0.3">
      <c r="A812" s="1">
        <v>45413</v>
      </c>
      <c r="B812" s="1" t="str">
        <f t="shared" si="36"/>
        <v>Swiggy_Bangalore_Product_16_45413</v>
      </c>
      <c r="C812" s="2" t="s">
        <v>107</v>
      </c>
      <c r="D812" s="2" t="s">
        <v>108</v>
      </c>
      <c r="E812" s="2" t="s">
        <v>34</v>
      </c>
      <c r="F812" s="2" t="s">
        <v>35</v>
      </c>
      <c r="G812" s="2" t="s">
        <v>79</v>
      </c>
      <c r="H812" s="2" t="s">
        <v>47</v>
      </c>
      <c r="I812" s="2" t="s">
        <v>109</v>
      </c>
      <c r="J812" t="s">
        <v>31</v>
      </c>
      <c r="K812">
        <v>5</v>
      </c>
      <c r="L812" s="3"/>
      <c r="M812" s="3"/>
      <c r="N812" s="3"/>
      <c r="O812" s="3">
        <f t="shared" si="37"/>
        <v>0</v>
      </c>
      <c r="P812">
        <v>421.92</v>
      </c>
      <c r="Q812">
        <v>445</v>
      </c>
      <c r="R812">
        <v>0</v>
      </c>
      <c r="S812">
        <v>122</v>
      </c>
      <c r="T812">
        <f t="shared" si="38"/>
        <v>-2.5007999999999999</v>
      </c>
    </row>
    <row r="813" spans="1:20" x14ac:dyDescent="0.3">
      <c r="A813" s="1">
        <v>45413</v>
      </c>
      <c r="B813" s="1" t="str">
        <f t="shared" si="36"/>
        <v>Grofers_Ahmedabad_Product_14_45413</v>
      </c>
      <c r="C813" s="2" t="s">
        <v>159</v>
      </c>
      <c r="D813" s="2" t="s">
        <v>160</v>
      </c>
      <c r="E813" s="2" t="s">
        <v>34</v>
      </c>
      <c r="F813" s="2" t="s">
        <v>114</v>
      </c>
      <c r="G813" s="2" t="s">
        <v>52</v>
      </c>
      <c r="H813" s="2" t="s">
        <v>47</v>
      </c>
      <c r="I813" s="2" t="s">
        <v>98</v>
      </c>
      <c r="J813" t="s">
        <v>31</v>
      </c>
      <c r="K813">
        <v>2</v>
      </c>
      <c r="L813" s="3"/>
      <c r="M813" s="3"/>
      <c r="N813" s="3"/>
      <c r="O813" s="3">
        <f t="shared" si="37"/>
        <v>0</v>
      </c>
      <c r="P813">
        <v>421.92</v>
      </c>
      <c r="Q813">
        <v>321</v>
      </c>
      <c r="R813">
        <v>7</v>
      </c>
      <c r="S813">
        <v>97</v>
      </c>
      <c r="T813">
        <f t="shared" si="38"/>
        <v>0</v>
      </c>
    </row>
    <row r="814" spans="1:20" x14ac:dyDescent="0.3">
      <c r="A814" s="1">
        <v>45413</v>
      </c>
      <c r="B814" s="1" t="str">
        <f t="shared" si="36"/>
        <v>Reliance_Chennai_Product_9_45413</v>
      </c>
      <c r="C814" s="2" t="s">
        <v>147</v>
      </c>
      <c r="D814" s="2" t="s">
        <v>148</v>
      </c>
      <c r="E814" s="2" t="s">
        <v>34</v>
      </c>
      <c r="F814" s="2" t="s">
        <v>51</v>
      </c>
      <c r="G814" s="2" t="s">
        <v>84</v>
      </c>
      <c r="H814" s="2" t="s">
        <v>37</v>
      </c>
      <c r="I814" s="2" t="s">
        <v>71</v>
      </c>
      <c r="J814" t="s">
        <v>31</v>
      </c>
      <c r="K814">
        <v>3</v>
      </c>
      <c r="L814" s="3"/>
      <c r="M814" s="3"/>
      <c r="N814" s="3"/>
      <c r="O814" s="3">
        <f t="shared" si="37"/>
        <v>0</v>
      </c>
      <c r="P814">
        <v>748.8</v>
      </c>
      <c r="Q814">
        <v>265</v>
      </c>
      <c r="R814">
        <v>0</v>
      </c>
      <c r="S814">
        <v>119</v>
      </c>
      <c r="T814">
        <f t="shared" si="38"/>
        <v>3.2687999999999993</v>
      </c>
    </row>
    <row r="815" spans="1:20" x14ac:dyDescent="0.3">
      <c r="A815" s="1">
        <v>45413</v>
      </c>
      <c r="B815" s="1" t="str">
        <f t="shared" si="36"/>
        <v>Reliance_Bangalore_Product_13_45413</v>
      </c>
      <c r="C815" s="2" t="s">
        <v>93</v>
      </c>
      <c r="D815" s="2" t="s">
        <v>94</v>
      </c>
      <c r="E815" s="2" t="s">
        <v>34</v>
      </c>
      <c r="F815" s="2" t="s">
        <v>51</v>
      </c>
      <c r="G815" s="2" t="s">
        <v>79</v>
      </c>
      <c r="H815" s="2" t="s">
        <v>67</v>
      </c>
      <c r="I815" s="2" t="s">
        <v>95</v>
      </c>
      <c r="J815" t="s">
        <v>31</v>
      </c>
      <c r="K815">
        <v>1</v>
      </c>
      <c r="L815" s="3"/>
      <c r="M815" s="3"/>
      <c r="N815" s="3"/>
      <c r="O815" s="3">
        <f t="shared" si="37"/>
        <v>0</v>
      </c>
      <c r="P815">
        <v>748.8</v>
      </c>
      <c r="Q815">
        <v>157</v>
      </c>
      <c r="R815">
        <v>0</v>
      </c>
      <c r="S815">
        <v>113</v>
      </c>
      <c r="T815">
        <f t="shared" si="38"/>
        <v>0</v>
      </c>
    </row>
    <row r="816" spans="1:20" x14ac:dyDescent="0.3">
      <c r="A816" s="1">
        <v>45413</v>
      </c>
      <c r="B816" s="1" t="str">
        <f t="shared" si="36"/>
        <v>Reliance_Bhiwandi_Product_11_45413</v>
      </c>
      <c r="C816" s="2" t="s">
        <v>87</v>
      </c>
      <c r="D816" s="2" t="s">
        <v>88</v>
      </c>
      <c r="E816" s="2" t="s">
        <v>34</v>
      </c>
      <c r="F816" s="2" t="s">
        <v>51</v>
      </c>
      <c r="G816" s="2" t="s">
        <v>66</v>
      </c>
      <c r="H816" s="2" t="s">
        <v>67</v>
      </c>
      <c r="I816" s="2" t="s">
        <v>89</v>
      </c>
      <c r="J816" t="s">
        <v>31</v>
      </c>
      <c r="K816">
        <v>3</v>
      </c>
      <c r="L816" s="3"/>
      <c r="M816" s="3"/>
      <c r="N816" s="3"/>
      <c r="O816" s="3">
        <f t="shared" si="37"/>
        <v>0</v>
      </c>
      <c r="P816">
        <v>84</v>
      </c>
      <c r="Q816">
        <v>401</v>
      </c>
      <c r="R816">
        <v>11</v>
      </c>
      <c r="S816">
        <v>131</v>
      </c>
      <c r="T816">
        <f t="shared" si="38"/>
        <v>-6.6479999999999997</v>
      </c>
    </row>
    <row r="817" spans="1:20" x14ac:dyDescent="0.3">
      <c r="A817" s="1">
        <v>45413</v>
      </c>
      <c r="B817" s="1" t="str">
        <f t="shared" si="36"/>
        <v>Reliance_Ahmedabad_Product_9_45413</v>
      </c>
      <c r="C817" s="2" t="s">
        <v>151</v>
      </c>
      <c r="D817" s="2" t="s">
        <v>152</v>
      </c>
      <c r="E817" s="2" t="s">
        <v>34</v>
      </c>
      <c r="F817" s="2" t="s">
        <v>51</v>
      </c>
      <c r="G817" s="2" t="s">
        <v>52</v>
      </c>
      <c r="H817" s="2" t="s">
        <v>37</v>
      </c>
      <c r="I817" s="2" t="s">
        <v>71</v>
      </c>
      <c r="J817" t="s">
        <v>31</v>
      </c>
      <c r="K817">
        <v>6</v>
      </c>
      <c r="L817" s="3"/>
      <c r="M817" s="3"/>
      <c r="N817" s="3"/>
      <c r="O817" s="3">
        <f t="shared" si="37"/>
        <v>0</v>
      </c>
      <c r="P817">
        <v>48</v>
      </c>
      <c r="Q817">
        <v>310</v>
      </c>
      <c r="R817">
        <v>0</v>
      </c>
      <c r="S817">
        <v>119</v>
      </c>
      <c r="T817">
        <f t="shared" si="38"/>
        <v>-0.36</v>
      </c>
    </row>
    <row r="818" spans="1:20" x14ac:dyDescent="0.3">
      <c r="A818" s="1">
        <v>45413</v>
      </c>
      <c r="B818" s="1" t="str">
        <f t="shared" si="36"/>
        <v>Reliance_Mundka_Product_9_45413</v>
      </c>
      <c r="C818" s="2" t="s">
        <v>145</v>
      </c>
      <c r="D818" s="2" t="s">
        <v>146</v>
      </c>
      <c r="E818" s="2" t="s">
        <v>34</v>
      </c>
      <c r="F818" s="2" t="s">
        <v>51</v>
      </c>
      <c r="G818" s="2" t="s">
        <v>36</v>
      </c>
      <c r="H818" s="2" t="s">
        <v>37</v>
      </c>
      <c r="I818" s="2" t="s">
        <v>71</v>
      </c>
      <c r="J818" t="s">
        <v>31</v>
      </c>
      <c r="K818">
        <v>8</v>
      </c>
      <c r="L818" s="3"/>
      <c r="M818" s="3"/>
      <c r="N818" s="3"/>
      <c r="O818" s="3">
        <f t="shared" si="37"/>
        <v>0</v>
      </c>
      <c r="P818">
        <v>383.52</v>
      </c>
      <c r="Q818">
        <v>210</v>
      </c>
      <c r="R818">
        <v>0</v>
      </c>
      <c r="S818">
        <v>119</v>
      </c>
      <c r="T818">
        <f t="shared" si="38"/>
        <v>3.3552</v>
      </c>
    </row>
    <row r="819" spans="1:20" x14ac:dyDescent="0.3">
      <c r="A819" s="1">
        <v>45413</v>
      </c>
      <c r="B819" s="1" t="str">
        <f t="shared" si="36"/>
        <v>Grofers_Kolkata CFA_Product_20_45413</v>
      </c>
      <c r="C819" s="2" t="s">
        <v>153</v>
      </c>
      <c r="D819" s="2" t="s">
        <v>154</v>
      </c>
      <c r="E819" s="2" t="s">
        <v>34</v>
      </c>
      <c r="F819" s="2" t="s">
        <v>114</v>
      </c>
      <c r="G819" s="2" t="s">
        <v>63</v>
      </c>
      <c r="H819" s="2" t="s">
        <v>47</v>
      </c>
      <c r="I819" s="2" t="s">
        <v>130</v>
      </c>
      <c r="J819" t="s">
        <v>31</v>
      </c>
      <c r="K819">
        <v>2</v>
      </c>
      <c r="L819" s="3"/>
      <c r="M819" s="3"/>
      <c r="N819" s="3"/>
      <c r="O819" s="3">
        <f t="shared" si="37"/>
        <v>0</v>
      </c>
      <c r="P819">
        <v>383.52</v>
      </c>
      <c r="Q819">
        <v>158</v>
      </c>
      <c r="R819">
        <v>0</v>
      </c>
      <c r="S819">
        <v>125</v>
      </c>
      <c r="T819">
        <f t="shared" si="38"/>
        <v>0</v>
      </c>
    </row>
    <row r="820" spans="1:20" x14ac:dyDescent="0.3">
      <c r="A820" s="1">
        <v>45413</v>
      </c>
      <c r="B820" s="1" t="str">
        <f t="shared" si="36"/>
        <v>Zepto_Bhiwandi_Product_10_45413</v>
      </c>
      <c r="C820" s="2" t="s">
        <v>74</v>
      </c>
      <c r="D820" s="2" t="s">
        <v>75</v>
      </c>
      <c r="E820" s="2" t="s">
        <v>34</v>
      </c>
      <c r="F820" s="2" t="s">
        <v>46</v>
      </c>
      <c r="G820" s="2" t="s">
        <v>66</v>
      </c>
      <c r="H820" s="2" t="s">
        <v>67</v>
      </c>
      <c r="I820" s="2" t="s">
        <v>76</v>
      </c>
      <c r="J820" t="s">
        <v>31</v>
      </c>
      <c r="K820">
        <v>5</v>
      </c>
      <c r="L820" s="3"/>
      <c r="M820" s="3"/>
      <c r="N820" s="3"/>
      <c r="O820" s="3">
        <f t="shared" si="37"/>
        <v>0</v>
      </c>
      <c r="P820">
        <v>383.52</v>
      </c>
      <c r="Q820">
        <v>464</v>
      </c>
      <c r="R820">
        <v>0</v>
      </c>
      <c r="S820">
        <v>106</v>
      </c>
      <c r="T820">
        <f t="shared" si="38"/>
        <v>0</v>
      </c>
    </row>
    <row r="821" spans="1:20" x14ac:dyDescent="0.3">
      <c r="A821" s="1">
        <v>45413</v>
      </c>
      <c r="B821" s="1" t="str">
        <f t="shared" si="36"/>
        <v>Swiggy_Kolkata CFA_Product_11_45413</v>
      </c>
      <c r="C821" s="2" t="s">
        <v>119</v>
      </c>
      <c r="D821" s="2" t="s">
        <v>120</v>
      </c>
      <c r="E821" s="2" t="s">
        <v>34</v>
      </c>
      <c r="F821" s="2" t="s">
        <v>35</v>
      </c>
      <c r="G821" s="2" t="s">
        <v>63</v>
      </c>
      <c r="H821" s="2" t="s">
        <v>67</v>
      </c>
      <c r="I821" s="2" t="s">
        <v>89</v>
      </c>
      <c r="J821" t="s">
        <v>31</v>
      </c>
      <c r="K821">
        <v>2</v>
      </c>
      <c r="L821" s="3"/>
      <c r="M821" s="3"/>
      <c r="N821" s="3"/>
      <c r="O821" s="3">
        <f t="shared" si="37"/>
        <v>0</v>
      </c>
      <c r="P821">
        <v>383.52</v>
      </c>
      <c r="Q821">
        <v>233</v>
      </c>
      <c r="R821">
        <v>6</v>
      </c>
      <c r="S821">
        <v>131</v>
      </c>
      <c r="T821">
        <f t="shared" si="38"/>
        <v>0</v>
      </c>
    </row>
    <row r="822" spans="1:20" x14ac:dyDescent="0.3">
      <c r="A822" s="1">
        <v>45413</v>
      </c>
      <c r="B822" s="1" t="str">
        <f t="shared" si="36"/>
        <v>Swiggy_Kolkata CFA_Product_3_45413</v>
      </c>
      <c r="C822" s="2" t="s">
        <v>61</v>
      </c>
      <c r="D822" s="2" t="s">
        <v>62</v>
      </c>
      <c r="E822" s="2" t="s">
        <v>34</v>
      </c>
      <c r="F822" s="2" t="s">
        <v>35</v>
      </c>
      <c r="G822" s="2" t="s">
        <v>63</v>
      </c>
      <c r="H822" s="2" t="s">
        <v>37</v>
      </c>
      <c r="I822" s="2" t="s">
        <v>43</v>
      </c>
      <c r="J822" t="s">
        <v>31</v>
      </c>
      <c r="K822">
        <v>7</v>
      </c>
      <c r="L822" s="3"/>
      <c r="M822" s="3"/>
      <c r="N822" s="3"/>
      <c r="O822" s="3">
        <f t="shared" si="37"/>
        <v>0</v>
      </c>
      <c r="P822">
        <v>383.52</v>
      </c>
      <c r="Q822">
        <v>395</v>
      </c>
      <c r="R822">
        <v>2</v>
      </c>
      <c r="S822">
        <v>127</v>
      </c>
      <c r="T822">
        <f t="shared" si="38"/>
        <v>0</v>
      </c>
    </row>
    <row r="823" spans="1:20" x14ac:dyDescent="0.3">
      <c r="A823" s="1">
        <v>45413</v>
      </c>
      <c r="B823" s="1" t="str">
        <f t="shared" si="36"/>
        <v>Swiggy_Chennai_Product_3_45413</v>
      </c>
      <c r="C823" s="2" t="s">
        <v>82</v>
      </c>
      <c r="D823" s="2" t="s">
        <v>83</v>
      </c>
      <c r="E823" s="2" t="s">
        <v>34</v>
      </c>
      <c r="F823" s="2" t="s">
        <v>35</v>
      </c>
      <c r="G823" s="2" t="s">
        <v>84</v>
      </c>
      <c r="H823" s="2" t="s">
        <v>37</v>
      </c>
      <c r="I823" s="2" t="s">
        <v>43</v>
      </c>
      <c r="J823" t="s">
        <v>31</v>
      </c>
      <c r="K823">
        <v>2</v>
      </c>
      <c r="L823" s="3"/>
      <c r="M823" s="3"/>
      <c r="N823" s="3"/>
      <c r="O823" s="3">
        <f t="shared" si="37"/>
        <v>0</v>
      </c>
      <c r="P823">
        <v>383.52</v>
      </c>
      <c r="Q823">
        <v>162</v>
      </c>
      <c r="R823">
        <v>4</v>
      </c>
      <c r="S823">
        <v>127</v>
      </c>
      <c r="T823">
        <f t="shared" si="38"/>
        <v>0</v>
      </c>
    </row>
    <row r="824" spans="1:20" x14ac:dyDescent="0.3">
      <c r="A824" s="1">
        <v>45413</v>
      </c>
      <c r="B824" s="1" t="str">
        <f t="shared" si="36"/>
        <v>Jharkhand_JH-Aggregated_Product_15_45413</v>
      </c>
      <c r="C824" s="2" t="s">
        <v>103</v>
      </c>
      <c r="D824" s="2" t="s">
        <v>104</v>
      </c>
      <c r="E824" s="2" t="s">
        <v>26</v>
      </c>
      <c r="F824" s="2" t="s">
        <v>27</v>
      </c>
      <c r="G824" s="2" t="s">
        <v>28</v>
      </c>
      <c r="H824" s="2" t="s">
        <v>105</v>
      </c>
      <c r="I824" s="2" t="s">
        <v>106</v>
      </c>
      <c r="J824" t="s">
        <v>31</v>
      </c>
      <c r="K824">
        <v>3</v>
      </c>
      <c r="L824" s="3"/>
      <c r="M824" s="3"/>
      <c r="N824" s="3"/>
      <c r="O824" s="3">
        <f t="shared" si="37"/>
        <v>0</v>
      </c>
      <c r="P824">
        <v>672</v>
      </c>
      <c r="Q824">
        <v>348</v>
      </c>
      <c r="R824">
        <v>4</v>
      </c>
      <c r="S824">
        <v>143</v>
      </c>
      <c r="T824">
        <f t="shared" si="38"/>
        <v>2.8848000000000003</v>
      </c>
    </row>
    <row r="825" spans="1:20" x14ac:dyDescent="0.3">
      <c r="A825" s="1">
        <v>45413</v>
      </c>
      <c r="B825" s="1" t="str">
        <f t="shared" si="36"/>
        <v>Reliance_Ahmedabad_Product_18_45413</v>
      </c>
      <c r="C825" s="2" t="s">
        <v>121</v>
      </c>
      <c r="D825" s="2" t="s">
        <v>122</v>
      </c>
      <c r="E825" s="2" t="s">
        <v>34</v>
      </c>
      <c r="F825" s="2" t="s">
        <v>51</v>
      </c>
      <c r="G825" s="2" t="s">
        <v>52</v>
      </c>
      <c r="H825" s="2" t="s">
        <v>29</v>
      </c>
      <c r="I825" s="2" t="s">
        <v>123</v>
      </c>
      <c r="J825" t="s">
        <v>31</v>
      </c>
      <c r="K825">
        <v>2</v>
      </c>
      <c r="L825" s="3"/>
      <c r="M825" s="3"/>
      <c r="N825" s="3"/>
      <c r="O825" s="3">
        <f t="shared" si="37"/>
        <v>0</v>
      </c>
      <c r="P825">
        <v>672</v>
      </c>
      <c r="Q825">
        <v>329</v>
      </c>
      <c r="R825">
        <v>4</v>
      </c>
      <c r="S825">
        <v>129</v>
      </c>
      <c r="T825">
        <f t="shared" si="38"/>
        <v>0</v>
      </c>
    </row>
    <row r="826" spans="1:20" x14ac:dyDescent="0.3">
      <c r="A826" s="1">
        <v>45413</v>
      </c>
      <c r="B826" s="1" t="str">
        <f t="shared" si="36"/>
        <v>Swiggy_Mundka_Product_2_45413</v>
      </c>
      <c r="C826" s="2" t="s">
        <v>32</v>
      </c>
      <c r="D826" s="2" t="s">
        <v>33</v>
      </c>
      <c r="E826" s="2" t="s">
        <v>34</v>
      </c>
      <c r="F826" s="2" t="s">
        <v>35</v>
      </c>
      <c r="G826" s="2" t="s">
        <v>36</v>
      </c>
      <c r="H826" s="2" t="s">
        <v>37</v>
      </c>
      <c r="I826" s="2" t="s">
        <v>38</v>
      </c>
      <c r="J826" t="s">
        <v>31</v>
      </c>
      <c r="K826">
        <v>14</v>
      </c>
      <c r="L826" s="4"/>
      <c r="M826" s="3"/>
      <c r="N826" s="3"/>
      <c r="O826" s="3">
        <f t="shared" si="37"/>
        <v>0</v>
      </c>
      <c r="P826">
        <v>421.92</v>
      </c>
      <c r="Q826">
        <v>317</v>
      </c>
      <c r="R826">
        <v>0</v>
      </c>
      <c r="S826">
        <v>134</v>
      </c>
      <c r="T826">
        <f t="shared" si="38"/>
        <v>-2.5007999999999999</v>
      </c>
    </row>
    <row r="827" spans="1:20" x14ac:dyDescent="0.3">
      <c r="A827" s="1">
        <v>45413</v>
      </c>
      <c r="B827" s="1" t="str">
        <f t="shared" si="36"/>
        <v>Reliance_Chennai_Product_11_45413</v>
      </c>
      <c r="C827" s="2" t="s">
        <v>110</v>
      </c>
      <c r="D827" s="2" t="s">
        <v>111</v>
      </c>
      <c r="E827" s="2" t="s">
        <v>34</v>
      </c>
      <c r="F827" s="2" t="s">
        <v>51</v>
      </c>
      <c r="G827" s="2" t="s">
        <v>84</v>
      </c>
      <c r="H827" s="2" t="s">
        <v>67</v>
      </c>
      <c r="I827" s="2" t="s">
        <v>89</v>
      </c>
      <c r="J827" t="s">
        <v>31</v>
      </c>
      <c r="K827">
        <v>3</v>
      </c>
      <c r="L827" s="3"/>
      <c r="M827" s="3"/>
      <c r="N827" s="3"/>
      <c r="O827" s="3">
        <f t="shared" si="37"/>
        <v>0</v>
      </c>
      <c r="P827">
        <v>421.92</v>
      </c>
      <c r="Q827">
        <v>185</v>
      </c>
      <c r="R827">
        <v>0</v>
      </c>
      <c r="S827">
        <v>131</v>
      </c>
      <c r="T827">
        <f t="shared" si="38"/>
        <v>0</v>
      </c>
    </row>
    <row r="828" spans="1:20" x14ac:dyDescent="0.3">
      <c r="A828" s="1">
        <v>45444</v>
      </c>
      <c r="B828" s="1" t="str">
        <f t="shared" si="36"/>
        <v>Swiggy_Kolkata CFA_Product_11_45444</v>
      </c>
      <c r="C828" s="2" t="s">
        <v>119</v>
      </c>
      <c r="D828" s="2" t="s">
        <v>120</v>
      </c>
      <c r="E828" s="2" t="s">
        <v>34</v>
      </c>
      <c r="F828" s="2" t="s">
        <v>35</v>
      </c>
      <c r="G828" s="2" t="s">
        <v>63</v>
      </c>
      <c r="H828" s="2" t="s">
        <v>67</v>
      </c>
      <c r="I828" s="2" t="s">
        <v>89</v>
      </c>
      <c r="J828" t="s">
        <v>31</v>
      </c>
      <c r="K828">
        <v>6</v>
      </c>
      <c r="L828" s="4"/>
      <c r="M828" s="3"/>
      <c r="N828" s="3"/>
      <c r="O828" s="3">
        <f t="shared" si="37"/>
        <v>0</v>
      </c>
      <c r="P828">
        <v>748.8</v>
      </c>
      <c r="Q828">
        <v>229</v>
      </c>
      <c r="R828">
        <v>0</v>
      </c>
      <c r="S828">
        <v>131</v>
      </c>
      <c r="T828">
        <f t="shared" si="38"/>
        <v>3.2687999999999993</v>
      </c>
    </row>
    <row r="829" spans="1:20" x14ac:dyDescent="0.3">
      <c r="A829" s="1">
        <v>45444</v>
      </c>
      <c r="B829" s="1" t="str">
        <f t="shared" si="36"/>
        <v>Reliance_Mundka_Product_9_45444</v>
      </c>
      <c r="C829" s="2" t="s">
        <v>145</v>
      </c>
      <c r="D829" s="2" t="s">
        <v>146</v>
      </c>
      <c r="E829" s="2" t="s">
        <v>34</v>
      </c>
      <c r="F829" s="2" t="s">
        <v>51</v>
      </c>
      <c r="G829" s="2" t="s">
        <v>36</v>
      </c>
      <c r="H829" s="2" t="s">
        <v>37</v>
      </c>
      <c r="I829" s="2" t="s">
        <v>71</v>
      </c>
      <c r="J829" t="s">
        <v>31</v>
      </c>
      <c r="K829">
        <v>1</v>
      </c>
      <c r="L829" s="4"/>
      <c r="M829" s="3"/>
      <c r="N829" s="3"/>
      <c r="O829" s="3">
        <f t="shared" si="37"/>
        <v>0</v>
      </c>
      <c r="P829">
        <v>748.8</v>
      </c>
      <c r="Q829">
        <v>237</v>
      </c>
      <c r="R829">
        <v>2</v>
      </c>
      <c r="S829">
        <v>119</v>
      </c>
      <c r="T829">
        <f t="shared" si="38"/>
        <v>0</v>
      </c>
    </row>
    <row r="830" spans="1:20" x14ac:dyDescent="0.3">
      <c r="A830" s="1">
        <v>45444</v>
      </c>
      <c r="B830" s="1" t="str">
        <f t="shared" si="36"/>
        <v>Grofers_Hyderabad_Product_21_45444</v>
      </c>
      <c r="C830" s="2" t="s">
        <v>135</v>
      </c>
      <c r="D830" s="2" t="s">
        <v>136</v>
      </c>
      <c r="E830" s="2" t="s">
        <v>34</v>
      </c>
      <c r="F830" s="2" t="s">
        <v>114</v>
      </c>
      <c r="G830" s="2" t="s">
        <v>137</v>
      </c>
      <c r="H830" s="2" t="s">
        <v>133</v>
      </c>
      <c r="I830" s="2" t="s">
        <v>134</v>
      </c>
      <c r="J830" t="s">
        <v>31</v>
      </c>
      <c r="K830">
        <v>9</v>
      </c>
      <c r="L830" s="3"/>
      <c r="M830" s="3"/>
      <c r="N830" s="3"/>
      <c r="O830" s="3">
        <f t="shared" si="37"/>
        <v>0</v>
      </c>
      <c r="P830">
        <v>84</v>
      </c>
      <c r="Q830">
        <v>308</v>
      </c>
      <c r="R830">
        <v>0</v>
      </c>
      <c r="S830">
        <v>115</v>
      </c>
      <c r="T830">
        <f t="shared" si="38"/>
        <v>-6.6479999999999997</v>
      </c>
    </row>
    <row r="831" spans="1:20" x14ac:dyDescent="0.3">
      <c r="A831" s="1">
        <v>45444</v>
      </c>
      <c r="B831" s="1" t="str">
        <f t="shared" si="36"/>
        <v>Grofers_Mundka_Product_21_45444</v>
      </c>
      <c r="C831" s="2" t="s">
        <v>131</v>
      </c>
      <c r="D831" s="2" t="s">
        <v>132</v>
      </c>
      <c r="E831" s="2" t="s">
        <v>34</v>
      </c>
      <c r="F831" s="2" t="s">
        <v>114</v>
      </c>
      <c r="G831" s="2" t="s">
        <v>36</v>
      </c>
      <c r="H831" s="2" t="s">
        <v>133</v>
      </c>
      <c r="I831" s="2" t="s">
        <v>134</v>
      </c>
      <c r="J831" t="s">
        <v>31</v>
      </c>
      <c r="K831">
        <v>17</v>
      </c>
      <c r="L831" s="3"/>
      <c r="M831" s="3"/>
      <c r="N831" s="3"/>
      <c r="O831" s="3">
        <f t="shared" si="37"/>
        <v>0</v>
      </c>
      <c r="P831">
        <v>48</v>
      </c>
      <c r="Q831">
        <v>472</v>
      </c>
      <c r="R831">
        <v>2</v>
      </c>
      <c r="S831">
        <v>115</v>
      </c>
      <c r="T831">
        <f t="shared" si="38"/>
        <v>-0.36</v>
      </c>
    </row>
    <row r="832" spans="1:20" x14ac:dyDescent="0.3">
      <c r="A832" s="1">
        <v>45444</v>
      </c>
      <c r="B832" s="1" t="str">
        <f t="shared" si="36"/>
        <v>Reliance_Ahmedabad_Product_9_45444</v>
      </c>
      <c r="C832" s="2" t="s">
        <v>151</v>
      </c>
      <c r="D832" s="2" t="s">
        <v>152</v>
      </c>
      <c r="E832" s="2" t="s">
        <v>34</v>
      </c>
      <c r="F832" s="2" t="s">
        <v>51</v>
      </c>
      <c r="G832" s="2" t="s">
        <v>52</v>
      </c>
      <c r="H832" s="2" t="s">
        <v>37</v>
      </c>
      <c r="I832" s="2" t="s">
        <v>71</v>
      </c>
      <c r="J832" t="s">
        <v>31</v>
      </c>
      <c r="K832">
        <v>17</v>
      </c>
      <c r="L832" s="3"/>
      <c r="M832" s="3"/>
      <c r="N832" s="3"/>
      <c r="O832" s="3">
        <f t="shared" si="37"/>
        <v>0</v>
      </c>
      <c r="P832">
        <v>383.52</v>
      </c>
      <c r="Q832">
        <v>440</v>
      </c>
      <c r="R832">
        <v>5</v>
      </c>
      <c r="S832">
        <v>119</v>
      </c>
      <c r="T832">
        <f t="shared" si="38"/>
        <v>3.3552</v>
      </c>
    </row>
    <row r="833" spans="1:20" x14ac:dyDescent="0.3">
      <c r="A833" s="1">
        <v>45444</v>
      </c>
      <c r="B833" s="1" t="str">
        <f t="shared" si="36"/>
        <v>Swiggy_Chennai_Product_3_45444</v>
      </c>
      <c r="C833" s="2" t="s">
        <v>82</v>
      </c>
      <c r="D833" s="2" t="s">
        <v>83</v>
      </c>
      <c r="E833" s="2" t="s">
        <v>34</v>
      </c>
      <c r="F833" s="2" t="s">
        <v>35</v>
      </c>
      <c r="G833" s="2" t="s">
        <v>84</v>
      </c>
      <c r="H833" s="2" t="s">
        <v>37</v>
      </c>
      <c r="I833" s="2" t="s">
        <v>43</v>
      </c>
      <c r="J833" t="s">
        <v>31</v>
      </c>
      <c r="K833">
        <v>4</v>
      </c>
      <c r="L833" s="3"/>
      <c r="M833" s="3"/>
      <c r="N833" s="3"/>
      <c r="O833" s="3">
        <f t="shared" si="37"/>
        <v>0</v>
      </c>
      <c r="P833">
        <v>383.52</v>
      </c>
      <c r="Q833">
        <v>331</v>
      </c>
      <c r="R833">
        <v>2</v>
      </c>
      <c r="S833">
        <v>127</v>
      </c>
      <c r="T833">
        <f t="shared" si="38"/>
        <v>0</v>
      </c>
    </row>
    <row r="834" spans="1:20" x14ac:dyDescent="0.3">
      <c r="A834" s="1">
        <v>45444</v>
      </c>
      <c r="B834" s="1" t="str">
        <f t="shared" si="36"/>
        <v>Reliance_Bhiwandi_Product_10_45444</v>
      </c>
      <c r="C834" s="2" t="s">
        <v>85</v>
      </c>
      <c r="D834" s="2" t="s">
        <v>86</v>
      </c>
      <c r="E834" s="2" t="s">
        <v>34</v>
      </c>
      <c r="F834" s="2" t="s">
        <v>51</v>
      </c>
      <c r="G834" s="2" t="s">
        <v>66</v>
      </c>
      <c r="H834" s="2" t="s">
        <v>67</v>
      </c>
      <c r="I834" s="2" t="s">
        <v>76</v>
      </c>
      <c r="J834" t="s">
        <v>31</v>
      </c>
      <c r="K834">
        <v>8</v>
      </c>
      <c r="L834" s="3"/>
      <c r="M834" s="3"/>
      <c r="N834" s="3"/>
      <c r="O834" s="3">
        <f t="shared" si="37"/>
        <v>0</v>
      </c>
      <c r="P834">
        <v>672</v>
      </c>
      <c r="Q834">
        <v>164</v>
      </c>
      <c r="R834">
        <v>1</v>
      </c>
      <c r="S834">
        <v>106</v>
      </c>
      <c r="T834">
        <f t="shared" si="38"/>
        <v>2.8848000000000003</v>
      </c>
    </row>
    <row r="835" spans="1:20" x14ac:dyDescent="0.3">
      <c r="A835" s="1">
        <v>45444</v>
      </c>
      <c r="B835" s="1" t="str">
        <f t="shared" ref="B835:B898" si="39">C835&amp;"_"&amp;A835</f>
        <v>Reliance_Bangalore_Product_3_45444</v>
      </c>
      <c r="C835" s="2" t="s">
        <v>80</v>
      </c>
      <c r="D835" s="2" t="s">
        <v>81</v>
      </c>
      <c r="E835" s="2" t="s">
        <v>34</v>
      </c>
      <c r="F835" s="2" t="s">
        <v>51</v>
      </c>
      <c r="G835" s="2" t="s">
        <v>79</v>
      </c>
      <c r="H835" s="2" t="s">
        <v>37</v>
      </c>
      <c r="I835" s="2" t="s">
        <v>43</v>
      </c>
      <c r="J835" t="s">
        <v>31</v>
      </c>
      <c r="K835">
        <v>2</v>
      </c>
      <c r="L835" s="3"/>
      <c r="M835" s="3"/>
      <c r="N835" s="3"/>
      <c r="O835" s="3">
        <f t="shared" ref="O835:O898" si="40">L835</f>
        <v>0</v>
      </c>
      <c r="P835">
        <v>672</v>
      </c>
      <c r="Q835">
        <v>358</v>
      </c>
      <c r="R835">
        <v>5</v>
      </c>
      <c r="S835">
        <v>127</v>
      </c>
      <c r="T835">
        <f t="shared" si="38"/>
        <v>0</v>
      </c>
    </row>
    <row r="836" spans="1:20" x14ac:dyDescent="0.3">
      <c r="A836" s="1">
        <v>45444</v>
      </c>
      <c r="B836" s="1" t="str">
        <f t="shared" si="39"/>
        <v>Grofers_Ahmedabad_Product_9_45444</v>
      </c>
      <c r="C836" s="2" t="s">
        <v>112</v>
      </c>
      <c r="D836" s="2" t="s">
        <v>113</v>
      </c>
      <c r="E836" s="2" t="s">
        <v>34</v>
      </c>
      <c r="F836" s="2" t="s">
        <v>114</v>
      </c>
      <c r="G836" s="2" t="s">
        <v>52</v>
      </c>
      <c r="H836" s="2" t="s">
        <v>37</v>
      </c>
      <c r="I836" s="2" t="s">
        <v>71</v>
      </c>
      <c r="J836" t="s">
        <v>31</v>
      </c>
      <c r="K836">
        <v>41</v>
      </c>
      <c r="L836" s="3"/>
      <c r="M836" s="3"/>
      <c r="N836" s="3"/>
      <c r="O836" s="3">
        <f t="shared" si="40"/>
        <v>0</v>
      </c>
      <c r="P836">
        <v>421.92</v>
      </c>
      <c r="Q836">
        <v>425</v>
      </c>
      <c r="R836">
        <v>0</v>
      </c>
      <c r="S836">
        <v>119</v>
      </c>
      <c r="T836">
        <f t="shared" ref="T836:T899" si="41">(P836-P835)/100</f>
        <v>-2.5007999999999999</v>
      </c>
    </row>
    <row r="837" spans="1:20" x14ac:dyDescent="0.3">
      <c r="A837" s="1">
        <v>45444</v>
      </c>
      <c r="B837" s="1" t="str">
        <f t="shared" si="39"/>
        <v>Grofers_Kolkata CFA_Product_14_45444</v>
      </c>
      <c r="C837" s="2" t="s">
        <v>161</v>
      </c>
      <c r="D837" s="2" t="s">
        <v>162</v>
      </c>
      <c r="E837" s="2" t="s">
        <v>34</v>
      </c>
      <c r="F837" s="2" t="s">
        <v>114</v>
      </c>
      <c r="G837" s="2" t="s">
        <v>63</v>
      </c>
      <c r="H837" s="2" t="s">
        <v>47</v>
      </c>
      <c r="I837" s="2" t="s">
        <v>98</v>
      </c>
      <c r="J837" t="s">
        <v>31</v>
      </c>
      <c r="K837">
        <v>8</v>
      </c>
      <c r="L837" s="3"/>
      <c r="M837" s="3"/>
      <c r="N837" s="3"/>
      <c r="O837" s="3">
        <f t="shared" si="40"/>
        <v>0</v>
      </c>
      <c r="P837">
        <v>421.92</v>
      </c>
      <c r="Q837">
        <v>227</v>
      </c>
      <c r="R837">
        <v>8</v>
      </c>
      <c r="S837">
        <v>97</v>
      </c>
      <c r="T837">
        <f t="shared" si="41"/>
        <v>0</v>
      </c>
    </row>
    <row r="838" spans="1:20" x14ac:dyDescent="0.3">
      <c r="A838" s="1">
        <v>45444</v>
      </c>
      <c r="B838" s="1" t="str">
        <f t="shared" si="39"/>
        <v>Reliance_Mundka_Product_6_45444</v>
      </c>
      <c r="C838" s="2" t="s">
        <v>55</v>
      </c>
      <c r="D838" s="2" t="s">
        <v>56</v>
      </c>
      <c r="E838" s="2" t="s">
        <v>34</v>
      </c>
      <c r="F838" s="2" t="s">
        <v>51</v>
      </c>
      <c r="G838" s="2" t="s">
        <v>36</v>
      </c>
      <c r="H838" s="2" t="s">
        <v>37</v>
      </c>
      <c r="I838" s="2" t="s">
        <v>57</v>
      </c>
      <c r="J838" t="s">
        <v>31</v>
      </c>
      <c r="K838">
        <v>14</v>
      </c>
      <c r="L838" s="3"/>
      <c r="M838" s="3"/>
      <c r="N838" s="3"/>
      <c r="O838" s="3">
        <f t="shared" si="40"/>
        <v>0</v>
      </c>
      <c r="P838">
        <v>748.8</v>
      </c>
      <c r="Q838">
        <v>194</v>
      </c>
      <c r="R838">
        <v>0</v>
      </c>
      <c r="S838">
        <v>135</v>
      </c>
      <c r="T838">
        <f t="shared" si="41"/>
        <v>3.2687999999999993</v>
      </c>
    </row>
    <row r="839" spans="1:20" x14ac:dyDescent="0.3">
      <c r="A839" s="1">
        <v>45444</v>
      </c>
      <c r="B839" s="1" t="str">
        <f t="shared" si="39"/>
        <v>Reliance_Bangalore_Product_8_45444</v>
      </c>
      <c r="C839" s="2" t="s">
        <v>77</v>
      </c>
      <c r="D839" s="2" t="s">
        <v>78</v>
      </c>
      <c r="E839" s="2" t="s">
        <v>34</v>
      </c>
      <c r="F839" s="2" t="s">
        <v>51</v>
      </c>
      <c r="G839" s="2" t="s">
        <v>79</v>
      </c>
      <c r="H839" s="2" t="s">
        <v>67</v>
      </c>
      <c r="I839" s="2" t="s">
        <v>68</v>
      </c>
      <c r="J839" t="s">
        <v>31</v>
      </c>
      <c r="K839">
        <v>3</v>
      </c>
      <c r="L839" s="3"/>
      <c r="M839" s="3"/>
      <c r="N839" s="3"/>
      <c r="O839" s="3">
        <f t="shared" si="40"/>
        <v>0</v>
      </c>
      <c r="P839">
        <v>748.8</v>
      </c>
      <c r="Q839">
        <v>291</v>
      </c>
      <c r="R839">
        <v>0</v>
      </c>
      <c r="S839">
        <v>126</v>
      </c>
      <c r="T839">
        <f t="shared" si="41"/>
        <v>0</v>
      </c>
    </row>
    <row r="840" spans="1:20" x14ac:dyDescent="0.3">
      <c r="A840" s="1">
        <v>45444</v>
      </c>
      <c r="B840" s="1" t="str">
        <f t="shared" si="39"/>
        <v>Maharashtra_MH-Aggregated_Product_9_45444</v>
      </c>
      <c r="C840" s="2" t="s">
        <v>69</v>
      </c>
      <c r="D840" s="2" t="s">
        <v>70</v>
      </c>
      <c r="E840" s="2" t="s">
        <v>26</v>
      </c>
      <c r="F840" s="2" t="s">
        <v>41</v>
      </c>
      <c r="G840" s="2" t="s">
        <v>42</v>
      </c>
      <c r="H840" s="2" t="s">
        <v>37</v>
      </c>
      <c r="I840" s="2" t="s">
        <v>71</v>
      </c>
      <c r="J840" t="s">
        <v>31</v>
      </c>
      <c r="K840">
        <v>24</v>
      </c>
      <c r="L840" s="3"/>
      <c r="M840" s="3"/>
      <c r="N840" s="3"/>
      <c r="O840" s="3">
        <f t="shared" si="40"/>
        <v>0</v>
      </c>
      <c r="P840">
        <v>84</v>
      </c>
      <c r="Q840">
        <v>282</v>
      </c>
      <c r="R840">
        <v>3</v>
      </c>
      <c r="S840">
        <v>119</v>
      </c>
      <c r="T840">
        <f t="shared" si="41"/>
        <v>-6.6479999999999997</v>
      </c>
    </row>
    <row r="841" spans="1:20" x14ac:dyDescent="0.3">
      <c r="A841" s="1">
        <v>45444</v>
      </c>
      <c r="B841" s="1" t="str">
        <f t="shared" si="39"/>
        <v>Jharkhand_JH-Aggregated_Product_1_45444</v>
      </c>
      <c r="C841" s="2" t="s">
        <v>24</v>
      </c>
      <c r="D841" s="2" t="s">
        <v>25</v>
      </c>
      <c r="E841" s="2" t="s">
        <v>26</v>
      </c>
      <c r="F841" s="2" t="s">
        <v>27</v>
      </c>
      <c r="G841" s="2" t="s">
        <v>28</v>
      </c>
      <c r="H841" s="2" t="s">
        <v>29</v>
      </c>
      <c r="I841" s="2" t="s">
        <v>30</v>
      </c>
      <c r="J841" t="s">
        <v>31</v>
      </c>
      <c r="K841">
        <v>54</v>
      </c>
      <c r="L841" s="3"/>
      <c r="M841" s="3"/>
      <c r="N841" s="3"/>
      <c r="O841" s="3">
        <f t="shared" si="40"/>
        <v>0</v>
      </c>
      <c r="P841">
        <v>48</v>
      </c>
      <c r="Q841">
        <v>452</v>
      </c>
      <c r="R841">
        <v>6</v>
      </c>
      <c r="S841">
        <v>111</v>
      </c>
      <c r="T841">
        <f t="shared" si="41"/>
        <v>-0.36</v>
      </c>
    </row>
    <row r="842" spans="1:20" x14ac:dyDescent="0.3">
      <c r="A842" s="1">
        <v>45444</v>
      </c>
      <c r="B842" s="1" t="str">
        <f t="shared" si="39"/>
        <v>Reliance_Mundka_Product_7_45444</v>
      </c>
      <c r="C842" s="2" t="s">
        <v>58</v>
      </c>
      <c r="D842" s="2" t="s">
        <v>59</v>
      </c>
      <c r="E842" s="2" t="s">
        <v>34</v>
      </c>
      <c r="F842" s="2" t="s">
        <v>51</v>
      </c>
      <c r="G842" s="2" t="s">
        <v>36</v>
      </c>
      <c r="H842" s="2" t="s">
        <v>37</v>
      </c>
      <c r="I842" s="2" t="s">
        <v>60</v>
      </c>
      <c r="J842" t="s">
        <v>31</v>
      </c>
      <c r="K842">
        <v>6</v>
      </c>
      <c r="L842" s="3"/>
      <c r="M842" s="3"/>
      <c r="N842" s="3"/>
      <c r="O842" s="3">
        <f t="shared" si="40"/>
        <v>0</v>
      </c>
      <c r="P842">
        <v>383.52</v>
      </c>
      <c r="Q842">
        <v>144</v>
      </c>
      <c r="R842">
        <v>8</v>
      </c>
      <c r="S842">
        <v>117</v>
      </c>
      <c r="T842">
        <f t="shared" si="41"/>
        <v>3.3552</v>
      </c>
    </row>
    <row r="843" spans="1:20" x14ac:dyDescent="0.3">
      <c r="A843" s="1">
        <v>45444</v>
      </c>
      <c r="B843" s="1" t="str">
        <f t="shared" si="39"/>
        <v>Grofers_Ahmedabad_Product_8_45444</v>
      </c>
      <c r="C843" s="2" t="s">
        <v>157</v>
      </c>
      <c r="D843" s="2" t="s">
        <v>158</v>
      </c>
      <c r="E843" s="2" t="s">
        <v>34</v>
      </c>
      <c r="F843" s="2" t="s">
        <v>114</v>
      </c>
      <c r="G843" s="2" t="s">
        <v>52</v>
      </c>
      <c r="H843" s="2" t="s">
        <v>67</v>
      </c>
      <c r="I843" s="2" t="s">
        <v>68</v>
      </c>
      <c r="J843" t="s">
        <v>31</v>
      </c>
      <c r="K843">
        <v>2</v>
      </c>
      <c r="L843" s="3"/>
      <c r="M843" s="3"/>
      <c r="N843" s="3"/>
      <c r="O843" s="3">
        <f t="shared" si="40"/>
        <v>0</v>
      </c>
      <c r="P843">
        <v>383.52</v>
      </c>
      <c r="Q843">
        <v>219</v>
      </c>
      <c r="R843">
        <v>0</v>
      </c>
      <c r="S843">
        <v>126</v>
      </c>
      <c r="T843">
        <f t="shared" si="41"/>
        <v>0</v>
      </c>
    </row>
    <row r="844" spans="1:20" x14ac:dyDescent="0.3">
      <c r="A844" s="1">
        <v>45444</v>
      </c>
      <c r="B844" s="1" t="str">
        <f t="shared" si="39"/>
        <v>Reliance_Ahmedabad_Product_18_45444</v>
      </c>
      <c r="C844" s="2" t="s">
        <v>121</v>
      </c>
      <c r="D844" s="2" t="s">
        <v>122</v>
      </c>
      <c r="E844" s="2" t="s">
        <v>34</v>
      </c>
      <c r="F844" s="2" t="s">
        <v>51</v>
      </c>
      <c r="G844" s="2" t="s">
        <v>52</v>
      </c>
      <c r="H844" s="2" t="s">
        <v>29</v>
      </c>
      <c r="I844" s="2" t="s">
        <v>123</v>
      </c>
      <c r="J844" t="s">
        <v>31</v>
      </c>
      <c r="K844">
        <v>3</v>
      </c>
      <c r="L844" s="3"/>
      <c r="M844" s="3"/>
      <c r="N844" s="3"/>
      <c r="O844" s="3">
        <f t="shared" si="40"/>
        <v>0</v>
      </c>
      <c r="P844">
        <v>672</v>
      </c>
      <c r="Q844">
        <v>283</v>
      </c>
      <c r="R844">
        <v>0</v>
      </c>
      <c r="S844">
        <v>129</v>
      </c>
      <c r="T844">
        <f t="shared" si="41"/>
        <v>2.8848000000000003</v>
      </c>
    </row>
    <row r="845" spans="1:20" x14ac:dyDescent="0.3">
      <c r="A845" s="1">
        <v>45444</v>
      </c>
      <c r="B845" s="1" t="str">
        <f t="shared" si="39"/>
        <v>Swiggy_Bangalore_Product_16_45444</v>
      </c>
      <c r="C845" s="2" t="s">
        <v>107</v>
      </c>
      <c r="D845" s="2" t="s">
        <v>108</v>
      </c>
      <c r="E845" s="2" t="s">
        <v>34</v>
      </c>
      <c r="F845" s="2" t="s">
        <v>35</v>
      </c>
      <c r="G845" s="2" t="s">
        <v>79</v>
      </c>
      <c r="H845" s="2" t="s">
        <v>47</v>
      </c>
      <c r="I845" s="2" t="s">
        <v>109</v>
      </c>
      <c r="J845" t="s">
        <v>31</v>
      </c>
      <c r="K845">
        <v>2</v>
      </c>
      <c r="L845" s="3"/>
      <c r="M845" s="3"/>
      <c r="N845" s="3"/>
      <c r="O845" s="3">
        <f t="shared" si="40"/>
        <v>0</v>
      </c>
      <c r="P845">
        <v>672</v>
      </c>
      <c r="Q845">
        <v>280</v>
      </c>
      <c r="R845">
        <v>0</v>
      </c>
      <c r="S845">
        <v>122</v>
      </c>
      <c r="T845">
        <f t="shared" si="41"/>
        <v>0</v>
      </c>
    </row>
    <row r="846" spans="1:20" x14ac:dyDescent="0.3">
      <c r="A846" s="1">
        <v>45444</v>
      </c>
      <c r="B846" s="1" t="str">
        <f t="shared" si="39"/>
        <v>Reliance_Bhiwandi_Product_8_45444</v>
      </c>
      <c r="C846" s="2" t="s">
        <v>64</v>
      </c>
      <c r="D846" s="2" t="s">
        <v>65</v>
      </c>
      <c r="E846" s="2" t="s">
        <v>34</v>
      </c>
      <c r="F846" s="2" t="s">
        <v>51</v>
      </c>
      <c r="G846" s="2" t="s">
        <v>66</v>
      </c>
      <c r="H846" s="2" t="s">
        <v>67</v>
      </c>
      <c r="I846" s="2" t="s">
        <v>68</v>
      </c>
      <c r="J846" t="s">
        <v>31</v>
      </c>
      <c r="K846">
        <v>12</v>
      </c>
      <c r="L846" s="3"/>
      <c r="M846" s="3"/>
      <c r="N846" s="3"/>
      <c r="O846" s="3">
        <f t="shared" si="40"/>
        <v>0</v>
      </c>
      <c r="P846">
        <v>421.92</v>
      </c>
      <c r="Q846">
        <v>318</v>
      </c>
      <c r="R846">
        <v>10</v>
      </c>
      <c r="S846">
        <v>126</v>
      </c>
      <c r="T846">
        <f t="shared" si="41"/>
        <v>-2.5007999999999999</v>
      </c>
    </row>
    <row r="847" spans="1:20" x14ac:dyDescent="0.3">
      <c r="A847" s="1">
        <v>45444</v>
      </c>
      <c r="B847" s="1" t="str">
        <f t="shared" si="39"/>
        <v>Swiggy_Mundka_Product_14_45444</v>
      </c>
      <c r="C847" s="2" t="s">
        <v>96</v>
      </c>
      <c r="D847" s="2" t="s">
        <v>97</v>
      </c>
      <c r="E847" s="2" t="s">
        <v>34</v>
      </c>
      <c r="F847" s="2" t="s">
        <v>35</v>
      </c>
      <c r="G847" s="2" t="s">
        <v>36</v>
      </c>
      <c r="H847" s="2" t="s">
        <v>47</v>
      </c>
      <c r="I847" s="2" t="s">
        <v>98</v>
      </c>
      <c r="J847" t="s">
        <v>31</v>
      </c>
      <c r="K847">
        <v>3</v>
      </c>
      <c r="L847" s="3"/>
      <c r="M847" s="3"/>
      <c r="N847" s="3"/>
      <c r="O847" s="3">
        <f t="shared" si="40"/>
        <v>0</v>
      </c>
      <c r="P847">
        <v>421.92</v>
      </c>
      <c r="Q847">
        <v>376</v>
      </c>
      <c r="R847">
        <v>0</v>
      </c>
      <c r="S847">
        <v>97</v>
      </c>
      <c r="T847">
        <f t="shared" si="41"/>
        <v>0</v>
      </c>
    </row>
    <row r="848" spans="1:20" x14ac:dyDescent="0.3">
      <c r="A848" s="1">
        <v>45444</v>
      </c>
      <c r="B848" s="1" t="str">
        <f t="shared" si="39"/>
        <v>Reliance_Ahmedabad_Product_7_45444</v>
      </c>
      <c r="C848" s="2" t="s">
        <v>99</v>
      </c>
      <c r="D848" s="2" t="s">
        <v>100</v>
      </c>
      <c r="E848" s="2" t="s">
        <v>34</v>
      </c>
      <c r="F848" s="2" t="s">
        <v>51</v>
      </c>
      <c r="G848" s="2" t="s">
        <v>52</v>
      </c>
      <c r="H848" s="2" t="s">
        <v>37</v>
      </c>
      <c r="I848" s="2" t="s">
        <v>60</v>
      </c>
      <c r="J848" t="s">
        <v>31</v>
      </c>
      <c r="K848">
        <v>5</v>
      </c>
      <c r="L848" s="3"/>
      <c r="M848" s="3"/>
      <c r="N848" s="3"/>
      <c r="O848" s="3">
        <f t="shared" si="40"/>
        <v>0</v>
      </c>
      <c r="P848">
        <v>748.8</v>
      </c>
      <c r="Q848">
        <v>229</v>
      </c>
      <c r="R848">
        <v>14</v>
      </c>
      <c r="S848">
        <v>117</v>
      </c>
      <c r="T848">
        <f t="shared" si="41"/>
        <v>3.2687999999999993</v>
      </c>
    </row>
    <row r="849" spans="1:20" x14ac:dyDescent="0.3">
      <c r="A849" s="1">
        <v>45444</v>
      </c>
      <c r="B849" s="1" t="str">
        <f t="shared" si="39"/>
        <v>Swiggy_Kolkata CFA_Product_3_45444</v>
      </c>
      <c r="C849" s="2" t="s">
        <v>61</v>
      </c>
      <c r="D849" s="2" t="s">
        <v>62</v>
      </c>
      <c r="E849" s="2" t="s">
        <v>34</v>
      </c>
      <c r="F849" s="2" t="s">
        <v>35</v>
      </c>
      <c r="G849" s="2" t="s">
        <v>63</v>
      </c>
      <c r="H849" s="2" t="s">
        <v>37</v>
      </c>
      <c r="I849" s="2" t="s">
        <v>43</v>
      </c>
      <c r="J849" t="s">
        <v>31</v>
      </c>
      <c r="K849">
        <v>2</v>
      </c>
      <c r="L849" s="3"/>
      <c r="M849" s="3"/>
      <c r="N849" s="3"/>
      <c r="O849" s="3">
        <f t="shared" si="40"/>
        <v>0</v>
      </c>
      <c r="P849">
        <v>748.8</v>
      </c>
      <c r="Q849">
        <v>366</v>
      </c>
      <c r="R849">
        <v>0</v>
      </c>
      <c r="S849">
        <v>127</v>
      </c>
      <c r="T849">
        <f t="shared" si="41"/>
        <v>0</v>
      </c>
    </row>
    <row r="850" spans="1:20" x14ac:dyDescent="0.3">
      <c r="A850" s="1">
        <v>45444</v>
      </c>
      <c r="B850" s="1" t="str">
        <f t="shared" si="39"/>
        <v>Reliance_Bhiwandi_Product_11_45444</v>
      </c>
      <c r="C850" s="2" t="s">
        <v>87</v>
      </c>
      <c r="D850" s="2" t="s">
        <v>88</v>
      </c>
      <c r="E850" s="2" t="s">
        <v>34</v>
      </c>
      <c r="F850" s="2" t="s">
        <v>51</v>
      </c>
      <c r="G850" s="2" t="s">
        <v>66</v>
      </c>
      <c r="H850" s="2" t="s">
        <v>67</v>
      </c>
      <c r="I850" s="2" t="s">
        <v>89</v>
      </c>
      <c r="J850" t="s">
        <v>31</v>
      </c>
      <c r="K850">
        <v>7</v>
      </c>
      <c r="L850" s="3"/>
      <c r="M850" s="3"/>
      <c r="N850" s="3"/>
      <c r="O850" s="3">
        <f t="shared" si="40"/>
        <v>0</v>
      </c>
      <c r="P850">
        <v>84</v>
      </c>
      <c r="Q850">
        <v>416</v>
      </c>
      <c r="R850">
        <v>0</v>
      </c>
      <c r="S850">
        <v>131</v>
      </c>
      <c r="T850">
        <f t="shared" si="41"/>
        <v>-6.6479999999999997</v>
      </c>
    </row>
    <row r="851" spans="1:20" x14ac:dyDescent="0.3">
      <c r="A851" s="1">
        <v>45444</v>
      </c>
      <c r="B851" s="1" t="str">
        <f t="shared" si="39"/>
        <v>Reliance_Bangalore_Product_13_45444</v>
      </c>
      <c r="C851" s="2" t="s">
        <v>93</v>
      </c>
      <c r="D851" s="2" t="s">
        <v>94</v>
      </c>
      <c r="E851" s="2" t="s">
        <v>34</v>
      </c>
      <c r="F851" s="2" t="s">
        <v>51</v>
      </c>
      <c r="G851" s="2" t="s">
        <v>79</v>
      </c>
      <c r="H851" s="2" t="s">
        <v>67</v>
      </c>
      <c r="I851" s="2" t="s">
        <v>95</v>
      </c>
      <c r="J851" t="s">
        <v>31</v>
      </c>
      <c r="K851">
        <v>15</v>
      </c>
      <c r="L851" s="3"/>
      <c r="M851" s="3"/>
      <c r="N851" s="3"/>
      <c r="O851" s="3">
        <f t="shared" si="40"/>
        <v>0</v>
      </c>
      <c r="P851">
        <v>48</v>
      </c>
      <c r="Q851">
        <v>289</v>
      </c>
      <c r="R851">
        <v>3</v>
      </c>
      <c r="S851">
        <v>113</v>
      </c>
      <c r="T851">
        <f t="shared" si="41"/>
        <v>-0.36</v>
      </c>
    </row>
    <row r="852" spans="1:20" x14ac:dyDescent="0.3">
      <c r="A852" s="1">
        <v>45444</v>
      </c>
      <c r="B852" s="1" t="str">
        <f t="shared" si="39"/>
        <v>Zepto_Bhiwandi_Product_24_45444</v>
      </c>
      <c r="C852" s="2" t="s">
        <v>163</v>
      </c>
      <c r="D852" s="2" t="s">
        <v>164</v>
      </c>
      <c r="E852" s="2" t="s">
        <v>34</v>
      </c>
      <c r="F852" s="2" t="s">
        <v>46</v>
      </c>
      <c r="G852" s="2" t="s">
        <v>66</v>
      </c>
      <c r="H852" s="2" t="s">
        <v>47</v>
      </c>
      <c r="I852" s="2" t="s">
        <v>165</v>
      </c>
      <c r="J852" t="s">
        <v>31</v>
      </c>
      <c r="K852">
        <v>17</v>
      </c>
      <c r="L852" s="3"/>
      <c r="M852" s="3"/>
      <c r="N852" s="3"/>
      <c r="O852" s="3">
        <f t="shared" si="40"/>
        <v>0</v>
      </c>
      <c r="P852">
        <v>383.52</v>
      </c>
      <c r="Q852">
        <v>153</v>
      </c>
      <c r="R852">
        <v>0</v>
      </c>
      <c r="S852">
        <v>120</v>
      </c>
      <c r="T852">
        <f t="shared" si="41"/>
        <v>3.3552</v>
      </c>
    </row>
    <row r="853" spans="1:20" x14ac:dyDescent="0.3">
      <c r="A853" s="1">
        <v>45444</v>
      </c>
      <c r="B853" s="1" t="str">
        <f t="shared" si="39"/>
        <v>Maharashtra_MH-Aggregated_Product_3_45444</v>
      </c>
      <c r="C853" s="2" t="s">
        <v>39</v>
      </c>
      <c r="D853" s="2" t="s">
        <v>40</v>
      </c>
      <c r="E853" s="2" t="s">
        <v>26</v>
      </c>
      <c r="F853" s="2" t="s">
        <v>41</v>
      </c>
      <c r="G853" s="2" t="s">
        <v>42</v>
      </c>
      <c r="H853" s="2" t="s">
        <v>37</v>
      </c>
      <c r="I853" s="2" t="s">
        <v>43</v>
      </c>
      <c r="J853" t="s">
        <v>31</v>
      </c>
      <c r="K853">
        <v>3</v>
      </c>
      <c r="L853" s="3"/>
      <c r="M853" s="3"/>
      <c r="N853" s="3"/>
      <c r="O853" s="3">
        <f t="shared" si="40"/>
        <v>0</v>
      </c>
      <c r="P853">
        <v>383.52</v>
      </c>
      <c r="Q853">
        <v>316</v>
      </c>
      <c r="R853">
        <v>11</v>
      </c>
      <c r="S853">
        <v>127</v>
      </c>
      <c r="T853">
        <f t="shared" si="41"/>
        <v>0</v>
      </c>
    </row>
    <row r="854" spans="1:20" x14ac:dyDescent="0.3">
      <c r="A854" s="1">
        <v>45444</v>
      </c>
      <c r="B854" s="1" t="str">
        <f t="shared" si="39"/>
        <v>Reliance_Hyderabad_Product_2_45444</v>
      </c>
      <c r="C854" s="2" t="s">
        <v>149</v>
      </c>
      <c r="D854" s="2" t="s">
        <v>150</v>
      </c>
      <c r="E854" s="2" t="s">
        <v>34</v>
      </c>
      <c r="F854" s="2" t="s">
        <v>51</v>
      </c>
      <c r="G854" s="2" t="s">
        <v>137</v>
      </c>
      <c r="H854" s="2" t="s">
        <v>37</v>
      </c>
      <c r="I854" s="2" t="s">
        <v>38</v>
      </c>
      <c r="J854" t="s">
        <v>31</v>
      </c>
      <c r="K854">
        <v>8</v>
      </c>
      <c r="L854" s="3"/>
      <c r="M854" s="3"/>
      <c r="N854" s="3"/>
      <c r="O854" s="3">
        <f t="shared" si="40"/>
        <v>0</v>
      </c>
      <c r="P854">
        <v>672</v>
      </c>
      <c r="Q854">
        <v>290</v>
      </c>
      <c r="R854">
        <v>0</v>
      </c>
      <c r="S854">
        <v>134</v>
      </c>
      <c r="T854">
        <f t="shared" si="41"/>
        <v>2.8848000000000003</v>
      </c>
    </row>
    <row r="855" spans="1:20" x14ac:dyDescent="0.3">
      <c r="A855" s="1">
        <v>45444</v>
      </c>
      <c r="B855" s="1" t="str">
        <f t="shared" si="39"/>
        <v>Zepto_Bhiwandi_Product_10_45444</v>
      </c>
      <c r="C855" s="2" t="s">
        <v>74</v>
      </c>
      <c r="D855" s="2" t="s">
        <v>75</v>
      </c>
      <c r="E855" s="2" t="s">
        <v>34</v>
      </c>
      <c r="F855" s="2" t="s">
        <v>46</v>
      </c>
      <c r="G855" s="2" t="s">
        <v>66</v>
      </c>
      <c r="H855" s="2" t="s">
        <v>67</v>
      </c>
      <c r="I855" s="2" t="s">
        <v>76</v>
      </c>
      <c r="J855" t="s">
        <v>31</v>
      </c>
      <c r="K855">
        <v>3</v>
      </c>
      <c r="L855" s="3"/>
      <c r="M855" s="3"/>
      <c r="N855" s="3"/>
      <c r="O855" s="3">
        <f t="shared" si="40"/>
        <v>0</v>
      </c>
      <c r="P855">
        <v>672</v>
      </c>
      <c r="Q855">
        <v>159</v>
      </c>
      <c r="R855">
        <v>0</v>
      </c>
      <c r="S855">
        <v>106</v>
      </c>
      <c r="T855">
        <f t="shared" si="41"/>
        <v>0</v>
      </c>
    </row>
    <row r="856" spans="1:20" x14ac:dyDescent="0.3">
      <c r="A856" s="1">
        <v>45444</v>
      </c>
      <c r="B856" s="1" t="str">
        <f t="shared" si="39"/>
        <v>Zepto_Mundka_Product_3_45444</v>
      </c>
      <c r="C856" s="2" t="s">
        <v>72</v>
      </c>
      <c r="D856" s="2" t="s">
        <v>73</v>
      </c>
      <c r="E856" s="2" t="s">
        <v>34</v>
      </c>
      <c r="F856" s="2" t="s">
        <v>46</v>
      </c>
      <c r="G856" s="2" t="s">
        <v>36</v>
      </c>
      <c r="H856" s="2" t="s">
        <v>37</v>
      </c>
      <c r="I856" s="2" t="s">
        <v>43</v>
      </c>
      <c r="J856" t="s">
        <v>31</v>
      </c>
      <c r="K856">
        <v>39</v>
      </c>
      <c r="L856" s="3"/>
      <c r="M856" s="3"/>
      <c r="N856" s="3"/>
      <c r="O856" s="3">
        <f t="shared" si="40"/>
        <v>0</v>
      </c>
      <c r="P856">
        <v>421.92</v>
      </c>
      <c r="Q856">
        <v>377</v>
      </c>
      <c r="R856">
        <v>0</v>
      </c>
      <c r="S856">
        <v>127</v>
      </c>
      <c r="T856">
        <f t="shared" si="41"/>
        <v>-2.5007999999999999</v>
      </c>
    </row>
    <row r="857" spans="1:20" x14ac:dyDescent="0.3">
      <c r="A857" s="1">
        <v>45444</v>
      </c>
      <c r="B857" s="1" t="str">
        <f t="shared" si="39"/>
        <v>Swiggy_Kolkata CFA_Product_20_45444</v>
      </c>
      <c r="C857" s="2" t="s">
        <v>128</v>
      </c>
      <c r="D857" s="2" t="s">
        <v>129</v>
      </c>
      <c r="E857" s="2" t="s">
        <v>34</v>
      </c>
      <c r="F857" s="2" t="s">
        <v>35</v>
      </c>
      <c r="G857" s="2" t="s">
        <v>63</v>
      </c>
      <c r="H857" s="2" t="s">
        <v>47</v>
      </c>
      <c r="I857" s="2" t="s">
        <v>130</v>
      </c>
      <c r="J857" t="s">
        <v>31</v>
      </c>
      <c r="K857">
        <v>7</v>
      </c>
      <c r="L857" s="3"/>
      <c r="M857" s="3"/>
      <c r="N857" s="3"/>
      <c r="O857" s="3">
        <f t="shared" si="40"/>
        <v>0</v>
      </c>
      <c r="P857">
        <v>421.92</v>
      </c>
      <c r="Q857">
        <v>495</v>
      </c>
      <c r="R857">
        <v>0</v>
      </c>
      <c r="S857">
        <v>125</v>
      </c>
      <c r="T857">
        <f t="shared" si="41"/>
        <v>0</v>
      </c>
    </row>
    <row r="858" spans="1:20" x14ac:dyDescent="0.3">
      <c r="A858" s="1">
        <v>45444</v>
      </c>
      <c r="B858" s="1" t="str">
        <f t="shared" si="39"/>
        <v>Grofers_Ahmedabad_Product_14_45444</v>
      </c>
      <c r="C858" s="2" t="s">
        <v>159</v>
      </c>
      <c r="D858" s="2" t="s">
        <v>160</v>
      </c>
      <c r="E858" s="2" t="s">
        <v>34</v>
      </c>
      <c r="F858" s="2" t="s">
        <v>114</v>
      </c>
      <c r="G858" s="2" t="s">
        <v>52</v>
      </c>
      <c r="H858" s="2" t="s">
        <v>47</v>
      </c>
      <c r="I858" s="2" t="s">
        <v>98</v>
      </c>
      <c r="J858" t="s">
        <v>31</v>
      </c>
      <c r="K858">
        <v>13</v>
      </c>
      <c r="L858" s="3"/>
      <c r="M858" s="3"/>
      <c r="N858" s="3"/>
      <c r="O858" s="3">
        <f t="shared" si="40"/>
        <v>0</v>
      </c>
      <c r="P858">
        <v>748.8</v>
      </c>
      <c r="Q858">
        <v>367</v>
      </c>
      <c r="R858">
        <v>0</v>
      </c>
      <c r="S858">
        <v>97</v>
      </c>
      <c r="T858">
        <f t="shared" si="41"/>
        <v>3.2687999999999993</v>
      </c>
    </row>
    <row r="859" spans="1:20" x14ac:dyDescent="0.3">
      <c r="A859" s="1">
        <v>45444</v>
      </c>
      <c r="B859" s="1" t="str">
        <f t="shared" si="39"/>
        <v>Grofers_Kolkata CFA_Product_20_45444</v>
      </c>
      <c r="C859" s="2" t="s">
        <v>153</v>
      </c>
      <c r="D859" s="2" t="s">
        <v>154</v>
      </c>
      <c r="E859" s="2" t="s">
        <v>34</v>
      </c>
      <c r="F859" s="2" t="s">
        <v>114</v>
      </c>
      <c r="G859" s="2" t="s">
        <v>63</v>
      </c>
      <c r="H859" s="2" t="s">
        <v>47</v>
      </c>
      <c r="I859" s="2" t="s">
        <v>130</v>
      </c>
      <c r="J859" t="s">
        <v>31</v>
      </c>
      <c r="K859">
        <v>3</v>
      </c>
      <c r="L859" s="3"/>
      <c r="M859" s="3"/>
      <c r="N859" s="3"/>
      <c r="O859" s="3">
        <f t="shared" si="40"/>
        <v>0</v>
      </c>
      <c r="P859">
        <v>748.8</v>
      </c>
      <c r="Q859">
        <v>479</v>
      </c>
      <c r="R859">
        <v>4</v>
      </c>
      <c r="S859">
        <v>125</v>
      </c>
      <c r="T859">
        <f t="shared" si="41"/>
        <v>0</v>
      </c>
    </row>
    <row r="860" spans="1:20" x14ac:dyDescent="0.3">
      <c r="A860" s="1">
        <v>45444</v>
      </c>
      <c r="B860" s="1" t="str">
        <f t="shared" si="39"/>
        <v>Reliance_Bangalore_Product_14_45444</v>
      </c>
      <c r="C860" s="2" t="s">
        <v>155</v>
      </c>
      <c r="D860" s="2" t="s">
        <v>156</v>
      </c>
      <c r="E860" s="2" t="s">
        <v>34</v>
      </c>
      <c r="F860" s="2" t="s">
        <v>51</v>
      </c>
      <c r="G860" s="2" t="s">
        <v>79</v>
      </c>
      <c r="H860" s="2" t="s">
        <v>47</v>
      </c>
      <c r="I860" s="2" t="s">
        <v>98</v>
      </c>
      <c r="J860" t="s">
        <v>31</v>
      </c>
      <c r="K860">
        <v>24</v>
      </c>
      <c r="L860" s="3"/>
      <c r="M860" s="3"/>
      <c r="N860" s="3"/>
      <c r="O860" s="3">
        <f t="shared" si="40"/>
        <v>0</v>
      </c>
      <c r="P860">
        <v>84</v>
      </c>
      <c r="Q860">
        <v>337</v>
      </c>
      <c r="R860">
        <v>0</v>
      </c>
      <c r="S860">
        <v>97</v>
      </c>
      <c r="T860">
        <f t="shared" si="41"/>
        <v>-6.6479999999999997</v>
      </c>
    </row>
    <row r="861" spans="1:20" x14ac:dyDescent="0.3">
      <c r="A861" s="1">
        <v>45444</v>
      </c>
      <c r="B861" s="1" t="str">
        <f t="shared" si="39"/>
        <v>Zepto_Mundka_Product_4_45444</v>
      </c>
      <c r="C861" s="2" t="s">
        <v>44</v>
      </c>
      <c r="D861" s="2" t="s">
        <v>45</v>
      </c>
      <c r="E861" s="2" t="s">
        <v>34</v>
      </c>
      <c r="F861" s="2" t="s">
        <v>46</v>
      </c>
      <c r="G861" s="2" t="s">
        <v>36</v>
      </c>
      <c r="H861" s="2" t="s">
        <v>47</v>
      </c>
      <c r="I861" s="2" t="s">
        <v>48</v>
      </c>
      <c r="J861" t="s">
        <v>31</v>
      </c>
      <c r="K861">
        <v>51</v>
      </c>
      <c r="L861" s="3"/>
      <c r="M861" s="3"/>
      <c r="N861" s="3"/>
      <c r="O861" s="3">
        <f t="shared" si="40"/>
        <v>0</v>
      </c>
      <c r="P861">
        <v>48</v>
      </c>
      <c r="Q861">
        <v>204</v>
      </c>
      <c r="R861">
        <v>0</v>
      </c>
      <c r="S861">
        <v>142</v>
      </c>
      <c r="T861">
        <f t="shared" si="41"/>
        <v>-0.36</v>
      </c>
    </row>
    <row r="862" spans="1:20" x14ac:dyDescent="0.3">
      <c r="A862" s="1">
        <v>45444</v>
      </c>
      <c r="B862" s="1" t="str">
        <f t="shared" si="39"/>
        <v>Reliance_Kolkata CFA_Product_12_45444</v>
      </c>
      <c r="C862" s="2" t="s">
        <v>101</v>
      </c>
      <c r="D862" s="2" t="s">
        <v>102</v>
      </c>
      <c r="E862" s="2" t="s">
        <v>34</v>
      </c>
      <c r="F862" s="2" t="s">
        <v>51</v>
      </c>
      <c r="G862" s="2" t="s">
        <v>63</v>
      </c>
      <c r="H862" s="2" t="s">
        <v>67</v>
      </c>
      <c r="I862" s="2" t="s">
        <v>92</v>
      </c>
      <c r="J862" t="s">
        <v>31</v>
      </c>
      <c r="K862">
        <v>4</v>
      </c>
      <c r="L862" s="3"/>
      <c r="M862" s="3"/>
      <c r="N862" s="3"/>
      <c r="O862" s="3">
        <f t="shared" si="40"/>
        <v>0</v>
      </c>
      <c r="P862">
        <v>383.52</v>
      </c>
      <c r="Q862">
        <v>114</v>
      </c>
      <c r="R862">
        <v>0</v>
      </c>
      <c r="S862">
        <v>94</v>
      </c>
      <c r="T862">
        <f t="shared" si="41"/>
        <v>3.3552</v>
      </c>
    </row>
    <row r="863" spans="1:20" x14ac:dyDescent="0.3">
      <c r="A863" s="1">
        <v>45444</v>
      </c>
      <c r="B863" s="1" t="str">
        <f t="shared" si="39"/>
        <v>Reliance_Ahmedabad_Product_5_45444</v>
      </c>
      <c r="C863" s="2" t="s">
        <v>49</v>
      </c>
      <c r="D863" s="2" t="s">
        <v>50</v>
      </c>
      <c r="E863" s="2" t="s">
        <v>34</v>
      </c>
      <c r="F863" s="2" t="s">
        <v>51</v>
      </c>
      <c r="G863" s="2" t="s">
        <v>52</v>
      </c>
      <c r="H863" s="2" t="s">
        <v>53</v>
      </c>
      <c r="I863" s="2" t="s">
        <v>54</v>
      </c>
      <c r="J863" t="s">
        <v>31</v>
      </c>
      <c r="K863">
        <v>2</v>
      </c>
      <c r="L863" s="3"/>
      <c r="M863" s="3"/>
      <c r="N863" s="3"/>
      <c r="O863" s="3">
        <f t="shared" si="40"/>
        <v>0</v>
      </c>
      <c r="P863">
        <v>383.52</v>
      </c>
      <c r="Q863">
        <v>172</v>
      </c>
      <c r="R863">
        <v>3</v>
      </c>
      <c r="S863">
        <v>132</v>
      </c>
      <c r="T863">
        <f t="shared" si="41"/>
        <v>0</v>
      </c>
    </row>
    <row r="864" spans="1:20" x14ac:dyDescent="0.3">
      <c r="A864" s="1">
        <v>45444</v>
      </c>
      <c r="B864" s="1" t="str">
        <f t="shared" si="39"/>
        <v>Jharkhand_JH-Aggregated_Product_15_45444</v>
      </c>
      <c r="C864" s="2" t="s">
        <v>103</v>
      </c>
      <c r="D864" s="2" t="s">
        <v>104</v>
      </c>
      <c r="E864" s="2" t="s">
        <v>26</v>
      </c>
      <c r="F864" s="2" t="s">
        <v>27</v>
      </c>
      <c r="G864" s="2" t="s">
        <v>28</v>
      </c>
      <c r="H864" s="2" t="s">
        <v>105</v>
      </c>
      <c r="I864" s="2" t="s">
        <v>106</v>
      </c>
      <c r="J864" t="s">
        <v>31</v>
      </c>
      <c r="K864">
        <v>3</v>
      </c>
      <c r="L864" s="3"/>
      <c r="M864" s="3"/>
      <c r="N864" s="3"/>
      <c r="O864" s="3">
        <f t="shared" si="40"/>
        <v>0</v>
      </c>
      <c r="P864">
        <v>672</v>
      </c>
      <c r="Q864">
        <v>357</v>
      </c>
      <c r="R864">
        <v>0</v>
      </c>
      <c r="S864">
        <v>143</v>
      </c>
      <c r="T864">
        <f t="shared" si="41"/>
        <v>2.8848000000000003</v>
      </c>
    </row>
    <row r="865" spans="1:20" x14ac:dyDescent="0.3">
      <c r="A865" s="1">
        <v>45444</v>
      </c>
      <c r="B865" s="1" t="str">
        <f t="shared" si="39"/>
        <v>Zepto_Bangalore_Product_12_45444</v>
      </c>
      <c r="C865" s="2" t="s">
        <v>90</v>
      </c>
      <c r="D865" s="2" t="s">
        <v>91</v>
      </c>
      <c r="E865" s="2" t="s">
        <v>34</v>
      </c>
      <c r="F865" s="2" t="s">
        <v>46</v>
      </c>
      <c r="G865" s="2" t="s">
        <v>79</v>
      </c>
      <c r="H865" s="2" t="s">
        <v>67</v>
      </c>
      <c r="I865" s="2" t="s">
        <v>92</v>
      </c>
      <c r="J865" t="s">
        <v>31</v>
      </c>
      <c r="K865">
        <v>2</v>
      </c>
      <c r="L865" s="3"/>
      <c r="M865" s="3"/>
      <c r="N865" s="3"/>
      <c r="O865" s="3">
        <f t="shared" si="40"/>
        <v>0</v>
      </c>
      <c r="P865">
        <v>672</v>
      </c>
      <c r="Q865">
        <v>288</v>
      </c>
      <c r="R865">
        <v>2</v>
      </c>
      <c r="S865">
        <v>94</v>
      </c>
      <c r="T865">
        <f t="shared" si="41"/>
        <v>0</v>
      </c>
    </row>
    <row r="866" spans="1:20" x14ac:dyDescent="0.3">
      <c r="A866" s="1">
        <v>45444</v>
      </c>
      <c r="B866" s="1" t="str">
        <f t="shared" si="39"/>
        <v>Reliance_Chennai_Product_9_45444</v>
      </c>
      <c r="C866" s="2" t="s">
        <v>147</v>
      </c>
      <c r="D866" s="2" t="s">
        <v>148</v>
      </c>
      <c r="E866" s="2" t="s">
        <v>34</v>
      </c>
      <c r="F866" s="2" t="s">
        <v>51</v>
      </c>
      <c r="G866" s="2" t="s">
        <v>84</v>
      </c>
      <c r="H866" s="2" t="s">
        <v>37</v>
      </c>
      <c r="I866" s="2" t="s">
        <v>71</v>
      </c>
      <c r="J866" t="s">
        <v>31</v>
      </c>
      <c r="K866">
        <v>8</v>
      </c>
      <c r="L866" s="3"/>
      <c r="M866" s="3"/>
      <c r="N866" s="3"/>
      <c r="O866" s="3">
        <f t="shared" si="40"/>
        <v>0</v>
      </c>
      <c r="P866">
        <v>421.92</v>
      </c>
      <c r="Q866">
        <v>209</v>
      </c>
      <c r="R866">
        <v>0</v>
      </c>
      <c r="S866">
        <v>119</v>
      </c>
      <c r="T866">
        <f t="shared" si="41"/>
        <v>-2.5007999999999999</v>
      </c>
    </row>
    <row r="867" spans="1:20" x14ac:dyDescent="0.3">
      <c r="A867" s="1">
        <v>45444</v>
      </c>
      <c r="B867" s="1" t="str">
        <f t="shared" si="39"/>
        <v>Swiggy_Mundka_Product_2_45444</v>
      </c>
      <c r="C867" s="2" t="s">
        <v>32</v>
      </c>
      <c r="D867" s="2" t="s">
        <v>33</v>
      </c>
      <c r="E867" s="2" t="s">
        <v>34</v>
      </c>
      <c r="F867" s="2" t="s">
        <v>35</v>
      </c>
      <c r="G867" s="2" t="s">
        <v>36</v>
      </c>
      <c r="H867" s="2" t="s">
        <v>37</v>
      </c>
      <c r="I867" s="2" t="s">
        <v>38</v>
      </c>
      <c r="J867" t="s">
        <v>31</v>
      </c>
      <c r="K867">
        <v>3</v>
      </c>
      <c r="L867" s="3"/>
      <c r="M867" s="3"/>
      <c r="N867" s="3"/>
      <c r="O867" s="3">
        <f t="shared" si="40"/>
        <v>0</v>
      </c>
      <c r="P867">
        <v>421.92</v>
      </c>
      <c r="Q867">
        <v>418</v>
      </c>
      <c r="R867">
        <v>6</v>
      </c>
      <c r="S867">
        <v>134</v>
      </c>
      <c r="T867">
        <f t="shared" si="41"/>
        <v>0</v>
      </c>
    </row>
    <row r="868" spans="1:20" x14ac:dyDescent="0.3">
      <c r="A868" s="1">
        <v>45444</v>
      </c>
      <c r="B868" s="1" t="str">
        <f t="shared" si="39"/>
        <v>Reliance_Chennai_Product_11_45444</v>
      </c>
      <c r="C868" s="2" t="s">
        <v>110</v>
      </c>
      <c r="D868" s="2" t="s">
        <v>111</v>
      </c>
      <c r="E868" s="2" t="s">
        <v>34</v>
      </c>
      <c r="F868" s="2" t="s">
        <v>51</v>
      </c>
      <c r="G868" s="2" t="s">
        <v>84</v>
      </c>
      <c r="H868" s="2" t="s">
        <v>67</v>
      </c>
      <c r="I868" s="2" t="s">
        <v>89</v>
      </c>
      <c r="J868" t="s">
        <v>31</v>
      </c>
      <c r="K868">
        <v>4</v>
      </c>
      <c r="L868" s="3"/>
      <c r="M868" s="3"/>
      <c r="N868" s="3"/>
      <c r="O868" s="3">
        <f t="shared" si="40"/>
        <v>0</v>
      </c>
      <c r="P868">
        <v>748.8</v>
      </c>
      <c r="Q868">
        <v>401</v>
      </c>
      <c r="R868">
        <v>6</v>
      </c>
      <c r="S868">
        <v>131</v>
      </c>
      <c r="T868">
        <f t="shared" si="41"/>
        <v>3.2687999999999993</v>
      </c>
    </row>
    <row r="869" spans="1:20" x14ac:dyDescent="0.3">
      <c r="A869" s="1">
        <v>45444</v>
      </c>
      <c r="B869" s="1" t="str">
        <f t="shared" si="39"/>
        <v>Jharkhand_JH-Aggregated_Product_19_45444</v>
      </c>
      <c r="C869" s="2" t="s">
        <v>124</v>
      </c>
      <c r="D869" s="2" t="s">
        <v>125</v>
      </c>
      <c r="E869" s="2" t="s">
        <v>26</v>
      </c>
      <c r="F869" s="2" t="s">
        <v>27</v>
      </c>
      <c r="G869" s="2" t="s">
        <v>28</v>
      </c>
      <c r="H869" s="2" t="s">
        <v>126</v>
      </c>
      <c r="I869" s="2" t="s">
        <v>127</v>
      </c>
      <c r="J869" t="s">
        <v>31</v>
      </c>
      <c r="K869">
        <v>2</v>
      </c>
      <c r="L869" s="3"/>
      <c r="M869" s="3"/>
      <c r="N869" s="3"/>
      <c r="O869" s="3">
        <f t="shared" si="40"/>
        <v>0</v>
      </c>
      <c r="P869">
        <v>748.8</v>
      </c>
      <c r="Q869">
        <v>224</v>
      </c>
      <c r="R869">
        <v>0</v>
      </c>
      <c r="S869">
        <v>94</v>
      </c>
      <c r="T869">
        <f t="shared" si="41"/>
        <v>0</v>
      </c>
    </row>
    <row r="870" spans="1:20" x14ac:dyDescent="0.3">
      <c r="A870" s="1">
        <v>45474</v>
      </c>
      <c r="B870" s="1" t="str">
        <f t="shared" si="39"/>
        <v>Grofers_Hyderabad_Product_21_45474</v>
      </c>
      <c r="C870" s="2" t="s">
        <v>135</v>
      </c>
      <c r="D870" s="2" t="s">
        <v>136</v>
      </c>
      <c r="E870" s="2" t="s">
        <v>34</v>
      </c>
      <c r="F870" s="2" t="s">
        <v>114</v>
      </c>
      <c r="G870" s="2" t="s">
        <v>137</v>
      </c>
      <c r="H870" s="2" t="s">
        <v>133</v>
      </c>
      <c r="I870" s="2" t="s">
        <v>134</v>
      </c>
      <c r="J870" t="s">
        <v>31</v>
      </c>
      <c r="K870">
        <v>5</v>
      </c>
      <c r="L870" s="3">
        <v>5.85</v>
      </c>
      <c r="M870" s="3">
        <v>5.2649999999999997</v>
      </c>
      <c r="N870" s="3">
        <f t="shared" ref="N870:N933" ca="1" si="42">L870*RANDBETWEEN(105,120)/100</f>
        <v>6.9615</v>
      </c>
      <c r="O870" s="3">
        <f t="shared" si="40"/>
        <v>5.85</v>
      </c>
      <c r="P870">
        <v>84</v>
      </c>
      <c r="Q870">
        <v>500</v>
      </c>
      <c r="R870">
        <v>1</v>
      </c>
      <c r="S870">
        <v>115</v>
      </c>
      <c r="T870">
        <f t="shared" si="41"/>
        <v>-6.6479999999999997</v>
      </c>
    </row>
    <row r="871" spans="1:20" x14ac:dyDescent="0.3">
      <c r="A871" s="1">
        <v>45474</v>
      </c>
      <c r="B871" s="1" t="str">
        <f t="shared" si="39"/>
        <v>Reliance_Chennai_Product_11_45474</v>
      </c>
      <c r="C871" s="2" t="s">
        <v>110</v>
      </c>
      <c r="D871" s="2" t="s">
        <v>111</v>
      </c>
      <c r="E871" s="2" t="s">
        <v>34</v>
      </c>
      <c r="F871" s="2" t="s">
        <v>51</v>
      </c>
      <c r="G871" s="2" t="s">
        <v>84</v>
      </c>
      <c r="H871" s="2" t="s">
        <v>67</v>
      </c>
      <c r="I871" s="2" t="s">
        <v>89</v>
      </c>
      <c r="J871" t="s">
        <v>31</v>
      </c>
      <c r="K871">
        <v>10</v>
      </c>
      <c r="L871" s="3">
        <v>8.9</v>
      </c>
      <c r="M871" s="3">
        <v>8.9</v>
      </c>
      <c r="N871" s="3">
        <f t="shared" ca="1" si="42"/>
        <v>9.7899999999999991</v>
      </c>
      <c r="O871" s="3">
        <f t="shared" si="40"/>
        <v>8.9</v>
      </c>
      <c r="P871">
        <v>48</v>
      </c>
      <c r="Q871">
        <v>197</v>
      </c>
      <c r="R871">
        <v>2</v>
      </c>
      <c r="S871">
        <v>131</v>
      </c>
      <c r="T871">
        <f t="shared" si="41"/>
        <v>-0.36</v>
      </c>
    </row>
    <row r="872" spans="1:20" x14ac:dyDescent="0.3">
      <c r="A872" s="1">
        <v>45474</v>
      </c>
      <c r="B872" s="1" t="str">
        <f t="shared" si="39"/>
        <v>Grofers_Ahmedabad_Product_9_45474</v>
      </c>
      <c r="C872" s="2" t="s">
        <v>112</v>
      </c>
      <c r="D872" s="2" t="s">
        <v>113</v>
      </c>
      <c r="E872" s="2" t="s">
        <v>34</v>
      </c>
      <c r="F872" s="2" t="s">
        <v>114</v>
      </c>
      <c r="G872" s="2" t="s">
        <v>52</v>
      </c>
      <c r="H872" s="2" t="s">
        <v>37</v>
      </c>
      <c r="I872" s="2" t="s">
        <v>71</v>
      </c>
      <c r="J872" t="s">
        <v>31</v>
      </c>
      <c r="K872">
        <v>17</v>
      </c>
      <c r="L872" s="3">
        <v>22.1</v>
      </c>
      <c r="M872" s="3">
        <v>21.879000000000001</v>
      </c>
      <c r="N872" s="3">
        <f t="shared" ca="1" si="42"/>
        <v>25.636000000000003</v>
      </c>
      <c r="O872" s="3">
        <f t="shared" si="40"/>
        <v>22.1</v>
      </c>
      <c r="P872">
        <v>383.52</v>
      </c>
      <c r="Q872">
        <v>221</v>
      </c>
      <c r="R872">
        <v>4</v>
      </c>
      <c r="S872">
        <v>119</v>
      </c>
      <c r="T872">
        <f t="shared" si="41"/>
        <v>3.3552</v>
      </c>
    </row>
    <row r="873" spans="1:20" x14ac:dyDescent="0.3">
      <c r="A873" s="1">
        <v>45474</v>
      </c>
      <c r="B873" s="1" t="str">
        <f t="shared" si="39"/>
        <v>Swiggy_Mundka_Product_2_45474</v>
      </c>
      <c r="C873" s="2" t="s">
        <v>32</v>
      </c>
      <c r="D873" s="2" t="s">
        <v>33</v>
      </c>
      <c r="E873" s="2" t="s">
        <v>34</v>
      </c>
      <c r="F873" s="2" t="s">
        <v>35</v>
      </c>
      <c r="G873" s="2" t="s">
        <v>36</v>
      </c>
      <c r="H873" s="2" t="s">
        <v>37</v>
      </c>
      <c r="I873" s="2" t="s">
        <v>38</v>
      </c>
      <c r="J873" t="s">
        <v>31</v>
      </c>
      <c r="K873">
        <v>3</v>
      </c>
      <c r="L873" s="3">
        <v>2.9699999999999998</v>
      </c>
      <c r="M873" s="3">
        <v>2.9402999999999997</v>
      </c>
      <c r="N873" s="3">
        <f t="shared" ca="1" si="42"/>
        <v>3.3560999999999996</v>
      </c>
      <c r="O873" s="3">
        <f t="shared" si="40"/>
        <v>2.9699999999999998</v>
      </c>
      <c r="P873">
        <v>383.52</v>
      </c>
      <c r="Q873">
        <v>276</v>
      </c>
      <c r="R873">
        <v>0</v>
      </c>
      <c r="S873">
        <v>134</v>
      </c>
      <c r="T873">
        <f t="shared" si="41"/>
        <v>0</v>
      </c>
    </row>
    <row r="874" spans="1:20" x14ac:dyDescent="0.3">
      <c r="A874" s="1">
        <v>45474</v>
      </c>
      <c r="B874" s="1" t="str">
        <f t="shared" si="39"/>
        <v>Swiggy_Mundka_Product_14_45474</v>
      </c>
      <c r="C874" s="2" t="s">
        <v>96</v>
      </c>
      <c r="D874" s="2" t="s">
        <v>97</v>
      </c>
      <c r="E874" s="2" t="s">
        <v>34</v>
      </c>
      <c r="F874" s="2" t="s">
        <v>35</v>
      </c>
      <c r="G874" s="2" t="s">
        <v>36</v>
      </c>
      <c r="H874" s="2" t="s">
        <v>47</v>
      </c>
      <c r="I874" s="2" t="s">
        <v>98</v>
      </c>
      <c r="J874" t="s">
        <v>31</v>
      </c>
      <c r="K874">
        <v>8</v>
      </c>
      <c r="L874" s="3">
        <v>8.7200000000000006</v>
      </c>
      <c r="M874" s="3">
        <v>7.0632000000000001</v>
      </c>
      <c r="N874" s="3">
        <f t="shared" ca="1" si="42"/>
        <v>10.2896</v>
      </c>
      <c r="O874" s="3">
        <f t="shared" si="40"/>
        <v>8.7200000000000006</v>
      </c>
      <c r="P874">
        <v>672</v>
      </c>
      <c r="Q874">
        <v>346</v>
      </c>
      <c r="R874">
        <v>8</v>
      </c>
      <c r="S874">
        <v>97</v>
      </c>
      <c r="T874">
        <f t="shared" si="41"/>
        <v>2.8848000000000003</v>
      </c>
    </row>
    <row r="875" spans="1:20" x14ac:dyDescent="0.3">
      <c r="A875" s="1">
        <v>45474</v>
      </c>
      <c r="B875" s="1" t="str">
        <f t="shared" si="39"/>
        <v>Swiggy_Chennai_Product_3_45474</v>
      </c>
      <c r="C875" s="2" t="s">
        <v>82</v>
      </c>
      <c r="D875" s="2" t="s">
        <v>83</v>
      </c>
      <c r="E875" s="2" t="s">
        <v>34</v>
      </c>
      <c r="F875" s="2" t="s">
        <v>35</v>
      </c>
      <c r="G875" s="2" t="s">
        <v>84</v>
      </c>
      <c r="H875" s="2" t="s">
        <v>37</v>
      </c>
      <c r="I875" s="2" t="s">
        <v>43</v>
      </c>
      <c r="J875" t="s">
        <v>31</v>
      </c>
      <c r="K875">
        <v>3</v>
      </c>
      <c r="L875" s="3">
        <v>3.3899999999999997</v>
      </c>
      <c r="M875" s="3">
        <v>2.7119999999999997</v>
      </c>
      <c r="N875" s="3">
        <f t="shared" ca="1" si="42"/>
        <v>4.0340999999999996</v>
      </c>
      <c r="O875" s="3">
        <f t="shared" si="40"/>
        <v>3.3899999999999997</v>
      </c>
      <c r="P875">
        <v>672</v>
      </c>
      <c r="Q875">
        <v>357</v>
      </c>
      <c r="R875">
        <v>1</v>
      </c>
      <c r="S875">
        <v>127</v>
      </c>
      <c r="T875">
        <f t="shared" si="41"/>
        <v>0</v>
      </c>
    </row>
    <row r="876" spans="1:20" x14ac:dyDescent="0.3">
      <c r="A876" s="1">
        <v>45474</v>
      </c>
      <c r="B876" s="1" t="str">
        <f t="shared" si="39"/>
        <v>Reliance_Kolkata CFA_Product_12_45474</v>
      </c>
      <c r="C876" s="2" t="s">
        <v>101</v>
      </c>
      <c r="D876" s="2" t="s">
        <v>102</v>
      </c>
      <c r="E876" s="2" t="s">
        <v>34</v>
      </c>
      <c r="F876" s="2" t="s">
        <v>51</v>
      </c>
      <c r="G876" s="2" t="s">
        <v>63</v>
      </c>
      <c r="H876" s="2" t="s">
        <v>67</v>
      </c>
      <c r="I876" s="2" t="s">
        <v>92</v>
      </c>
      <c r="J876" t="s">
        <v>31</v>
      </c>
      <c r="K876">
        <v>39</v>
      </c>
      <c r="L876" s="3">
        <v>49.92</v>
      </c>
      <c r="M876" s="3">
        <v>41.9328</v>
      </c>
      <c r="N876" s="3">
        <f t="shared" ca="1" si="42"/>
        <v>56.908799999999999</v>
      </c>
      <c r="O876" s="3">
        <f t="shared" si="40"/>
        <v>49.92</v>
      </c>
      <c r="P876">
        <v>421.92</v>
      </c>
      <c r="Q876">
        <v>130</v>
      </c>
      <c r="R876">
        <v>4</v>
      </c>
      <c r="S876">
        <v>94</v>
      </c>
      <c r="T876">
        <f t="shared" si="41"/>
        <v>-2.5007999999999999</v>
      </c>
    </row>
    <row r="877" spans="1:20" x14ac:dyDescent="0.3">
      <c r="A877" s="1">
        <v>45474</v>
      </c>
      <c r="B877" s="1" t="str">
        <f t="shared" si="39"/>
        <v>Reliance_Mundka_Product_9_45474</v>
      </c>
      <c r="C877" s="2" t="s">
        <v>145</v>
      </c>
      <c r="D877" s="2" t="s">
        <v>146</v>
      </c>
      <c r="E877" s="2" t="s">
        <v>34</v>
      </c>
      <c r="F877" s="2" t="s">
        <v>51</v>
      </c>
      <c r="G877" s="2" t="s">
        <v>36</v>
      </c>
      <c r="H877" s="2" t="s">
        <v>37</v>
      </c>
      <c r="I877" s="2" t="s">
        <v>71</v>
      </c>
      <c r="J877" t="s">
        <v>31</v>
      </c>
      <c r="K877">
        <v>7</v>
      </c>
      <c r="L877" s="3">
        <v>7.7000000000000011</v>
      </c>
      <c r="M877" s="3">
        <v>7.3920000000000003</v>
      </c>
      <c r="N877" s="3">
        <f t="shared" ca="1" si="42"/>
        <v>8.5470000000000024</v>
      </c>
      <c r="O877" s="3">
        <f t="shared" si="40"/>
        <v>7.7000000000000011</v>
      </c>
      <c r="P877">
        <v>421.92</v>
      </c>
      <c r="Q877">
        <v>498</v>
      </c>
      <c r="R877">
        <v>2</v>
      </c>
      <c r="S877">
        <v>119</v>
      </c>
      <c r="T877">
        <f t="shared" si="41"/>
        <v>0</v>
      </c>
    </row>
    <row r="878" spans="1:20" x14ac:dyDescent="0.3">
      <c r="A878" s="1">
        <v>45474</v>
      </c>
      <c r="B878" s="1" t="str">
        <f t="shared" si="39"/>
        <v>Reliance_Ahmedabad_Product_7_45474</v>
      </c>
      <c r="C878" s="2" t="s">
        <v>99</v>
      </c>
      <c r="D878" s="2" t="s">
        <v>100</v>
      </c>
      <c r="E878" s="2" t="s">
        <v>34</v>
      </c>
      <c r="F878" s="2" t="s">
        <v>51</v>
      </c>
      <c r="G878" s="2" t="s">
        <v>52</v>
      </c>
      <c r="H878" s="2" t="s">
        <v>37</v>
      </c>
      <c r="I878" s="2" t="s">
        <v>60</v>
      </c>
      <c r="J878" t="s">
        <v>31</v>
      </c>
      <c r="K878">
        <v>13</v>
      </c>
      <c r="L878" s="3">
        <v>11.049999999999999</v>
      </c>
      <c r="M878" s="3">
        <v>10.939499999999999</v>
      </c>
      <c r="N878" s="3">
        <f t="shared" ca="1" si="42"/>
        <v>12.818</v>
      </c>
      <c r="O878" s="3">
        <f t="shared" si="40"/>
        <v>11.049999999999999</v>
      </c>
      <c r="P878">
        <v>748.8</v>
      </c>
      <c r="Q878">
        <v>207</v>
      </c>
      <c r="R878">
        <v>0</v>
      </c>
      <c r="S878">
        <v>117</v>
      </c>
      <c r="T878">
        <f t="shared" si="41"/>
        <v>3.2687999999999993</v>
      </c>
    </row>
    <row r="879" spans="1:20" x14ac:dyDescent="0.3">
      <c r="A879" s="1">
        <v>45474</v>
      </c>
      <c r="B879" s="1" t="str">
        <f t="shared" si="39"/>
        <v>Zepto_Bangalore_Product_12_45474</v>
      </c>
      <c r="C879" s="2" t="s">
        <v>90</v>
      </c>
      <c r="D879" s="2" t="s">
        <v>91</v>
      </c>
      <c r="E879" s="2" t="s">
        <v>34</v>
      </c>
      <c r="F879" s="2" t="s">
        <v>46</v>
      </c>
      <c r="G879" s="2" t="s">
        <v>79</v>
      </c>
      <c r="H879" s="2" t="s">
        <v>67</v>
      </c>
      <c r="I879" s="2" t="s">
        <v>92</v>
      </c>
      <c r="J879" t="s">
        <v>31</v>
      </c>
      <c r="K879">
        <v>3</v>
      </c>
      <c r="L879" s="3">
        <v>3.33</v>
      </c>
      <c r="M879" s="3">
        <v>3.2634000000000003</v>
      </c>
      <c r="N879" s="3">
        <f t="shared" ca="1" si="42"/>
        <v>3.6297000000000001</v>
      </c>
      <c r="O879" s="3">
        <f t="shared" si="40"/>
        <v>3.33</v>
      </c>
      <c r="P879">
        <v>748.8</v>
      </c>
      <c r="Q879">
        <v>138</v>
      </c>
      <c r="R879">
        <v>1</v>
      </c>
      <c r="S879">
        <v>94</v>
      </c>
      <c r="T879">
        <f t="shared" si="41"/>
        <v>0</v>
      </c>
    </row>
    <row r="880" spans="1:20" x14ac:dyDescent="0.3">
      <c r="A880" s="1">
        <v>45474</v>
      </c>
      <c r="B880" s="1" t="str">
        <f t="shared" si="39"/>
        <v>Maharashtra_MH-Aggregated_Product_9_45474</v>
      </c>
      <c r="C880" s="2" t="s">
        <v>69</v>
      </c>
      <c r="D880" s="2" t="s">
        <v>70</v>
      </c>
      <c r="E880" s="2" t="s">
        <v>26</v>
      </c>
      <c r="F880" s="2" t="s">
        <v>41</v>
      </c>
      <c r="G880" s="2" t="s">
        <v>42</v>
      </c>
      <c r="H880" s="2" t="s">
        <v>37</v>
      </c>
      <c r="I880" s="2" t="s">
        <v>71</v>
      </c>
      <c r="J880" t="s">
        <v>31</v>
      </c>
      <c r="K880">
        <v>24</v>
      </c>
      <c r="L880" s="3">
        <v>30</v>
      </c>
      <c r="M880" s="3">
        <v>26.4</v>
      </c>
      <c r="N880" s="3">
        <f t="shared" ca="1" si="42"/>
        <v>35.4</v>
      </c>
      <c r="O880" s="3">
        <f t="shared" si="40"/>
        <v>30</v>
      </c>
      <c r="P880">
        <v>84</v>
      </c>
      <c r="Q880">
        <v>100</v>
      </c>
      <c r="R880">
        <v>7</v>
      </c>
      <c r="S880">
        <v>119</v>
      </c>
      <c r="T880">
        <f t="shared" si="41"/>
        <v>-6.6479999999999997</v>
      </c>
    </row>
    <row r="881" spans="1:20" x14ac:dyDescent="0.3">
      <c r="A881" s="1">
        <v>45474</v>
      </c>
      <c r="B881" s="1" t="str">
        <f t="shared" si="39"/>
        <v>Reliance_Bangalore_Product_3_45474</v>
      </c>
      <c r="C881" s="2" t="s">
        <v>80</v>
      </c>
      <c r="D881" s="2" t="s">
        <v>81</v>
      </c>
      <c r="E881" s="2" t="s">
        <v>34</v>
      </c>
      <c r="F881" s="2" t="s">
        <v>51</v>
      </c>
      <c r="G881" s="2" t="s">
        <v>79</v>
      </c>
      <c r="H881" s="2" t="s">
        <v>37</v>
      </c>
      <c r="I881" s="2" t="s">
        <v>43</v>
      </c>
      <c r="J881" t="s">
        <v>31</v>
      </c>
      <c r="K881">
        <v>51</v>
      </c>
      <c r="L881" s="3">
        <v>62.22</v>
      </c>
      <c r="M881" s="3">
        <v>51.020400000000002</v>
      </c>
      <c r="N881" s="3">
        <f t="shared" ca="1" si="42"/>
        <v>68.441999999999993</v>
      </c>
      <c r="O881" s="3">
        <f t="shared" si="40"/>
        <v>62.22</v>
      </c>
      <c r="P881">
        <v>48</v>
      </c>
      <c r="Q881">
        <v>297</v>
      </c>
      <c r="R881">
        <v>0</v>
      </c>
      <c r="S881">
        <v>127</v>
      </c>
      <c r="T881">
        <f t="shared" si="41"/>
        <v>-0.36</v>
      </c>
    </row>
    <row r="882" spans="1:20" x14ac:dyDescent="0.3">
      <c r="A882" s="1">
        <v>45474</v>
      </c>
      <c r="B882" s="1" t="str">
        <f t="shared" si="39"/>
        <v>Reliance_Ahmedabad_Product_18_45474</v>
      </c>
      <c r="C882" s="2" t="s">
        <v>121</v>
      </c>
      <c r="D882" s="2" t="s">
        <v>122</v>
      </c>
      <c r="E882" s="2" t="s">
        <v>34</v>
      </c>
      <c r="F882" s="2" t="s">
        <v>51</v>
      </c>
      <c r="G882" s="2" t="s">
        <v>52</v>
      </c>
      <c r="H882" s="2" t="s">
        <v>29</v>
      </c>
      <c r="I882" s="2" t="s">
        <v>123</v>
      </c>
      <c r="J882" t="s">
        <v>31</v>
      </c>
      <c r="K882">
        <v>38</v>
      </c>
      <c r="L882" s="3">
        <v>41.42</v>
      </c>
      <c r="M882" s="3">
        <v>34.378599999999999</v>
      </c>
      <c r="N882" s="3">
        <f t="shared" ca="1" si="42"/>
        <v>48.875600000000006</v>
      </c>
      <c r="O882" s="3">
        <f t="shared" si="40"/>
        <v>41.42</v>
      </c>
      <c r="P882">
        <v>383.52</v>
      </c>
      <c r="Q882">
        <v>357</v>
      </c>
      <c r="R882">
        <v>5</v>
      </c>
      <c r="S882">
        <v>129</v>
      </c>
      <c r="T882">
        <f t="shared" si="41"/>
        <v>3.3552</v>
      </c>
    </row>
    <row r="883" spans="1:20" x14ac:dyDescent="0.3">
      <c r="A883" s="1">
        <v>45474</v>
      </c>
      <c r="B883" s="1" t="str">
        <f t="shared" si="39"/>
        <v>Zepto_Mundka_Product_4_45474</v>
      </c>
      <c r="C883" s="2" t="s">
        <v>44</v>
      </c>
      <c r="D883" s="2" t="s">
        <v>45</v>
      </c>
      <c r="E883" s="2" t="s">
        <v>34</v>
      </c>
      <c r="F883" s="2" t="s">
        <v>46</v>
      </c>
      <c r="G883" s="2" t="s">
        <v>36</v>
      </c>
      <c r="H883" s="2" t="s">
        <v>47</v>
      </c>
      <c r="I883" s="2" t="s">
        <v>48</v>
      </c>
      <c r="J883" t="s">
        <v>31</v>
      </c>
      <c r="K883">
        <v>6</v>
      </c>
      <c r="L883" s="3">
        <v>5.04</v>
      </c>
      <c r="M883" s="3">
        <v>4.1832000000000003</v>
      </c>
      <c r="N883" s="3">
        <f t="shared" ca="1" si="42"/>
        <v>5.3927999999999994</v>
      </c>
      <c r="O883" s="3">
        <f t="shared" si="40"/>
        <v>5.04</v>
      </c>
      <c r="P883">
        <v>383.52</v>
      </c>
      <c r="Q883">
        <v>341</v>
      </c>
      <c r="R883">
        <v>0</v>
      </c>
      <c r="S883">
        <v>142</v>
      </c>
      <c r="T883">
        <f t="shared" si="41"/>
        <v>0</v>
      </c>
    </row>
    <row r="884" spans="1:20" x14ac:dyDescent="0.3">
      <c r="A884" s="1">
        <v>45474</v>
      </c>
      <c r="B884" s="1" t="str">
        <f t="shared" si="39"/>
        <v>Reliance_Ahmedabad_Product_5_45474</v>
      </c>
      <c r="C884" s="2" t="s">
        <v>49</v>
      </c>
      <c r="D884" s="2" t="s">
        <v>50</v>
      </c>
      <c r="E884" s="2" t="s">
        <v>34</v>
      </c>
      <c r="F884" s="2" t="s">
        <v>51</v>
      </c>
      <c r="G884" s="2" t="s">
        <v>52</v>
      </c>
      <c r="H884" s="2" t="s">
        <v>53</v>
      </c>
      <c r="I884" s="2" t="s">
        <v>54</v>
      </c>
      <c r="J884" t="s">
        <v>31</v>
      </c>
      <c r="K884">
        <v>16</v>
      </c>
      <c r="L884" s="3">
        <v>20.48</v>
      </c>
      <c r="M884" s="3">
        <v>19.865600000000001</v>
      </c>
      <c r="N884" s="3">
        <f t="shared" ca="1" si="42"/>
        <v>24.576000000000001</v>
      </c>
      <c r="O884" s="3">
        <f t="shared" si="40"/>
        <v>20.48</v>
      </c>
      <c r="P884">
        <v>672</v>
      </c>
      <c r="Q884">
        <v>357</v>
      </c>
      <c r="R884">
        <v>0</v>
      </c>
      <c r="S884">
        <v>132</v>
      </c>
      <c r="T884">
        <f t="shared" si="41"/>
        <v>2.8848000000000003</v>
      </c>
    </row>
    <row r="885" spans="1:20" x14ac:dyDescent="0.3">
      <c r="A885" s="1">
        <v>45474</v>
      </c>
      <c r="B885" s="1" t="str">
        <f t="shared" si="39"/>
        <v>Grofers_Kolkata CFA_Product_14_45474</v>
      </c>
      <c r="C885" s="2" t="s">
        <v>161</v>
      </c>
      <c r="D885" s="2" t="s">
        <v>162</v>
      </c>
      <c r="E885" s="2" t="s">
        <v>34</v>
      </c>
      <c r="F885" s="2" t="s">
        <v>114</v>
      </c>
      <c r="G885" s="2" t="s">
        <v>63</v>
      </c>
      <c r="H885" s="2" t="s">
        <v>47</v>
      </c>
      <c r="I885" s="2" t="s">
        <v>98</v>
      </c>
      <c r="J885" t="s">
        <v>31</v>
      </c>
      <c r="K885">
        <v>4</v>
      </c>
      <c r="L885" s="3">
        <v>3.24</v>
      </c>
      <c r="M885" s="3">
        <v>2.5920000000000005</v>
      </c>
      <c r="N885" s="3">
        <f t="shared" ca="1" si="42"/>
        <v>3.6288</v>
      </c>
      <c r="O885" s="3">
        <f t="shared" si="40"/>
        <v>3.24</v>
      </c>
      <c r="P885">
        <v>672</v>
      </c>
      <c r="Q885">
        <v>483</v>
      </c>
      <c r="R885">
        <v>0</v>
      </c>
      <c r="S885">
        <v>97</v>
      </c>
      <c r="T885">
        <f t="shared" si="41"/>
        <v>0</v>
      </c>
    </row>
    <row r="886" spans="1:20" x14ac:dyDescent="0.3">
      <c r="A886" s="1">
        <v>45474</v>
      </c>
      <c r="B886" s="1" t="str">
        <f t="shared" si="39"/>
        <v>Reliance_Bhiwandi_Product_8_45474</v>
      </c>
      <c r="C886" s="2" t="s">
        <v>64</v>
      </c>
      <c r="D886" s="2" t="s">
        <v>65</v>
      </c>
      <c r="E886" s="2" t="s">
        <v>34</v>
      </c>
      <c r="F886" s="2" t="s">
        <v>51</v>
      </c>
      <c r="G886" s="2" t="s">
        <v>66</v>
      </c>
      <c r="H886" s="2" t="s">
        <v>67</v>
      </c>
      <c r="I886" s="2" t="s">
        <v>68</v>
      </c>
      <c r="J886" t="s">
        <v>31</v>
      </c>
      <c r="K886">
        <v>87</v>
      </c>
      <c r="L886" s="3">
        <v>103.53</v>
      </c>
      <c r="M886" s="3">
        <v>93.177000000000007</v>
      </c>
      <c r="N886" s="3">
        <f t="shared" ca="1" si="42"/>
        <v>121.1301</v>
      </c>
      <c r="O886" s="3">
        <f t="shared" si="40"/>
        <v>103.53</v>
      </c>
      <c r="P886">
        <v>421.92</v>
      </c>
      <c r="Q886">
        <v>319</v>
      </c>
      <c r="R886">
        <v>4</v>
      </c>
      <c r="S886">
        <v>126</v>
      </c>
      <c r="T886">
        <f t="shared" si="41"/>
        <v>-2.5007999999999999</v>
      </c>
    </row>
    <row r="887" spans="1:20" x14ac:dyDescent="0.3">
      <c r="A887" s="1">
        <v>45474</v>
      </c>
      <c r="B887" s="1" t="str">
        <f t="shared" si="39"/>
        <v>Swiggy_Bangalore_Product_16_45474</v>
      </c>
      <c r="C887" s="2" t="s">
        <v>107</v>
      </c>
      <c r="D887" s="2" t="s">
        <v>108</v>
      </c>
      <c r="E887" s="2" t="s">
        <v>34</v>
      </c>
      <c r="F887" s="2" t="s">
        <v>35</v>
      </c>
      <c r="G887" s="2" t="s">
        <v>79</v>
      </c>
      <c r="H887" s="2" t="s">
        <v>47</v>
      </c>
      <c r="I887" s="2" t="s">
        <v>109</v>
      </c>
      <c r="J887" t="s">
        <v>31</v>
      </c>
      <c r="K887">
        <v>15</v>
      </c>
      <c r="L887" s="3">
        <v>19.350000000000001</v>
      </c>
      <c r="M887" s="3">
        <v>15.867000000000001</v>
      </c>
      <c r="N887" s="3">
        <f t="shared" ca="1" si="42"/>
        <v>20.511000000000003</v>
      </c>
      <c r="O887" s="3">
        <f t="shared" si="40"/>
        <v>19.350000000000001</v>
      </c>
      <c r="P887">
        <v>421.92</v>
      </c>
      <c r="Q887">
        <v>416</v>
      </c>
      <c r="R887">
        <v>6</v>
      </c>
      <c r="S887">
        <v>122</v>
      </c>
      <c r="T887">
        <f t="shared" si="41"/>
        <v>0</v>
      </c>
    </row>
    <row r="888" spans="1:20" x14ac:dyDescent="0.3">
      <c r="A888" s="1">
        <v>45474</v>
      </c>
      <c r="B888" s="1" t="str">
        <f t="shared" si="39"/>
        <v>Reliance_Mundka_Product_7_45474</v>
      </c>
      <c r="C888" s="2" t="s">
        <v>58</v>
      </c>
      <c r="D888" s="2" t="s">
        <v>59</v>
      </c>
      <c r="E888" s="2" t="s">
        <v>34</v>
      </c>
      <c r="F888" s="2" t="s">
        <v>51</v>
      </c>
      <c r="G888" s="2" t="s">
        <v>36</v>
      </c>
      <c r="H888" s="2" t="s">
        <v>37</v>
      </c>
      <c r="I888" s="2" t="s">
        <v>60</v>
      </c>
      <c r="J888" t="s">
        <v>31</v>
      </c>
      <c r="K888">
        <v>27</v>
      </c>
      <c r="L888" s="3">
        <v>24.3</v>
      </c>
      <c r="M888" s="3">
        <v>24.3</v>
      </c>
      <c r="N888" s="3">
        <f t="shared" ca="1" si="42"/>
        <v>25.515000000000001</v>
      </c>
      <c r="O888" s="3">
        <f t="shared" si="40"/>
        <v>24.3</v>
      </c>
      <c r="P888">
        <v>748.8</v>
      </c>
      <c r="Q888">
        <v>246</v>
      </c>
      <c r="R888">
        <v>4</v>
      </c>
      <c r="S888">
        <v>117</v>
      </c>
      <c r="T888">
        <f t="shared" si="41"/>
        <v>3.2687999999999993</v>
      </c>
    </row>
    <row r="889" spans="1:20" x14ac:dyDescent="0.3">
      <c r="A889" s="1">
        <v>45474</v>
      </c>
      <c r="B889" s="1" t="str">
        <f t="shared" si="39"/>
        <v>Reliance_Chennai_Product_9_45474</v>
      </c>
      <c r="C889" s="2" t="s">
        <v>147</v>
      </c>
      <c r="D889" s="2" t="s">
        <v>148</v>
      </c>
      <c r="E889" s="2" t="s">
        <v>34</v>
      </c>
      <c r="F889" s="2" t="s">
        <v>51</v>
      </c>
      <c r="G889" s="2" t="s">
        <v>84</v>
      </c>
      <c r="H889" s="2" t="s">
        <v>37</v>
      </c>
      <c r="I889" s="2" t="s">
        <v>71</v>
      </c>
      <c r="J889" t="s">
        <v>31</v>
      </c>
      <c r="K889">
        <v>5</v>
      </c>
      <c r="L889" s="3">
        <v>4.6999999999999993</v>
      </c>
      <c r="M889" s="3">
        <v>4.6999999999999993</v>
      </c>
      <c r="N889" s="3">
        <f t="shared" ca="1" si="42"/>
        <v>5.169999999999999</v>
      </c>
      <c r="O889" s="3">
        <f t="shared" si="40"/>
        <v>4.6999999999999993</v>
      </c>
      <c r="P889">
        <v>748.8</v>
      </c>
      <c r="Q889">
        <v>433</v>
      </c>
      <c r="R889">
        <v>10</v>
      </c>
      <c r="S889">
        <v>119</v>
      </c>
      <c r="T889">
        <f t="shared" si="41"/>
        <v>0</v>
      </c>
    </row>
    <row r="890" spans="1:20" x14ac:dyDescent="0.3">
      <c r="A890" s="1">
        <v>45474</v>
      </c>
      <c r="B890" s="1" t="str">
        <f t="shared" si="39"/>
        <v>Grofers_Ahmedabad_Product_8_45474</v>
      </c>
      <c r="C890" s="2" t="s">
        <v>157</v>
      </c>
      <c r="D890" s="2" t="s">
        <v>158</v>
      </c>
      <c r="E890" s="2" t="s">
        <v>34</v>
      </c>
      <c r="F890" s="2" t="s">
        <v>114</v>
      </c>
      <c r="G890" s="2" t="s">
        <v>52</v>
      </c>
      <c r="H890" s="2" t="s">
        <v>67</v>
      </c>
      <c r="I890" s="2" t="s">
        <v>68</v>
      </c>
      <c r="J890" t="s">
        <v>31</v>
      </c>
      <c r="K890">
        <v>51</v>
      </c>
      <c r="L890" s="3">
        <v>46.92</v>
      </c>
      <c r="M890" s="3">
        <v>40.820399999999999</v>
      </c>
      <c r="N890" s="3">
        <f t="shared" ca="1" si="42"/>
        <v>49.266000000000005</v>
      </c>
      <c r="O890" s="3">
        <f t="shared" si="40"/>
        <v>46.92</v>
      </c>
      <c r="P890">
        <v>84</v>
      </c>
      <c r="Q890">
        <v>180</v>
      </c>
      <c r="R890">
        <v>0</v>
      </c>
      <c r="S890">
        <v>126</v>
      </c>
      <c r="T890">
        <f t="shared" si="41"/>
        <v>-6.6479999999999997</v>
      </c>
    </row>
    <row r="891" spans="1:20" x14ac:dyDescent="0.3">
      <c r="A891" s="1">
        <v>45474</v>
      </c>
      <c r="B891" s="1" t="str">
        <f t="shared" si="39"/>
        <v>Reliance_Ahmedabad_Product_9_45474</v>
      </c>
      <c r="C891" s="2" t="s">
        <v>151</v>
      </c>
      <c r="D891" s="2" t="s">
        <v>152</v>
      </c>
      <c r="E891" s="2" t="s">
        <v>34</v>
      </c>
      <c r="F891" s="2" t="s">
        <v>51</v>
      </c>
      <c r="G891" s="2" t="s">
        <v>52</v>
      </c>
      <c r="H891" s="2" t="s">
        <v>37</v>
      </c>
      <c r="I891" s="2" t="s">
        <v>71</v>
      </c>
      <c r="J891" t="s">
        <v>31</v>
      </c>
      <c r="K891">
        <v>116</v>
      </c>
      <c r="L891" s="3">
        <v>118.32000000000001</v>
      </c>
      <c r="M891" s="3">
        <v>114.77040000000001</v>
      </c>
      <c r="N891" s="3">
        <f t="shared" ca="1" si="42"/>
        <v>138.43440000000001</v>
      </c>
      <c r="O891" s="3">
        <f t="shared" si="40"/>
        <v>118.32000000000001</v>
      </c>
      <c r="P891">
        <v>48</v>
      </c>
      <c r="Q891">
        <v>474</v>
      </c>
      <c r="R891">
        <v>9</v>
      </c>
      <c r="S891">
        <v>119</v>
      </c>
      <c r="T891">
        <f t="shared" si="41"/>
        <v>-0.36</v>
      </c>
    </row>
    <row r="892" spans="1:20" x14ac:dyDescent="0.3">
      <c r="A892" s="1">
        <v>45474</v>
      </c>
      <c r="B892" s="1" t="str">
        <f t="shared" si="39"/>
        <v>Zepto_Mundka_Product_3_45474</v>
      </c>
      <c r="C892" s="2" t="s">
        <v>72</v>
      </c>
      <c r="D892" s="2" t="s">
        <v>73</v>
      </c>
      <c r="E892" s="2" t="s">
        <v>34</v>
      </c>
      <c r="F892" s="2" t="s">
        <v>46</v>
      </c>
      <c r="G892" s="2" t="s">
        <v>36</v>
      </c>
      <c r="H892" s="2" t="s">
        <v>37</v>
      </c>
      <c r="I892" s="2" t="s">
        <v>43</v>
      </c>
      <c r="J892" t="s">
        <v>31</v>
      </c>
      <c r="K892">
        <v>3</v>
      </c>
      <c r="L892" s="3">
        <v>3.81</v>
      </c>
      <c r="M892" s="3">
        <v>3.0861000000000001</v>
      </c>
      <c r="N892" s="3">
        <f t="shared" ca="1" si="42"/>
        <v>4.2671999999999999</v>
      </c>
      <c r="O892" s="3">
        <f t="shared" si="40"/>
        <v>3.81</v>
      </c>
      <c r="P892">
        <v>383.52</v>
      </c>
      <c r="Q892">
        <v>240</v>
      </c>
      <c r="R892">
        <v>0</v>
      </c>
      <c r="S892">
        <v>127</v>
      </c>
      <c r="T892">
        <f t="shared" si="41"/>
        <v>3.3552</v>
      </c>
    </row>
    <row r="893" spans="1:20" x14ac:dyDescent="0.3">
      <c r="A893" s="1">
        <v>45474</v>
      </c>
      <c r="B893" s="1" t="str">
        <f t="shared" si="39"/>
        <v>Grofers_Mundka_Product_21_45474</v>
      </c>
      <c r="C893" s="2" t="s">
        <v>131</v>
      </c>
      <c r="D893" s="2" t="s">
        <v>132</v>
      </c>
      <c r="E893" s="2" t="s">
        <v>34</v>
      </c>
      <c r="F893" s="2" t="s">
        <v>114</v>
      </c>
      <c r="G893" s="2" t="s">
        <v>36</v>
      </c>
      <c r="H893" s="2" t="s">
        <v>133</v>
      </c>
      <c r="I893" s="2" t="s">
        <v>134</v>
      </c>
      <c r="J893" t="s">
        <v>31</v>
      </c>
      <c r="K893">
        <v>2</v>
      </c>
      <c r="L893" s="3">
        <v>2.16</v>
      </c>
      <c r="M893" s="3">
        <v>2.0952000000000002</v>
      </c>
      <c r="N893" s="3">
        <f t="shared" ca="1" si="42"/>
        <v>2.3976000000000002</v>
      </c>
      <c r="O893" s="3">
        <f t="shared" si="40"/>
        <v>2.16</v>
      </c>
      <c r="P893">
        <v>383.52</v>
      </c>
      <c r="Q893">
        <v>381</v>
      </c>
      <c r="R893">
        <v>8</v>
      </c>
      <c r="S893">
        <v>115</v>
      </c>
      <c r="T893">
        <f t="shared" si="41"/>
        <v>0</v>
      </c>
    </row>
    <row r="894" spans="1:20" x14ac:dyDescent="0.3">
      <c r="A894" s="1">
        <v>45474</v>
      </c>
      <c r="B894" s="1" t="str">
        <f t="shared" si="39"/>
        <v>Reliance_Mundka_Product_6_45474</v>
      </c>
      <c r="C894" s="2" t="s">
        <v>55</v>
      </c>
      <c r="D894" s="2" t="s">
        <v>56</v>
      </c>
      <c r="E894" s="2" t="s">
        <v>34</v>
      </c>
      <c r="F894" s="2" t="s">
        <v>51</v>
      </c>
      <c r="G894" s="2" t="s">
        <v>36</v>
      </c>
      <c r="H894" s="2" t="s">
        <v>37</v>
      </c>
      <c r="I894" s="2" t="s">
        <v>57</v>
      </c>
      <c r="J894" t="s">
        <v>31</v>
      </c>
      <c r="K894">
        <v>2</v>
      </c>
      <c r="L894" s="3">
        <v>2.2400000000000002</v>
      </c>
      <c r="M894" s="3">
        <v>2.0832000000000002</v>
      </c>
      <c r="N894" s="3">
        <f t="shared" ca="1" si="42"/>
        <v>2.6432000000000007</v>
      </c>
      <c r="O894" s="3">
        <f t="shared" si="40"/>
        <v>2.2400000000000002</v>
      </c>
      <c r="P894">
        <v>672</v>
      </c>
      <c r="Q894">
        <v>421</v>
      </c>
      <c r="R894">
        <v>8</v>
      </c>
      <c r="S894">
        <v>135</v>
      </c>
      <c r="T894">
        <f t="shared" si="41"/>
        <v>2.8848000000000003</v>
      </c>
    </row>
    <row r="895" spans="1:20" x14ac:dyDescent="0.3">
      <c r="A895" s="1">
        <v>45474</v>
      </c>
      <c r="B895" s="1" t="str">
        <f t="shared" si="39"/>
        <v>Reliance_Bangalore_Product_13_45474</v>
      </c>
      <c r="C895" s="2" t="s">
        <v>93</v>
      </c>
      <c r="D895" s="2" t="s">
        <v>94</v>
      </c>
      <c r="E895" s="2" t="s">
        <v>34</v>
      </c>
      <c r="F895" s="2" t="s">
        <v>51</v>
      </c>
      <c r="G895" s="2" t="s">
        <v>79</v>
      </c>
      <c r="H895" s="2" t="s">
        <v>67</v>
      </c>
      <c r="I895" s="2" t="s">
        <v>95</v>
      </c>
      <c r="J895" t="s">
        <v>31</v>
      </c>
      <c r="K895">
        <v>2</v>
      </c>
      <c r="L895" s="3">
        <v>1.92</v>
      </c>
      <c r="M895" s="3">
        <v>1.8623999999999998</v>
      </c>
      <c r="N895" s="3">
        <f t="shared" ca="1" si="42"/>
        <v>2.2271999999999998</v>
      </c>
      <c r="O895" s="3">
        <f t="shared" si="40"/>
        <v>1.92</v>
      </c>
      <c r="P895">
        <v>672</v>
      </c>
      <c r="Q895">
        <v>390</v>
      </c>
      <c r="R895">
        <v>4</v>
      </c>
      <c r="S895">
        <v>113</v>
      </c>
      <c r="T895">
        <f t="shared" si="41"/>
        <v>0</v>
      </c>
    </row>
    <row r="896" spans="1:20" x14ac:dyDescent="0.3">
      <c r="A896" s="1">
        <v>45474</v>
      </c>
      <c r="B896" s="1" t="str">
        <f t="shared" si="39"/>
        <v>Swiggy_Kolkata CFA_Product_20_45474</v>
      </c>
      <c r="C896" s="2" t="s">
        <v>128</v>
      </c>
      <c r="D896" s="2" t="s">
        <v>129</v>
      </c>
      <c r="E896" s="2" t="s">
        <v>34</v>
      </c>
      <c r="F896" s="2" t="s">
        <v>35</v>
      </c>
      <c r="G896" s="2" t="s">
        <v>63</v>
      </c>
      <c r="H896" s="2" t="s">
        <v>47</v>
      </c>
      <c r="I896" s="2" t="s">
        <v>130</v>
      </c>
      <c r="J896" t="s">
        <v>31</v>
      </c>
      <c r="K896">
        <v>5</v>
      </c>
      <c r="L896" s="3">
        <v>5.5500000000000007</v>
      </c>
      <c r="M896" s="3">
        <v>4.4400000000000004</v>
      </c>
      <c r="N896" s="3">
        <f t="shared" ca="1" si="42"/>
        <v>5.8830000000000009</v>
      </c>
      <c r="O896" s="3">
        <f t="shared" si="40"/>
        <v>5.5500000000000007</v>
      </c>
      <c r="P896">
        <v>421.92</v>
      </c>
      <c r="Q896">
        <v>299</v>
      </c>
      <c r="R896">
        <v>6</v>
      </c>
      <c r="S896">
        <v>125</v>
      </c>
      <c r="T896">
        <f t="shared" si="41"/>
        <v>-2.5007999999999999</v>
      </c>
    </row>
    <row r="897" spans="1:20" x14ac:dyDescent="0.3">
      <c r="A897" s="1">
        <v>45474</v>
      </c>
      <c r="B897" s="1" t="str">
        <f t="shared" si="39"/>
        <v>Reliance_Bhiwandi_Product_11_45474</v>
      </c>
      <c r="C897" s="2" t="s">
        <v>87</v>
      </c>
      <c r="D897" s="2" t="s">
        <v>88</v>
      </c>
      <c r="E897" s="2" t="s">
        <v>34</v>
      </c>
      <c r="F897" s="2" t="s">
        <v>51</v>
      </c>
      <c r="G897" s="2" t="s">
        <v>66</v>
      </c>
      <c r="H897" s="2" t="s">
        <v>67</v>
      </c>
      <c r="I897" s="2" t="s">
        <v>89</v>
      </c>
      <c r="J897" t="s">
        <v>31</v>
      </c>
      <c r="K897">
        <v>2</v>
      </c>
      <c r="L897" s="3">
        <v>2.2400000000000002</v>
      </c>
      <c r="M897" s="3">
        <v>1.9264000000000001</v>
      </c>
      <c r="N897" s="3">
        <f t="shared" ca="1" si="42"/>
        <v>2.6432000000000007</v>
      </c>
      <c r="O897" s="3">
        <f t="shared" si="40"/>
        <v>2.2400000000000002</v>
      </c>
      <c r="P897">
        <v>421.92</v>
      </c>
      <c r="Q897">
        <v>397</v>
      </c>
      <c r="R897">
        <v>0</v>
      </c>
      <c r="S897">
        <v>131</v>
      </c>
      <c r="T897">
        <f t="shared" si="41"/>
        <v>0</v>
      </c>
    </row>
    <row r="898" spans="1:20" x14ac:dyDescent="0.3">
      <c r="A898" s="1">
        <v>45474</v>
      </c>
      <c r="B898" s="1" t="str">
        <f t="shared" si="39"/>
        <v>Jharkhand_JH-Aggregated_Product_19_45474</v>
      </c>
      <c r="C898" s="2" t="s">
        <v>124</v>
      </c>
      <c r="D898" s="2" t="s">
        <v>125</v>
      </c>
      <c r="E898" s="2" t="s">
        <v>26</v>
      </c>
      <c r="F898" s="2" t="s">
        <v>27</v>
      </c>
      <c r="G898" s="2" t="s">
        <v>28</v>
      </c>
      <c r="H898" s="2" t="s">
        <v>126</v>
      </c>
      <c r="I898" s="2" t="s">
        <v>127</v>
      </c>
      <c r="J898" t="s">
        <v>31</v>
      </c>
      <c r="K898">
        <v>3</v>
      </c>
      <c r="L898" s="3">
        <v>2.88</v>
      </c>
      <c r="M898" s="3">
        <v>2.3039999999999998</v>
      </c>
      <c r="N898" s="3">
        <f t="shared" ca="1" si="42"/>
        <v>3.1103999999999998</v>
      </c>
      <c r="O898" s="3">
        <f t="shared" si="40"/>
        <v>2.88</v>
      </c>
      <c r="P898">
        <v>748.8</v>
      </c>
      <c r="Q898">
        <v>474</v>
      </c>
      <c r="R898">
        <v>7</v>
      </c>
      <c r="S898">
        <v>94</v>
      </c>
      <c r="T898">
        <f t="shared" si="41"/>
        <v>3.2687999999999993</v>
      </c>
    </row>
    <row r="899" spans="1:20" x14ac:dyDescent="0.3">
      <c r="A899" s="1">
        <v>45474</v>
      </c>
      <c r="B899" s="1" t="str">
        <f t="shared" ref="B899:B962" si="43">C899&amp;"_"&amp;A899</f>
        <v>Reliance_Bhiwandi_Product_10_45474</v>
      </c>
      <c r="C899" s="2" t="s">
        <v>85</v>
      </c>
      <c r="D899" s="2" t="s">
        <v>86</v>
      </c>
      <c r="E899" s="2" t="s">
        <v>34</v>
      </c>
      <c r="F899" s="2" t="s">
        <v>51</v>
      </c>
      <c r="G899" s="2" t="s">
        <v>66</v>
      </c>
      <c r="H899" s="2" t="s">
        <v>67</v>
      </c>
      <c r="I899" s="2" t="s">
        <v>76</v>
      </c>
      <c r="J899" t="s">
        <v>31</v>
      </c>
      <c r="K899">
        <v>2</v>
      </c>
      <c r="L899" s="3">
        <v>2.2599999999999998</v>
      </c>
      <c r="M899" s="3">
        <v>2.0114000000000001</v>
      </c>
      <c r="N899" s="3">
        <f t="shared" ca="1" si="42"/>
        <v>2.4407999999999999</v>
      </c>
      <c r="O899" s="3">
        <f t="shared" ref="O899:O962" si="44">L899</f>
        <v>2.2599999999999998</v>
      </c>
      <c r="P899">
        <v>748.8</v>
      </c>
      <c r="Q899">
        <v>246</v>
      </c>
      <c r="R899">
        <v>0</v>
      </c>
      <c r="S899">
        <v>106</v>
      </c>
      <c r="T899">
        <f t="shared" si="41"/>
        <v>0</v>
      </c>
    </row>
    <row r="900" spans="1:20" x14ac:dyDescent="0.3">
      <c r="A900" s="1">
        <v>45474</v>
      </c>
      <c r="B900" s="1" t="str">
        <f t="shared" si="43"/>
        <v>Jharkhand_JH-Aggregated_Product_15_45474</v>
      </c>
      <c r="C900" s="2" t="s">
        <v>103</v>
      </c>
      <c r="D900" s="2" t="s">
        <v>104</v>
      </c>
      <c r="E900" s="2" t="s">
        <v>26</v>
      </c>
      <c r="F900" s="2" t="s">
        <v>27</v>
      </c>
      <c r="G900" s="2" t="s">
        <v>28</v>
      </c>
      <c r="H900" s="2" t="s">
        <v>105</v>
      </c>
      <c r="I900" s="2" t="s">
        <v>106</v>
      </c>
      <c r="J900" t="s">
        <v>31</v>
      </c>
      <c r="K900">
        <v>4</v>
      </c>
      <c r="L900" s="3">
        <v>4.96</v>
      </c>
      <c r="M900" s="3">
        <v>4.4143999999999997</v>
      </c>
      <c r="N900" s="3">
        <f t="shared" ca="1" si="42"/>
        <v>5.5055999999999994</v>
      </c>
      <c r="O900" s="3">
        <f t="shared" si="44"/>
        <v>4.96</v>
      </c>
      <c r="P900">
        <v>84</v>
      </c>
      <c r="Q900">
        <v>467</v>
      </c>
      <c r="R900">
        <v>2</v>
      </c>
      <c r="S900">
        <v>143</v>
      </c>
      <c r="T900">
        <f t="shared" ref="T900:T963" si="45">(P900-P899)/100</f>
        <v>-6.6479999999999997</v>
      </c>
    </row>
    <row r="901" spans="1:20" x14ac:dyDescent="0.3">
      <c r="A901" s="1">
        <v>45474</v>
      </c>
      <c r="B901" s="1" t="str">
        <f t="shared" si="43"/>
        <v>Zepto_Bhiwandi_Product_24_45474</v>
      </c>
      <c r="C901" s="2" t="s">
        <v>163</v>
      </c>
      <c r="D901" s="2" t="s">
        <v>164</v>
      </c>
      <c r="E901" s="2" t="s">
        <v>34</v>
      </c>
      <c r="F901" s="2" t="s">
        <v>46</v>
      </c>
      <c r="G901" s="2" t="s">
        <v>66</v>
      </c>
      <c r="H901" s="2" t="s">
        <v>47</v>
      </c>
      <c r="I901" s="2" t="s">
        <v>165</v>
      </c>
      <c r="J901" t="s">
        <v>31</v>
      </c>
      <c r="K901">
        <v>6</v>
      </c>
      <c r="L901" s="3">
        <v>5.6999999999999993</v>
      </c>
      <c r="M901" s="3">
        <v>5.4149999999999991</v>
      </c>
      <c r="N901" s="3">
        <f t="shared" ca="1" si="42"/>
        <v>6.4409999999999989</v>
      </c>
      <c r="O901" s="3">
        <f t="shared" si="44"/>
        <v>5.6999999999999993</v>
      </c>
      <c r="P901">
        <v>48</v>
      </c>
      <c r="Q901">
        <v>234</v>
      </c>
      <c r="R901">
        <v>2</v>
      </c>
      <c r="S901">
        <v>120</v>
      </c>
      <c r="T901">
        <f t="shared" si="45"/>
        <v>-0.36</v>
      </c>
    </row>
    <row r="902" spans="1:20" x14ac:dyDescent="0.3">
      <c r="A902" s="1">
        <v>45474</v>
      </c>
      <c r="B902" s="1" t="str">
        <f t="shared" si="43"/>
        <v>Maharashtra_MH-Aggregated_Product_3_45474</v>
      </c>
      <c r="C902" s="2" t="s">
        <v>39</v>
      </c>
      <c r="D902" s="2" t="s">
        <v>40</v>
      </c>
      <c r="E902" s="2" t="s">
        <v>26</v>
      </c>
      <c r="F902" s="2" t="s">
        <v>41</v>
      </c>
      <c r="G902" s="2" t="s">
        <v>42</v>
      </c>
      <c r="H902" s="2" t="s">
        <v>37</v>
      </c>
      <c r="I902" s="2" t="s">
        <v>43</v>
      </c>
      <c r="J902" t="s">
        <v>31</v>
      </c>
      <c r="K902">
        <v>10</v>
      </c>
      <c r="L902" s="3">
        <v>8.1000000000000014</v>
      </c>
      <c r="M902" s="3">
        <v>7.1280000000000019</v>
      </c>
      <c r="N902" s="3">
        <f t="shared" ca="1" si="42"/>
        <v>9.3150000000000013</v>
      </c>
      <c r="O902" s="3">
        <f t="shared" si="44"/>
        <v>8.1000000000000014</v>
      </c>
      <c r="P902">
        <v>383.52</v>
      </c>
      <c r="Q902">
        <v>417</v>
      </c>
      <c r="R902">
        <v>0</v>
      </c>
      <c r="S902">
        <v>127</v>
      </c>
      <c r="T902">
        <f t="shared" si="45"/>
        <v>3.3552</v>
      </c>
    </row>
    <row r="903" spans="1:20" x14ac:dyDescent="0.3">
      <c r="A903" s="1">
        <v>45474</v>
      </c>
      <c r="B903" s="1" t="str">
        <f t="shared" si="43"/>
        <v>Grofers_Kolkata CFA_Product_20_45474</v>
      </c>
      <c r="C903" s="2" t="s">
        <v>153</v>
      </c>
      <c r="D903" s="2" t="s">
        <v>154</v>
      </c>
      <c r="E903" s="2" t="s">
        <v>34</v>
      </c>
      <c r="F903" s="2" t="s">
        <v>114</v>
      </c>
      <c r="G903" s="2" t="s">
        <v>63</v>
      </c>
      <c r="H903" s="2" t="s">
        <v>47</v>
      </c>
      <c r="I903" s="2" t="s">
        <v>130</v>
      </c>
      <c r="J903" t="s">
        <v>31</v>
      </c>
      <c r="K903">
        <v>3</v>
      </c>
      <c r="L903" s="3">
        <v>3.69</v>
      </c>
      <c r="M903" s="3">
        <v>3.1733999999999996</v>
      </c>
      <c r="N903" s="3">
        <f t="shared" ca="1" si="42"/>
        <v>4.2065999999999999</v>
      </c>
      <c r="O903" s="3">
        <f t="shared" si="44"/>
        <v>3.69</v>
      </c>
      <c r="P903">
        <v>383.52</v>
      </c>
      <c r="Q903">
        <v>474</v>
      </c>
      <c r="R903">
        <v>0</v>
      </c>
      <c r="S903">
        <v>125</v>
      </c>
      <c r="T903">
        <f t="shared" si="45"/>
        <v>0</v>
      </c>
    </row>
    <row r="904" spans="1:20" x14ac:dyDescent="0.3">
      <c r="A904" s="1">
        <v>45474</v>
      </c>
      <c r="B904" s="1" t="str">
        <f t="shared" si="43"/>
        <v>Swiggy_Kolkata CFA_Product_11_45474</v>
      </c>
      <c r="C904" s="2" t="s">
        <v>119</v>
      </c>
      <c r="D904" s="2" t="s">
        <v>120</v>
      </c>
      <c r="E904" s="2" t="s">
        <v>34</v>
      </c>
      <c r="F904" s="2" t="s">
        <v>35</v>
      </c>
      <c r="G904" s="2" t="s">
        <v>63</v>
      </c>
      <c r="H904" s="2" t="s">
        <v>67</v>
      </c>
      <c r="I904" s="2" t="s">
        <v>89</v>
      </c>
      <c r="J904" t="s">
        <v>31</v>
      </c>
      <c r="K904">
        <v>5</v>
      </c>
      <c r="L904" s="3">
        <v>5.3000000000000007</v>
      </c>
      <c r="M904" s="3">
        <v>4.9820000000000002</v>
      </c>
      <c r="N904" s="3">
        <f t="shared" ca="1" si="42"/>
        <v>5.6180000000000003</v>
      </c>
      <c r="O904" s="3">
        <f t="shared" si="44"/>
        <v>5.3000000000000007</v>
      </c>
      <c r="P904">
        <v>383.52</v>
      </c>
      <c r="Q904">
        <v>376</v>
      </c>
      <c r="R904">
        <v>0</v>
      </c>
      <c r="S904">
        <v>131</v>
      </c>
      <c r="T904">
        <f t="shared" si="45"/>
        <v>0</v>
      </c>
    </row>
    <row r="905" spans="1:20" x14ac:dyDescent="0.3">
      <c r="A905" s="1">
        <v>45474</v>
      </c>
      <c r="B905" s="1" t="str">
        <f t="shared" si="43"/>
        <v>Reliance_Bangalore_Product_8_45474</v>
      </c>
      <c r="C905" s="2" t="s">
        <v>77</v>
      </c>
      <c r="D905" s="2" t="s">
        <v>78</v>
      </c>
      <c r="E905" s="2" t="s">
        <v>34</v>
      </c>
      <c r="F905" s="2" t="s">
        <v>51</v>
      </c>
      <c r="G905" s="2" t="s">
        <v>79</v>
      </c>
      <c r="H905" s="2" t="s">
        <v>67</v>
      </c>
      <c r="I905" s="2" t="s">
        <v>68</v>
      </c>
      <c r="J905" t="s">
        <v>31</v>
      </c>
      <c r="K905">
        <v>2</v>
      </c>
      <c r="L905" s="3">
        <v>2.3199999999999998</v>
      </c>
      <c r="M905" s="3">
        <v>1.9487999999999999</v>
      </c>
      <c r="N905" s="3">
        <f t="shared" ca="1" si="42"/>
        <v>2.7839999999999998</v>
      </c>
      <c r="O905" s="3">
        <f t="shared" si="44"/>
        <v>2.3199999999999998</v>
      </c>
      <c r="P905">
        <v>383.52</v>
      </c>
      <c r="Q905">
        <v>441</v>
      </c>
      <c r="R905">
        <v>0</v>
      </c>
      <c r="S905">
        <v>126</v>
      </c>
      <c r="T905">
        <f t="shared" si="45"/>
        <v>0</v>
      </c>
    </row>
    <row r="906" spans="1:20" x14ac:dyDescent="0.3">
      <c r="A906" s="1">
        <v>45474</v>
      </c>
      <c r="B906" s="1" t="str">
        <f t="shared" si="43"/>
        <v>Zepto_Bhiwandi_Product_10_45474</v>
      </c>
      <c r="C906" s="2" t="s">
        <v>74</v>
      </c>
      <c r="D906" s="2" t="s">
        <v>75</v>
      </c>
      <c r="E906" s="2" t="s">
        <v>34</v>
      </c>
      <c r="F906" s="2" t="s">
        <v>46</v>
      </c>
      <c r="G906" s="2" t="s">
        <v>66</v>
      </c>
      <c r="H906" s="2" t="s">
        <v>67</v>
      </c>
      <c r="I906" s="2" t="s">
        <v>76</v>
      </c>
      <c r="J906" t="s">
        <v>31</v>
      </c>
      <c r="K906">
        <v>7</v>
      </c>
      <c r="L906" s="3">
        <v>6.3</v>
      </c>
      <c r="M906" s="3">
        <v>5.1660000000000004</v>
      </c>
      <c r="N906" s="3">
        <f t="shared" ca="1" si="42"/>
        <v>6.8039999999999994</v>
      </c>
      <c r="O906" s="3">
        <f t="shared" si="44"/>
        <v>6.3</v>
      </c>
      <c r="P906">
        <v>383.52</v>
      </c>
      <c r="Q906">
        <v>238</v>
      </c>
      <c r="R906">
        <v>12</v>
      </c>
      <c r="S906">
        <v>106</v>
      </c>
      <c r="T906">
        <f t="shared" si="45"/>
        <v>0</v>
      </c>
    </row>
    <row r="907" spans="1:20" x14ac:dyDescent="0.3">
      <c r="A907" s="1">
        <v>45474</v>
      </c>
      <c r="B907" s="1" t="str">
        <f t="shared" si="43"/>
        <v>Maharashtra_MH-Aggregated_Product_23_45474</v>
      </c>
      <c r="C907" s="2" t="s">
        <v>142</v>
      </c>
      <c r="D907" s="2" t="s">
        <v>143</v>
      </c>
      <c r="E907" s="2" t="s">
        <v>26</v>
      </c>
      <c r="F907" s="2" t="s">
        <v>41</v>
      </c>
      <c r="G907" s="2" t="s">
        <v>42</v>
      </c>
      <c r="H907" s="2" t="s">
        <v>140</v>
      </c>
      <c r="I907" s="2" t="s">
        <v>144</v>
      </c>
      <c r="J907" t="s">
        <v>31</v>
      </c>
      <c r="K907">
        <v>3</v>
      </c>
      <c r="L907" s="3">
        <v>3.5999999999999996</v>
      </c>
      <c r="M907" s="3">
        <v>3.3839999999999999</v>
      </c>
      <c r="N907" s="3">
        <f t="shared" ca="1" si="42"/>
        <v>4.3199999999999994</v>
      </c>
      <c r="O907" s="3">
        <f t="shared" si="44"/>
        <v>3.5999999999999996</v>
      </c>
      <c r="P907">
        <v>383.52</v>
      </c>
      <c r="Q907">
        <v>448</v>
      </c>
      <c r="R907">
        <v>0</v>
      </c>
      <c r="S907">
        <v>144</v>
      </c>
      <c r="T907">
        <f t="shared" si="45"/>
        <v>0</v>
      </c>
    </row>
    <row r="908" spans="1:20" x14ac:dyDescent="0.3">
      <c r="A908" s="1">
        <v>45474</v>
      </c>
      <c r="B908" s="1" t="str">
        <f t="shared" si="43"/>
        <v>Maharashtra_MH-Aggregated_Product_22_45474</v>
      </c>
      <c r="C908" s="2" t="s">
        <v>138</v>
      </c>
      <c r="D908" s="2" t="s">
        <v>139</v>
      </c>
      <c r="E908" s="2" t="s">
        <v>26</v>
      </c>
      <c r="F908" s="2" t="s">
        <v>41</v>
      </c>
      <c r="G908" s="2" t="s">
        <v>42</v>
      </c>
      <c r="H908" s="2" t="s">
        <v>140</v>
      </c>
      <c r="I908" s="2" t="s">
        <v>141</v>
      </c>
      <c r="J908" t="s">
        <v>31</v>
      </c>
      <c r="K908">
        <v>4</v>
      </c>
      <c r="L908" s="3">
        <v>3.76</v>
      </c>
      <c r="M908" s="3">
        <v>3.76</v>
      </c>
      <c r="N908" s="3">
        <f t="shared" ca="1" si="42"/>
        <v>3.9855999999999998</v>
      </c>
      <c r="O908" s="3">
        <f t="shared" si="44"/>
        <v>3.76</v>
      </c>
      <c r="P908">
        <v>672</v>
      </c>
      <c r="Q908">
        <v>288</v>
      </c>
      <c r="R908">
        <v>10</v>
      </c>
      <c r="S908">
        <v>126</v>
      </c>
      <c r="T908">
        <f t="shared" si="45"/>
        <v>2.8848000000000003</v>
      </c>
    </row>
    <row r="909" spans="1:20" x14ac:dyDescent="0.3">
      <c r="A909" s="1">
        <v>45474</v>
      </c>
      <c r="B909" s="1" t="str">
        <f t="shared" si="43"/>
        <v>Grofers_Ahmedabad_Product_14_45474</v>
      </c>
      <c r="C909" s="2" t="s">
        <v>159</v>
      </c>
      <c r="D909" s="2" t="s">
        <v>160</v>
      </c>
      <c r="E909" s="2" t="s">
        <v>34</v>
      </c>
      <c r="F909" s="2" t="s">
        <v>114</v>
      </c>
      <c r="G909" s="2" t="s">
        <v>52</v>
      </c>
      <c r="H909" s="2" t="s">
        <v>47</v>
      </c>
      <c r="I909" s="2" t="s">
        <v>98</v>
      </c>
      <c r="J909" t="s">
        <v>31</v>
      </c>
      <c r="K909">
        <v>2</v>
      </c>
      <c r="L909" s="3">
        <v>2.42</v>
      </c>
      <c r="M909" s="3">
        <v>2.1779999999999999</v>
      </c>
      <c r="N909" s="3">
        <f t="shared" ca="1" si="42"/>
        <v>2.8798000000000004</v>
      </c>
      <c r="O909" s="3">
        <f t="shared" si="44"/>
        <v>2.42</v>
      </c>
      <c r="P909">
        <v>672</v>
      </c>
      <c r="Q909">
        <v>189</v>
      </c>
      <c r="R909">
        <v>5</v>
      </c>
      <c r="S909">
        <v>97</v>
      </c>
      <c r="T909">
        <f t="shared" si="45"/>
        <v>0</v>
      </c>
    </row>
    <row r="910" spans="1:20" x14ac:dyDescent="0.3">
      <c r="A910" s="1">
        <v>45474</v>
      </c>
      <c r="B910" s="1" t="str">
        <f t="shared" si="43"/>
        <v>Reliance_Bangalore_Product_14_45474</v>
      </c>
      <c r="C910" s="2" t="s">
        <v>155</v>
      </c>
      <c r="D910" s="2" t="s">
        <v>156</v>
      </c>
      <c r="E910" s="2" t="s">
        <v>34</v>
      </c>
      <c r="F910" s="2" t="s">
        <v>51</v>
      </c>
      <c r="G910" s="2" t="s">
        <v>79</v>
      </c>
      <c r="H910" s="2" t="s">
        <v>47</v>
      </c>
      <c r="I910" s="2" t="s">
        <v>98</v>
      </c>
      <c r="J910" t="s">
        <v>31</v>
      </c>
      <c r="K910">
        <v>15</v>
      </c>
      <c r="L910" s="3">
        <v>18.899999999999999</v>
      </c>
      <c r="M910" s="3">
        <v>15.12</v>
      </c>
      <c r="N910" s="3">
        <f t="shared" ca="1" si="42"/>
        <v>20.600999999999999</v>
      </c>
      <c r="O910" s="3">
        <f t="shared" si="44"/>
        <v>18.899999999999999</v>
      </c>
      <c r="P910">
        <v>421.92</v>
      </c>
      <c r="Q910">
        <v>321</v>
      </c>
      <c r="R910">
        <v>0</v>
      </c>
      <c r="S910">
        <v>97</v>
      </c>
      <c r="T910">
        <f t="shared" si="45"/>
        <v>-2.5007999999999999</v>
      </c>
    </row>
    <row r="911" spans="1:20" x14ac:dyDescent="0.3">
      <c r="A911" s="1">
        <v>45505</v>
      </c>
      <c r="B911" s="1" t="str">
        <f t="shared" si="43"/>
        <v>Maharashtra_MH-Aggregated_Product_9_45505</v>
      </c>
      <c r="C911" s="2" t="s">
        <v>69</v>
      </c>
      <c r="D911" s="2" t="s">
        <v>70</v>
      </c>
      <c r="E911" s="2" t="s">
        <v>26</v>
      </c>
      <c r="F911" s="2" t="s">
        <v>41</v>
      </c>
      <c r="G911" s="2" t="s">
        <v>42</v>
      </c>
      <c r="H911" s="2" t="s">
        <v>37</v>
      </c>
      <c r="I911" s="2" t="s">
        <v>71</v>
      </c>
      <c r="J911" t="s">
        <v>31</v>
      </c>
      <c r="K911">
        <v>4</v>
      </c>
      <c r="L911" s="3">
        <v>4.88</v>
      </c>
      <c r="M911" s="3">
        <v>4.6359999999999992</v>
      </c>
      <c r="N911" s="3">
        <f t="shared" ca="1" si="42"/>
        <v>5.2215999999999996</v>
      </c>
      <c r="O911" s="3">
        <f t="shared" si="44"/>
        <v>4.88</v>
      </c>
      <c r="P911">
        <v>421.92</v>
      </c>
      <c r="Q911">
        <v>369</v>
      </c>
      <c r="R911">
        <v>1</v>
      </c>
      <c r="S911">
        <v>119</v>
      </c>
      <c r="T911">
        <f t="shared" si="45"/>
        <v>0</v>
      </c>
    </row>
    <row r="912" spans="1:20" x14ac:dyDescent="0.3">
      <c r="A912" s="1">
        <v>45505</v>
      </c>
      <c r="B912" s="1" t="str">
        <f t="shared" si="43"/>
        <v>Swiggy_Bangalore_Product_16_45505</v>
      </c>
      <c r="C912" s="2" t="s">
        <v>107</v>
      </c>
      <c r="D912" s="2" t="s">
        <v>108</v>
      </c>
      <c r="E912" s="2" t="s">
        <v>34</v>
      </c>
      <c r="F912" s="2" t="s">
        <v>35</v>
      </c>
      <c r="G912" s="2" t="s">
        <v>79</v>
      </c>
      <c r="H912" s="2" t="s">
        <v>47</v>
      </c>
      <c r="I912" s="2" t="s">
        <v>109</v>
      </c>
      <c r="J912" t="s">
        <v>31</v>
      </c>
      <c r="K912">
        <v>6</v>
      </c>
      <c r="L912" s="3">
        <v>5.16</v>
      </c>
      <c r="M912" s="3">
        <v>4.8504000000000005</v>
      </c>
      <c r="N912" s="3">
        <f t="shared" ca="1" si="42"/>
        <v>5.418000000000001</v>
      </c>
      <c r="O912" s="3">
        <f t="shared" si="44"/>
        <v>5.16</v>
      </c>
      <c r="P912">
        <v>748.8</v>
      </c>
      <c r="Q912">
        <v>302</v>
      </c>
      <c r="R912">
        <v>0</v>
      </c>
      <c r="S912">
        <v>122</v>
      </c>
      <c r="T912">
        <f t="shared" si="45"/>
        <v>3.2687999999999993</v>
      </c>
    </row>
    <row r="913" spans="1:20" x14ac:dyDescent="0.3">
      <c r="A913" s="1">
        <v>45505</v>
      </c>
      <c r="B913" s="1" t="str">
        <f t="shared" si="43"/>
        <v>Grofers_Hyderabad_Product_21_45505</v>
      </c>
      <c r="C913" s="2" t="s">
        <v>135</v>
      </c>
      <c r="D913" s="2" t="s">
        <v>136</v>
      </c>
      <c r="E913" s="2" t="s">
        <v>34</v>
      </c>
      <c r="F913" s="2" t="s">
        <v>114</v>
      </c>
      <c r="G913" s="2" t="s">
        <v>137</v>
      </c>
      <c r="H913" s="2" t="s">
        <v>133</v>
      </c>
      <c r="I913" s="2" t="s">
        <v>134</v>
      </c>
      <c r="J913" t="s">
        <v>31</v>
      </c>
      <c r="K913">
        <v>2</v>
      </c>
      <c r="L913" s="4">
        <v>1.9</v>
      </c>
      <c r="M913" s="3">
        <v>1.786</v>
      </c>
      <c r="N913" s="3">
        <f t="shared" ca="1" si="42"/>
        <v>2.2799999999999998</v>
      </c>
      <c r="O913" s="3">
        <f t="shared" si="44"/>
        <v>1.9</v>
      </c>
      <c r="P913">
        <v>748.8</v>
      </c>
      <c r="Q913">
        <v>351</v>
      </c>
      <c r="R913">
        <v>0</v>
      </c>
      <c r="S913">
        <v>115</v>
      </c>
      <c r="T913">
        <f t="shared" si="45"/>
        <v>0</v>
      </c>
    </row>
    <row r="914" spans="1:20" x14ac:dyDescent="0.3">
      <c r="A914" s="1">
        <v>45505</v>
      </c>
      <c r="B914" s="1" t="str">
        <f t="shared" si="43"/>
        <v>Reliance_Bhiwandi_Product_10_45505</v>
      </c>
      <c r="C914" s="2" t="s">
        <v>85</v>
      </c>
      <c r="D914" s="2" t="s">
        <v>86</v>
      </c>
      <c r="E914" s="2" t="s">
        <v>34</v>
      </c>
      <c r="F914" s="2" t="s">
        <v>51</v>
      </c>
      <c r="G914" s="2" t="s">
        <v>66</v>
      </c>
      <c r="H914" s="2" t="s">
        <v>67</v>
      </c>
      <c r="I914" s="2" t="s">
        <v>76</v>
      </c>
      <c r="J914" t="s">
        <v>31</v>
      </c>
      <c r="K914">
        <v>9</v>
      </c>
      <c r="L914" s="3">
        <v>10.709999999999999</v>
      </c>
      <c r="M914" s="3">
        <v>8.9963999999999995</v>
      </c>
      <c r="N914" s="3">
        <f t="shared" ca="1" si="42"/>
        <v>11.566799999999999</v>
      </c>
      <c r="O914" s="3">
        <f t="shared" si="44"/>
        <v>10.709999999999999</v>
      </c>
      <c r="P914">
        <v>84</v>
      </c>
      <c r="Q914">
        <v>214</v>
      </c>
      <c r="R914">
        <v>5</v>
      </c>
      <c r="S914">
        <v>106</v>
      </c>
      <c r="T914">
        <f t="shared" si="45"/>
        <v>-6.6479999999999997</v>
      </c>
    </row>
    <row r="915" spans="1:20" x14ac:dyDescent="0.3">
      <c r="A915" s="1">
        <v>45505</v>
      </c>
      <c r="B915" s="1" t="str">
        <f t="shared" si="43"/>
        <v>Reliance_Mundka_Product_6_45505</v>
      </c>
      <c r="C915" s="2" t="s">
        <v>55</v>
      </c>
      <c r="D915" s="2" t="s">
        <v>56</v>
      </c>
      <c r="E915" s="2" t="s">
        <v>34</v>
      </c>
      <c r="F915" s="2" t="s">
        <v>51</v>
      </c>
      <c r="G915" s="2" t="s">
        <v>36</v>
      </c>
      <c r="H915" s="2" t="s">
        <v>37</v>
      </c>
      <c r="I915" s="2" t="s">
        <v>57</v>
      </c>
      <c r="J915" t="s">
        <v>31</v>
      </c>
      <c r="K915">
        <v>20</v>
      </c>
      <c r="L915" s="3">
        <v>16.8</v>
      </c>
      <c r="M915" s="3">
        <v>16.464000000000002</v>
      </c>
      <c r="N915" s="3">
        <f t="shared" ca="1" si="42"/>
        <v>18.48</v>
      </c>
      <c r="O915" s="3">
        <f t="shared" si="44"/>
        <v>16.8</v>
      </c>
      <c r="P915">
        <v>48</v>
      </c>
      <c r="Q915">
        <v>484</v>
      </c>
      <c r="R915">
        <v>0</v>
      </c>
      <c r="S915">
        <v>135</v>
      </c>
      <c r="T915">
        <f t="shared" si="45"/>
        <v>-0.36</v>
      </c>
    </row>
    <row r="916" spans="1:20" x14ac:dyDescent="0.3">
      <c r="A916" s="1">
        <v>45505</v>
      </c>
      <c r="B916" s="1" t="str">
        <f t="shared" si="43"/>
        <v>Reliance_Mundka_Product_7_45505</v>
      </c>
      <c r="C916" s="2" t="s">
        <v>58</v>
      </c>
      <c r="D916" s="2" t="s">
        <v>59</v>
      </c>
      <c r="E916" s="2" t="s">
        <v>34</v>
      </c>
      <c r="F916" s="2" t="s">
        <v>51</v>
      </c>
      <c r="G916" s="2" t="s">
        <v>36</v>
      </c>
      <c r="H916" s="2" t="s">
        <v>37</v>
      </c>
      <c r="I916" s="2" t="s">
        <v>60</v>
      </c>
      <c r="J916" t="s">
        <v>31</v>
      </c>
      <c r="K916">
        <v>21</v>
      </c>
      <c r="L916" s="3">
        <v>16.8</v>
      </c>
      <c r="M916" s="3">
        <v>13.944000000000001</v>
      </c>
      <c r="N916" s="3">
        <f t="shared" ca="1" si="42"/>
        <v>18.648000000000003</v>
      </c>
      <c r="O916" s="3">
        <f t="shared" si="44"/>
        <v>16.8</v>
      </c>
      <c r="P916">
        <v>383.52</v>
      </c>
      <c r="Q916">
        <v>404</v>
      </c>
      <c r="R916">
        <v>0</v>
      </c>
      <c r="S916">
        <v>117</v>
      </c>
      <c r="T916">
        <f t="shared" si="45"/>
        <v>3.3552</v>
      </c>
    </row>
    <row r="917" spans="1:20" x14ac:dyDescent="0.3">
      <c r="A917" s="1">
        <v>45505</v>
      </c>
      <c r="B917" s="1" t="str">
        <f t="shared" si="43"/>
        <v>Jharkhand_JH-Aggregated_Product_1_45505</v>
      </c>
      <c r="C917" s="2" t="s">
        <v>24</v>
      </c>
      <c r="D917" s="2" t="s">
        <v>25</v>
      </c>
      <c r="E917" s="2" t="s">
        <v>26</v>
      </c>
      <c r="F917" s="2" t="s">
        <v>27</v>
      </c>
      <c r="G917" s="2" t="s">
        <v>28</v>
      </c>
      <c r="H917" s="2" t="s">
        <v>29</v>
      </c>
      <c r="I917" s="2" t="s">
        <v>30</v>
      </c>
      <c r="J917" t="s">
        <v>31</v>
      </c>
      <c r="K917">
        <v>4</v>
      </c>
      <c r="L917" s="3">
        <v>4.32</v>
      </c>
      <c r="M917" s="3">
        <v>3.4560000000000004</v>
      </c>
      <c r="N917" s="3">
        <f t="shared" ca="1" si="42"/>
        <v>5.1408000000000005</v>
      </c>
      <c r="O917" s="3">
        <f t="shared" si="44"/>
        <v>4.32</v>
      </c>
      <c r="P917">
        <v>383.52</v>
      </c>
      <c r="Q917">
        <v>496</v>
      </c>
      <c r="R917">
        <v>0</v>
      </c>
      <c r="S917">
        <v>111</v>
      </c>
      <c r="T917">
        <f t="shared" si="45"/>
        <v>0</v>
      </c>
    </row>
    <row r="918" spans="1:20" x14ac:dyDescent="0.3">
      <c r="A918" s="1">
        <v>45505</v>
      </c>
      <c r="B918" s="1" t="str">
        <f t="shared" si="43"/>
        <v>Swiggy_Mundka_Product_14_45505</v>
      </c>
      <c r="C918" s="2" t="s">
        <v>96</v>
      </c>
      <c r="D918" s="2" t="s">
        <v>97</v>
      </c>
      <c r="E918" s="2" t="s">
        <v>34</v>
      </c>
      <c r="F918" s="2" t="s">
        <v>35</v>
      </c>
      <c r="G918" s="2" t="s">
        <v>36</v>
      </c>
      <c r="H918" s="2" t="s">
        <v>47</v>
      </c>
      <c r="I918" s="2" t="s">
        <v>98</v>
      </c>
      <c r="J918" t="s">
        <v>31</v>
      </c>
      <c r="K918">
        <v>9</v>
      </c>
      <c r="L918" s="3">
        <v>10.080000000000002</v>
      </c>
      <c r="M918" s="3">
        <v>9.7776000000000014</v>
      </c>
      <c r="N918" s="3">
        <f t="shared" ca="1" si="42"/>
        <v>10.684800000000003</v>
      </c>
      <c r="O918" s="3">
        <f t="shared" si="44"/>
        <v>10.080000000000002</v>
      </c>
      <c r="P918">
        <v>672</v>
      </c>
      <c r="Q918">
        <v>222</v>
      </c>
      <c r="R918">
        <v>0</v>
      </c>
      <c r="S918">
        <v>97</v>
      </c>
      <c r="T918">
        <f t="shared" si="45"/>
        <v>2.8848000000000003</v>
      </c>
    </row>
    <row r="919" spans="1:20" x14ac:dyDescent="0.3">
      <c r="A919" s="1">
        <v>45505</v>
      </c>
      <c r="B919" s="1" t="str">
        <f t="shared" si="43"/>
        <v>Maharashtra_MH-Aggregated_Product_23_45505</v>
      </c>
      <c r="C919" s="2" t="s">
        <v>142</v>
      </c>
      <c r="D919" s="2" t="s">
        <v>143</v>
      </c>
      <c r="E919" s="2" t="s">
        <v>26</v>
      </c>
      <c r="F919" s="2" t="s">
        <v>41</v>
      </c>
      <c r="G919" s="2" t="s">
        <v>42</v>
      </c>
      <c r="H919" s="2" t="s">
        <v>140</v>
      </c>
      <c r="I919" s="2" t="s">
        <v>144</v>
      </c>
      <c r="J919" t="s">
        <v>31</v>
      </c>
      <c r="K919">
        <v>3</v>
      </c>
      <c r="L919" s="3">
        <v>2.4000000000000004</v>
      </c>
      <c r="M919" s="3">
        <v>1.9440000000000004</v>
      </c>
      <c r="N919" s="3">
        <f t="shared" ca="1" si="42"/>
        <v>2.5440000000000005</v>
      </c>
      <c r="O919" s="3">
        <f t="shared" si="44"/>
        <v>2.4000000000000004</v>
      </c>
      <c r="P919">
        <v>672</v>
      </c>
      <c r="Q919">
        <v>228</v>
      </c>
      <c r="R919">
        <v>0</v>
      </c>
      <c r="S919">
        <v>144</v>
      </c>
      <c r="T919">
        <f t="shared" si="45"/>
        <v>0</v>
      </c>
    </row>
    <row r="920" spans="1:20" x14ac:dyDescent="0.3">
      <c r="A920" s="1">
        <v>45505</v>
      </c>
      <c r="B920" s="1" t="str">
        <f t="shared" si="43"/>
        <v>Grofers_Kolkata CFA_Product_14_45505</v>
      </c>
      <c r="C920" s="2" t="s">
        <v>161</v>
      </c>
      <c r="D920" s="2" t="s">
        <v>162</v>
      </c>
      <c r="E920" s="2" t="s">
        <v>34</v>
      </c>
      <c r="F920" s="2" t="s">
        <v>114</v>
      </c>
      <c r="G920" s="2" t="s">
        <v>63</v>
      </c>
      <c r="H920" s="2" t="s">
        <v>47</v>
      </c>
      <c r="I920" s="2" t="s">
        <v>98</v>
      </c>
      <c r="J920" t="s">
        <v>31</v>
      </c>
      <c r="K920">
        <v>48</v>
      </c>
      <c r="L920" s="3">
        <v>56.64</v>
      </c>
      <c r="M920" s="3">
        <v>53.241599999999998</v>
      </c>
      <c r="N920" s="3">
        <f t="shared" ca="1" si="42"/>
        <v>66.268799999999999</v>
      </c>
      <c r="O920" s="3">
        <f t="shared" si="44"/>
        <v>56.64</v>
      </c>
      <c r="P920">
        <v>421.92</v>
      </c>
      <c r="Q920">
        <v>245</v>
      </c>
      <c r="R920">
        <v>0</v>
      </c>
      <c r="S920">
        <v>97</v>
      </c>
      <c r="T920">
        <f t="shared" si="45"/>
        <v>-2.5007999999999999</v>
      </c>
    </row>
    <row r="921" spans="1:20" x14ac:dyDescent="0.3">
      <c r="A921" s="1">
        <v>45505</v>
      </c>
      <c r="B921" s="1" t="str">
        <f t="shared" si="43"/>
        <v>Reliance_Ahmedabad_Product_18_45505</v>
      </c>
      <c r="C921" s="2" t="s">
        <v>121</v>
      </c>
      <c r="D921" s="2" t="s">
        <v>122</v>
      </c>
      <c r="E921" s="2" t="s">
        <v>34</v>
      </c>
      <c r="F921" s="2" t="s">
        <v>51</v>
      </c>
      <c r="G921" s="2" t="s">
        <v>52</v>
      </c>
      <c r="H921" s="2" t="s">
        <v>29</v>
      </c>
      <c r="I921" s="2" t="s">
        <v>123</v>
      </c>
      <c r="J921" t="s">
        <v>31</v>
      </c>
      <c r="K921">
        <v>9</v>
      </c>
      <c r="L921" s="3">
        <v>10.44</v>
      </c>
      <c r="M921" s="3">
        <v>9.5003999999999991</v>
      </c>
      <c r="N921" s="3">
        <f t="shared" ca="1" si="42"/>
        <v>11.5884</v>
      </c>
      <c r="O921" s="3">
        <f t="shared" si="44"/>
        <v>10.44</v>
      </c>
      <c r="P921">
        <v>421.92</v>
      </c>
      <c r="Q921">
        <v>216</v>
      </c>
      <c r="R921">
        <v>0</v>
      </c>
      <c r="S921">
        <v>129</v>
      </c>
      <c r="T921">
        <f t="shared" si="45"/>
        <v>0</v>
      </c>
    </row>
    <row r="922" spans="1:20" x14ac:dyDescent="0.3">
      <c r="A922" s="1">
        <v>45505</v>
      </c>
      <c r="B922" s="1" t="str">
        <f t="shared" si="43"/>
        <v>Reliance_Ahmedabad_Product_5_45505</v>
      </c>
      <c r="C922" s="2" t="s">
        <v>49</v>
      </c>
      <c r="D922" s="2" t="s">
        <v>50</v>
      </c>
      <c r="E922" s="2" t="s">
        <v>34</v>
      </c>
      <c r="F922" s="2" t="s">
        <v>51</v>
      </c>
      <c r="G922" s="2" t="s">
        <v>52</v>
      </c>
      <c r="H922" s="2" t="s">
        <v>53</v>
      </c>
      <c r="I922" s="2" t="s">
        <v>54</v>
      </c>
      <c r="J922" t="s">
        <v>31</v>
      </c>
      <c r="K922">
        <v>16</v>
      </c>
      <c r="L922" s="3">
        <v>20.64</v>
      </c>
      <c r="M922" s="3">
        <v>18.369600000000002</v>
      </c>
      <c r="N922" s="3">
        <f t="shared" ca="1" si="42"/>
        <v>22.2912</v>
      </c>
      <c r="O922" s="3">
        <f t="shared" si="44"/>
        <v>20.64</v>
      </c>
      <c r="P922">
        <v>748.8</v>
      </c>
      <c r="Q922">
        <v>352</v>
      </c>
      <c r="R922">
        <v>0</v>
      </c>
      <c r="S922">
        <v>132</v>
      </c>
      <c r="T922">
        <f t="shared" si="45"/>
        <v>3.2687999999999993</v>
      </c>
    </row>
    <row r="923" spans="1:20" x14ac:dyDescent="0.3">
      <c r="A923" s="1">
        <v>45505</v>
      </c>
      <c r="B923" s="1" t="str">
        <f t="shared" si="43"/>
        <v>Reliance_Bhiwandi_Product_8_45505</v>
      </c>
      <c r="C923" s="2" t="s">
        <v>64</v>
      </c>
      <c r="D923" s="2" t="s">
        <v>65</v>
      </c>
      <c r="E923" s="2" t="s">
        <v>34</v>
      </c>
      <c r="F923" s="2" t="s">
        <v>51</v>
      </c>
      <c r="G923" s="2" t="s">
        <v>66</v>
      </c>
      <c r="H923" s="2" t="s">
        <v>67</v>
      </c>
      <c r="I923" s="2" t="s">
        <v>68</v>
      </c>
      <c r="J923" t="s">
        <v>31</v>
      </c>
      <c r="K923">
        <v>3</v>
      </c>
      <c r="L923" s="3">
        <v>3.24</v>
      </c>
      <c r="M923" s="3">
        <v>3.1428000000000003</v>
      </c>
      <c r="N923" s="3">
        <f t="shared" ca="1" si="42"/>
        <v>3.4344000000000001</v>
      </c>
      <c r="O923" s="3">
        <f t="shared" si="44"/>
        <v>3.24</v>
      </c>
      <c r="P923">
        <v>748.8</v>
      </c>
      <c r="Q923">
        <v>460</v>
      </c>
      <c r="R923">
        <v>0</v>
      </c>
      <c r="S923">
        <v>126</v>
      </c>
      <c r="T923">
        <f t="shared" si="45"/>
        <v>0</v>
      </c>
    </row>
    <row r="924" spans="1:20" x14ac:dyDescent="0.3">
      <c r="A924" s="1">
        <v>45505</v>
      </c>
      <c r="B924" s="1" t="str">
        <f t="shared" si="43"/>
        <v>Grofers_Ahmedabad_Product_9_45505</v>
      </c>
      <c r="C924" s="2" t="s">
        <v>112</v>
      </c>
      <c r="D924" s="2" t="s">
        <v>113</v>
      </c>
      <c r="E924" s="2" t="s">
        <v>34</v>
      </c>
      <c r="F924" s="2" t="s">
        <v>114</v>
      </c>
      <c r="G924" s="2" t="s">
        <v>52</v>
      </c>
      <c r="H924" s="2" t="s">
        <v>37</v>
      </c>
      <c r="I924" s="2" t="s">
        <v>71</v>
      </c>
      <c r="J924" t="s">
        <v>31</v>
      </c>
      <c r="K924">
        <v>28</v>
      </c>
      <c r="L924" s="3">
        <v>22.400000000000002</v>
      </c>
      <c r="M924" s="3">
        <v>19.263999999999999</v>
      </c>
      <c r="N924" s="3">
        <f t="shared" ca="1" si="42"/>
        <v>26.656000000000002</v>
      </c>
      <c r="O924" s="3">
        <f t="shared" si="44"/>
        <v>22.400000000000002</v>
      </c>
      <c r="P924">
        <v>84</v>
      </c>
      <c r="Q924">
        <v>150</v>
      </c>
      <c r="R924">
        <v>1</v>
      </c>
      <c r="S924">
        <v>119</v>
      </c>
      <c r="T924">
        <f t="shared" si="45"/>
        <v>-6.6479999999999997</v>
      </c>
    </row>
    <row r="925" spans="1:20" x14ac:dyDescent="0.3">
      <c r="A925" s="1">
        <v>45505</v>
      </c>
      <c r="B925" s="1" t="str">
        <f t="shared" si="43"/>
        <v>Swiggy_Kolkata CFA_Product_11_45505</v>
      </c>
      <c r="C925" s="2" t="s">
        <v>119</v>
      </c>
      <c r="D925" s="2" t="s">
        <v>120</v>
      </c>
      <c r="E925" s="2" t="s">
        <v>34</v>
      </c>
      <c r="F925" s="2" t="s">
        <v>35</v>
      </c>
      <c r="G925" s="2" t="s">
        <v>63</v>
      </c>
      <c r="H925" s="2" t="s">
        <v>67</v>
      </c>
      <c r="I925" s="2" t="s">
        <v>89</v>
      </c>
      <c r="J925" t="s">
        <v>31</v>
      </c>
      <c r="K925">
        <v>63</v>
      </c>
      <c r="L925" s="3">
        <v>80.010000000000005</v>
      </c>
      <c r="M925" s="3">
        <v>75.209400000000002</v>
      </c>
      <c r="N925" s="3">
        <f t="shared" ca="1" si="42"/>
        <v>84.010500000000008</v>
      </c>
      <c r="O925" s="3">
        <f t="shared" si="44"/>
        <v>80.010000000000005</v>
      </c>
      <c r="P925">
        <v>48</v>
      </c>
      <c r="Q925">
        <v>350</v>
      </c>
      <c r="R925">
        <v>0</v>
      </c>
      <c r="S925">
        <v>131</v>
      </c>
      <c r="T925">
        <f t="shared" si="45"/>
        <v>-0.36</v>
      </c>
    </row>
    <row r="926" spans="1:20" x14ac:dyDescent="0.3">
      <c r="A926" s="1">
        <v>45505</v>
      </c>
      <c r="B926" s="1" t="str">
        <f t="shared" si="43"/>
        <v>Jharkhand_JH-Aggregated_Product_19_45505</v>
      </c>
      <c r="C926" s="2" t="s">
        <v>124</v>
      </c>
      <c r="D926" s="2" t="s">
        <v>125</v>
      </c>
      <c r="E926" s="2" t="s">
        <v>26</v>
      </c>
      <c r="F926" s="2" t="s">
        <v>27</v>
      </c>
      <c r="G926" s="2" t="s">
        <v>28</v>
      </c>
      <c r="H926" s="2" t="s">
        <v>126</v>
      </c>
      <c r="I926" s="2" t="s">
        <v>127</v>
      </c>
      <c r="J926" t="s">
        <v>31</v>
      </c>
      <c r="K926">
        <v>5</v>
      </c>
      <c r="L926" s="3">
        <v>5.6000000000000005</v>
      </c>
      <c r="M926" s="3">
        <v>5.32</v>
      </c>
      <c r="N926" s="3">
        <f t="shared" ca="1" si="42"/>
        <v>6.6080000000000005</v>
      </c>
      <c r="O926" s="3">
        <f t="shared" si="44"/>
        <v>5.6000000000000005</v>
      </c>
      <c r="P926">
        <v>383.52</v>
      </c>
      <c r="Q926">
        <v>159</v>
      </c>
      <c r="R926">
        <v>3</v>
      </c>
      <c r="S926">
        <v>94</v>
      </c>
      <c r="T926">
        <f t="shared" si="45"/>
        <v>3.3552</v>
      </c>
    </row>
    <row r="927" spans="1:20" x14ac:dyDescent="0.3">
      <c r="A927" s="1">
        <v>45505</v>
      </c>
      <c r="B927" s="1" t="str">
        <f t="shared" si="43"/>
        <v>Reliance_Bhiwandi_Product_11_45505</v>
      </c>
      <c r="C927" s="2" t="s">
        <v>87</v>
      </c>
      <c r="D927" s="2" t="s">
        <v>88</v>
      </c>
      <c r="E927" s="2" t="s">
        <v>34</v>
      </c>
      <c r="F927" s="2" t="s">
        <v>51</v>
      </c>
      <c r="G927" s="2" t="s">
        <v>66</v>
      </c>
      <c r="H927" s="2" t="s">
        <v>67</v>
      </c>
      <c r="I927" s="2" t="s">
        <v>89</v>
      </c>
      <c r="J927" t="s">
        <v>31</v>
      </c>
      <c r="K927">
        <v>2</v>
      </c>
      <c r="L927" s="3">
        <v>2.06</v>
      </c>
      <c r="M927" s="3">
        <v>1.9570000000000001</v>
      </c>
      <c r="N927" s="3">
        <f t="shared" ca="1" si="42"/>
        <v>2.2454000000000001</v>
      </c>
      <c r="O927" s="3">
        <f t="shared" si="44"/>
        <v>2.06</v>
      </c>
      <c r="P927">
        <v>383.52</v>
      </c>
      <c r="Q927">
        <v>188</v>
      </c>
      <c r="R927">
        <v>0</v>
      </c>
      <c r="S927">
        <v>131</v>
      </c>
      <c r="T927">
        <f t="shared" si="45"/>
        <v>0</v>
      </c>
    </row>
    <row r="928" spans="1:20" x14ac:dyDescent="0.3">
      <c r="A928" s="1">
        <v>45505</v>
      </c>
      <c r="B928" s="1" t="str">
        <f t="shared" si="43"/>
        <v>Swiggy_Mundka_Product_2_45505</v>
      </c>
      <c r="C928" s="2" t="s">
        <v>32</v>
      </c>
      <c r="D928" s="2" t="s">
        <v>33</v>
      </c>
      <c r="E928" s="2" t="s">
        <v>34</v>
      </c>
      <c r="F928" s="2" t="s">
        <v>35</v>
      </c>
      <c r="G928" s="2" t="s">
        <v>36</v>
      </c>
      <c r="H928" s="2" t="s">
        <v>37</v>
      </c>
      <c r="I928" s="2" t="s">
        <v>38</v>
      </c>
      <c r="J928" t="s">
        <v>31</v>
      </c>
      <c r="K928">
        <v>3</v>
      </c>
      <c r="L928" s="3">
        <v>3</v>
      </c>
      <c r="M928" s="3">
        <v>2.61</v>
      </c>
      <c r="N928" s="3">
        <f t="shared" ca="1" si="42"/>
        <v>3.54</v>
      </c>
      <c r="O928" s="3">
        <f t="shared" si="44"/>
        <v>3</v>
      </c>
      <c r="P928">
        <v>672</v>
      </c>
      <c r="Q928">
        <v>498</v>
      </c>
      <c r="R928">
        <v>5</v>
      </c>
      <c r="S928">
        <v>134</v>
      </c>
      <c r="T928">
        <f t="shared" si="45"/>
        <v>2.8848000000000003</v>
      </c>
    </row>
    <row r="929" spans="1:20" x14ac:dyDescent="0.3">
      <c r="A929" s="1">
        <v>45505</v>
      </c>
      <c r="B929" s="1" t="str">
        <f t="shared" si="43"/>
        <v>Zepto_Mundka_Product_3_45505</v>
      </c>
      <c r="C929" s="2" t="s">
        <v>72</v>
      </c>
      <c r="D929" s="2" t="s">
        <v>73</v>
      </c>
      <c r="E929" s="2" t="s">
        <v>34</v>
      </c>
      <c r="F929" s="2" t="s">
        <v>46</v>
      </c>
      <c r="G929" s="2" t="s">
        <v>36</v>
      </c>
      <c r="H929" s="2" t="s">
        <v>37</v>
      </c>
      <c r="I929" s="2" t="s">
        <v>43</v>
      </c>
      <c r="J929" t="s">
        <v>31</v>
      </c>
      <c r="K929">
        <v>1</v>
      </c>
      <c r="L929" s="3">
        <v>1.24</v>
      </c>
      <c r="M929" s="3">
        <v>1.0788</v>
      </c>
      <c r="N929" s="3">
        <f t="shared" ca="1" si="42"/>
        <v>1.3391999999999999</v>
      </c>
      <c r="O929" s="3">
        <f t="shared" si="44"/>
        <v>1.24</v>
      </c>
      <c r="P929">
        <v>672</v>
      </c>
      <c r="Q929">
        <v>203</v>
      </c>
      <c r="R929">
        <v>0</v>
      </c>
      <c r="S929">
        <v>127</v>
      </c>
      <c r="T929">
        <f t="shared" si="45"/>
        <v>0</v>
      </c>
    </row>
    <row r="930" spans="1:20" x14ac:dyDescent="0.3">
      <c r="A930" s="1">
        <v>45505</v>
      </c>
      <c r="B930" s="1" t="str">
        <f t="shared" si="43"/>
        <v>Zepto_Mundka_Product_4_45505</v>
      </c>
      <c r="C930" s="2" t="s">
        <v>44</v>
      </c>
      <c r="D930" s="2" t="s">
        <v>45</v>
      </c>
      <c r="E930" s="2" t="s">
        <v>34</v>
      </c>
      <c r="F930" s="2" t="s">
        <v>46</v>
      </c>
      <c r="G930" s="2" t="s">
        <v>36</v>
      </c>
      <c r="H930" s="2" t="s">
        <v>47</v>
      </c>
      <c r="I930" s="2" t="s">
        <v>48</v>
      </c>
      <c r="J930" t="s">
        <v>31</v>
      </c>
      <c r="K930">
        <v>11</v>
      </c>
      <c r="L930" s="3">
        <v>10.559999999999999</v>
      </c>
      <c r="M930" s="3">
        <v>8.8703999999999983</v>
      </c>
      <c r="N930" s="3">
        <f t="shared" ca="1" si="42"/>
        <v>12.143999999999998</v>
      </c>
      <c r="O930" s="3">
        <f t="shared" si="44"/>
        <v>10.559999999999999</v>
      </c>
      <c r="P930">
        <v>421.92</v>
      </c>
      <c r="Q930">
        <v>371</v>
      </c>
      <c r="R930">
        <v>1</v>
      </c>
      <c r="S930">
        <v>142</v>
      </c>
      <c r="T930">
        <f t="shared" si="45"/>
        <v>-2.5007999999999999</v>
      </c>
    </row>
    <row r="931" spans="1:20" x14ac:dyDescent="0.3">
      <c r="A931" s="1">
        <v>45505</v>
      </c>
      <c r="B931" s="1" t="str">
        <f t="shared" si="43"/>
        <v>Grofers_Mundka_Product_21_45505</v>
      </c>
      <c r="C931" s="2" t="s">
        <v>131</v>
      </c>
      <c r="D931" s="2" t="s">
        <v>132</v>
      </c>
      <c r="E931" s="2" t="s">
        <v>34</v>
      </c>
      <c r="F931" s="2" t="s">
        <v>114</v>
      </c>
      <c r="G931" s="2" t="s">
        <v>36</v>
      </c>
      <c r="H931" s="2" t="s">
        <v>133</v>
      </c>
      <c r="I931" s="2" t="s">
        <v>134</v>
      </c>
      <c r="J931" t="s">
        <v>31</v>
      </c>
      <c r="K931">
        <v>3</v>
      </c>
      <c r="L931" s="3">
        <v>2.46</v>
      </c>
      <c r="M931" s="3">
        <v>2.214</v>
      </c>
      <c r="N931" s="3">
        <f t="shared" ca="1" si="42"/>
        <v>2.7551999999999999</v>
      </c>
      <c r="O931" s="3">
        <f t="shared" si="44"/>
        <v>2.46</v>
      </c>
      <c r="P931">
        <v>421.92</v>
      </c>
      <c r="Q931">
        <v>466</v>
      </c>
      <c r="R931">
        <v>14</v>
      </c>
      <c r="S931">
        <v>115</v>
      </c>
      <c r="T931">
        <f t="shared" si="45"/>
        <v>0</v>
      </c>
    </row>
    <row r="932" spans="1:20" x14ac:dyDescent="0.3">
      <c r="A932" s="1">
        <v>45505</v>
      </c>
      <c r="B932" s="1" t="str">
        <f t="shared" si="43"/>
        <v>Swiggy_Kolkata CFA_Product_3_45505</v>
      </c>
      <c r="C932" s="2" t="s">
        <v>61</v>
      </c>
      <c r="D932" s="2" t="s">
        <v>62</v>
      </c>
      <c r="E932" s="2" t="s">
        <v>34</v>
      </c>
      <c r="F932" s="2" t="s">
        <v>35</v>
      </c>
      <c r="G932" s="2" t="s">
        <v>63</v>
      </c>
      <c r="H932" s="2" t="s">
        <v>37</v>
      </c>
      <c r="I932" s="2" t="s">
        <v>43</v>
      </c>
      <c r="J932" t="s">
        <v>31</v>
      </c>
      <c r="K932">
        <v>5</v>
      </c>
      <c r="L932" s="3">
        <v>4.75</v>
      </c>
      <c r="M932" s="3">
        <v>4.0374999999999996</v>
      </c>
      <c r="N932" s="3">
        <f t="shared" ca="1" si="42"/>
        <v>5.2249999999999996</v>
      </c>
      <c r="O932" s="3">
        <f t="shared" si="44"/>
        <v>4.75</v>
      </c>
      <c r="P932">
        <v>748.8</v>
      </c>
      <c r="Q932">
        <v>152</v>
      </c>
      <c r="R932">
        <v>0</v>
      </c>
      <c r="S932">
        <v>127</v>
      </c>
      <c r="T932">
        <f t="shared" si="45"/>
        <v>3.2687999999999993</v>
      </c>
    </row>
    <row r="933" spans="1:20" x14ac:dyDescent="0.3">
      <c r="A933" s="1">
        <v>45505</v>
      </c>
      <c r="B933" s="1" t="str">
        <f t="shared" si="43"/>
        <v>Jharkhand_JH-Aggregated_Product_15_45505</v>
      </c>
      <c r="C933" s="2" t="s">
        <v>103</v>
      </c>
      <c r="D933" s="2" t="s">
        <v>104</v>
      </c>
      <c r="E933" s="2" t="s">
        <v>26</v>
      </c>
      <c r="F933" s="2" t="s">
        <v>27</v>
      </c>
      <c r="G933" s="2" t="s">
        <v>28</v>
      </c>
      <c r="H933" s="2" t="s">
        <v>105</v>
      </c>
      <c r="I933" s="2" t="s">
        <v>106</v>
      </c>
      <c r="J933" t="s">
        <v>31</v>
      </c>
      <c r="K933">
        <v>1</v>
      </c>
      <c r="L933" s="3">
        <v>1</v>
      </c>
      <c r="M933" s="3">
        <v>0.91</v>
      </c>
      <c r="N933" s="3">
        <f t="shared" ca="1" si="42"/>
        <v>1.2</v>
      </c>
      <c r="O933" s="3">
        <f t="shared" si="44"/>
        <v>1</v>
      </c>
      <c r="P933">
        <v>748.8</v>
      </c>
      <c r="Q933">
        <v>279</v>
      </c>
      <c r="R933">
        <v>0</v>
      </c>
      <c r="S933">
        <v>143</v>
      </c>
      <c r="T933">
        <f t="shared" si="45"/>
        <v>0</v>
      </c>
    </row>
    <row r="934" spans="1:20" x14ac:dyDescent="0.3">
      <c r="A934" s="1">
        <v>45505</v>
      </c>
      <c r="B934" s="1" t="str">
        <f t="shared" si="43"/>
        <v>Reliance_Bangalore_Product_13_45505</v>
      </c>
      <c r="C934" s="2" t="s">
        <v>93</v>
      </c>
      <c r="D934" s="2" t="s">
        <v>94</v>
      </c>
      <c r="E934" s="2" t="s">
        <v>34</v>
      </c>
      <c r="F934" s="2" t="s">
        <v>51</v>
      </c>
      <c r="G934" s="2" t="s">
        <v>79</v>
      </c>
      <c r="H934" s="2" t="s">
        <v>67</v>
      </c>
      <c r="I934" s="2" t="s">
        <v>95</v>
      </c>
      <c r="J934" t="s">
        <v>31</v>
      </c>
      <c r="K934">
        <v>6</v>
      </c>
      <c r="L934" s="3">
        <v>5.88</v>
      </c>
      <c r="M934" s="3">
        <v>5.4096000000000002</v>
      </c>
      <c r="N934" s="3">
        <f t="shared" ref="N934:N997" ca="1" si="46">L934*RANDBETWEEN(105,120)/100</f>
        <v>6.6443999999999992</v>
      </c>
      <c r="O934" s="3">
        <f t="shared" si="44"/>
        <v>5.88</v>
      </c>
      <c r="P934">
        <v>84</v>
      </c>
      <c r="Q934">
        <v>416</v>
      </c>
      <c r="R934">
        <v>7</v>
      </c>
      <c r="S934">
        <v>113</v>
      </c>
      <c r="T934">
        <f t="shared" si="45"/>
        <v>-6.6479999999999997</v>
      </c>
    </row>
    <row r="935" spans="1:20" x14ac:dyDescent="0.3">
      <c r="A935" s="1">
        <v>45505</v>
      </c>
      <c r="B935" s="1" t="str">
        <f t="shared" si="43"/>
        <v>Reliance_Ahmedabad_Product_9_45505</v>
      </c>
      <c r="C935" s="2" t="s">
        <v>151</v>
      </c>
      <c r="D935" s="2" t="s">
        <v>152</v>
      </c>
      <c r="E935" s="2" t="s">
        <v>34</v>
      </c>
      <c r="F935" s="2" t="s">
        <v>51</v>
      </c>
      <c r="G935" s="2" t="s">
        <v>52</v>
      </c>
      <c r="H935" s="2" t="s">
        <v>37</v>
      </c>
      <c r="I935" s="2" t="s">
        <v>71</v>
      </c>
      <c r="J935" t="s">
        <v>31</v>
      </c>
      <c r="K935">
        <v>14</v>
      </c>
      <c r="L935" s="3">
        <v>14.98</v>
      </c>
      <c r="M935" s="3">
        <v>14.98</v>
      </c>
      <c r="N935" s="3">
        <f t="shared" ca="1" si="46"/>
        <v>16.7776</v>
      </c>
      <c r="O935" s="3">
        <f t="shared" si="44"/>
        <v>14.98</v>
      </c>
      <c r="P935">
        <v>48</v>
      </c>
      <c r="Q935">
        <v>126</v>
      </c>
      <c r="R935">
        <v>0</v>
      </c>
      <c r="S935">
        <v>119</v>
      </c>
      <c r="T935">
        <f t="shared" si="45"/>
        <v>-0.36</v>
      </c>
    </row>
    <row r="936" spans="1:20" x14ac:dyDescent="0.3">
      <c r="A936" s="1">
        <v>45505</v>
      </c>
      <c r="B936" s="1" t="str">
        <f t="shared" si="43"/>
        <v>Reliance_Kolkata CFA_Product_12_45505</v>
      </c>
      <c r="C936" s="2" t="s">
        <v>101</v>
      </c>
      <c r="D936" s="2" t="s">
        <v>102</v>
      </c>
      <c r="E936" s="2" t="s">
        <v>34</v>
      </c>
      <c r="F936" s="2" t="s">
        <v>51</v>
      </c>
      <c r="G936" s="2" t="s">
        <v>63</v>
      </c>
      <c r="H936" s="2" t="s">
        <v>67</v>
      </c>
      <c r="I936" s="2" t="s">
        <v>92</v>
      </c>
      <c r="J936" t="s">
        <v>31</v>
      </c>
      <c r="K936">
        <v>16</v>
      </c>
      <c r="L936" s="3">
        <v>19.52</v>
      </c>
      <c r="M936" s="3">
        <v>18.7392</v>
      </c>
      <c r="N936" s="3">
        <f t="shared" ca="1" si="46"/>
        <v>21.667199999999998</v>
      </c>
      <c r="O936" s="3">
        <f t="shared" si="44"/>
        <v>19.52</v>
      </c>
      <c r="P936">
        <v>383.52</v>
      </c>
      <c r="Q936">
        <v>349</v>
      </c>
      <c r="R936">
        <v>0</v>
      </c>
      <c r="S936">
        <v>94</v>
      </c>
      <c r="T936">
        <f t="shared" si="45"/>
        <v>3.3552</v>
      </c>
    </row>
    <row r="937" spans="1:20" x14ac:dyDescent="0.3">
      <c r="A937" s="1">
        <v>45505</v>
      </c>
      <c r="B937" s="1" t="str">
        <f t="shared" si="43"/>
        <v>Reliance_Mundka_Product_9_45505</v>
      </c>
      <c r="C937" s="2" t="s">
        <v>145</v>
      </c>
      <c r="D937" s="2" t="s">
        <v>146</v>
      </c>
      <c r="E937" s="2" t="s">
        <v>34</v>
      </c>
      <c r="F937" s="2" t="s">
        <v>51</v>
      </c>
      <c r="G937" s="2" t="s">
        <v>36</v>
      </c>
      <c r="H937" s="2" t="s">
        <v>37</v>
      </c>
      <c r="I937" s="2" t="s">
        <v>71</v>
      </c>
      <c r="J937" t="s">
        <v>31</v>
      </c>
      <c r="K937">
        <v>4</v>
      </c>
      <c r="L937" s="3">
        <v>4.12</v>
      </c>
      <c r="M937" s="3">
        <v>3.4607999999999999</v>
      </c>
      <c r="N937" s="3">
        <f t="shared" ca="1" si="46"/>
        <v>4.532</v>
      </c>
      <c r="O937" s="3">
        <f t="shared" si="44"/>
        <v>4.12</v>
      </c>
      <c r="P937">
        <v>383.52</v>
      </c>
      <c r="Q937">
        <v>412</v>
      </c>
      <c r="R937">
        <v>3</v>
      </c>
      <c r="S937">
        <v>119</v>
      </c>
      <c r="T937">
        <f t="shared" si="45"/>
        <v>0</v>
      </c>
    </row>
    <row r="938" spans="1:20" x14ac:dyDescent="0.3">
      <c r="A938" s="1">
        <v>45505</v>
      </c>
      <c r="B938" s="1" t="str">
        <f t="shared" si="43"/>
        <v>Swiggy_Chennai_Product_3_45505</v>
      </c>
      <c r="C938" s="2" t="s">
        <v>82</v>
      </c>
      <c r="D938" s="2" t="s">
        <v>83</v>
      </c>
      <c r="E938" s="2" t="s">
        <v>34</v>
      </c>
      <c r="F938" s="2" t="s">
        <v>35</v>
      </c>
      <c r="G938" s="2" t="s">
        <v>84</v>
      </c>
      <c r="H938" s="2" t="s">
        <v>37</v>
      </c>
      <c r="I938" s="2" t="s">
        <v>43</v>
      </c>
      <c r="J938" t="s">
        <v>31</v>
      </c>
      <c r="K938">
        <v>8</v>
      </c>
      <c r="L938" s="3">
        <v>7.84</v>
      </c>
      <c r="M938" s="3">
        <v>6.9775999999999998</v>
      </c>
      <c r="N938" s="3">
        <f t="shared" ca="1" si="46"/>
        <v>8.5456000000000003</v>
      </c>
      <c r="O938" s="3">
        <f t="shared" si="44"/>
        <v>7.84</v>
      </c>
      <c r="P938">
        <v>672</v>
      </c>
      <c r="Q938">
        <v>405</v>
      </c>
      <c r="R938">
        <v>0</v>
      </c>
      <c r="S938">
        <v>127</v>
      </c>
      <c r="T938">
        <f t="shared" si="45"/>
        <v>2.8848000000000003</v>
      </c>
    </row>
    <row r="939" spans="1:20" x14ac:dyDescent="0.3">
      <c r="A939" s="1">
        <v>45505</v>
      </c>
      <c r="B939" s="1" t="str">
        <f t="shared" si="43"/>
        <v>Reliance_Bangalore_Product_8_45505</v>
      </c>
      <c r="C939" s="2" t="s">
        <v>77</v>
      </c>
      <c r="D939" s="2" t="s">
        <v>78</v>
      </c>
      <c r="E939" s="2" t="s">
        <v>34</v>
      </c>
      <c r="F939" s="2" t="s">
        <v>51</v>
      </c>
      <c r="G939" s="2" t="s">
        <v>79</v>
      </c>
      <c r="H939" s="2" t="s">
        <v>67</v>
      </c>
      <c r="I939" s="2" t="s">
        <v>68</v>
      </c>
      <c r="J939" t="s">
        <v>31</v>
      </c>
      <c r="K939">
        <v>2</v>
      </c>
      <c r="L939" s="3">
        <v>2.48</v>
      </c>
      <c r="M939" s="3">
        <v>2.3311999999999999</v>
      </c>
      <c r="N939" s="3">
        <f t="shared" ca="1" si="46"/>
        <v>2.8768000000000002</v>
      </c>
      <c r="O939" s="3">
        <f t="shared" si="44"/>
        <v>2.48</v>
      </c>
      <c r="P939">
        <v>672</v>
      </c>
      <c r="Q939">
        <v>434</v>
      </c>
      <c r="R939">
        <v>0</v>
      </c>
      <c r="S939">
        <v>126</v>
      </c>
      <c r="T939">
        <f t="shared" si="45"/>
        <v>0</v>
      </c>
    </row>
    <row r="940" spans="1:20" x14ac:dyDescent="0.3">
      <c r="A940" s="1">
        <v>45505</v>
      </c>
      <c r="B940" s="1" t="str">
        <f t="shared" si="43"/>
        <v>Reliance_Chennai_Product_9_45505</v>
      </c>
      <c r="C940" s="2" t="s">
        <v>147</v>
      </c>
      <c r="D940" s="2" t="s">
        <v>148</v>
      </c>
      <c r="E940" s="2" t="s">
        <v>34</v>
      </c>
      <c r="F940" s="2" t="s">
        <v>51</v>
      </c>
      <c r="G940" s="2" t="s">
        <v>84</v>
      </c>
      <c r="H940" s="2" t="s">
        <v>37</v>
      </c>
      <c r="I940" s="2" t="s">
        <v>71</v>
      </c>
      <c r="J940" t="s">
        <v>31</v>
      </c>
      <c r="K940">
        <v>36</v>
      </c>
      <c r="L940" s="3">
        <v>35.64</v>
      </c>
      <c r="M940" s="3">
        <v>30.650400000000001</v>
      </c>
      <c r="N940" s="3">
        <f t="shared" ca="1" si="46"/>
        <v>40.629600000000003</v>
      </c>
      <c r="O940" s="3">
        <f t="shared" si="44"/>
        <v>35.64</v>
      </c>
      <c r="P940">
        <v>421.92</v>
      </c>
      <c r="Q940">
        <v>183</v>
      </c>
      <c r="R940">
        <v>0</v>
      </c>
      <c r="S940">
        <v>119</v>
      </c>
      <c r="T940">
        <f t="shared" si="45"/>
        <v>-2.5007999999999999</v>
      </c>
    </row>
    <row r="941" spans="1:20" x14ac:dyDescent="0.3">
      <c r="A941" s="1">
        <v>45505</v>
      </c>
      <c r="B941" s="1" t="str">
        <f t="shared" si="43"/>
        <v>Swiggy_Kolkata CFA_Product_20_45505</v>
      </c>
      <c r="C941" s="2" t="s">
        <v>128</v>
      </c>
      <c r="D941" s="2" t="s">
        <v>129</v>
      </c>
      <c r="E941" s="2" t="s">
        <v>34</v>
      </c>
      <c r="F941" s="2" t="s">
        <v>35</v>
      </c>
      <c r="G941" s="2" t="s">
        <v>63</v>
      </c>
      <c r="H941" s="2" t="s">
        <v>47</v>
      </c>
      <c r="I941" s="2" t="s">
        <v>130</v>
      </c>
      <c r="J941" t="s">
        <v>31</v>
      </c>
      <c r="K941">
        <v>7</v>
      </c>
      <c r="L941" s="3">
        <v>8.19</v>
      </c>
      <c r="M941" s="3">
        <v>7.8624000000000001</v>
      </c>
      <c r="N941" s="3">
        <f t="shared" ca="1" si="46"/>
        <v>9.0908999999999995</v>
      </c>
      <c r="O941" s="3">
        <f t="shared" si="44"/>
        <v>8.19</v>
      </c>
      <c r="P941">
        <v>421.92</v>
      </c>
      <c r="Q941">
        <v>296</v>
      </c>
      <c r="R941">
        <v>6</v>
      </c>
      <c r="S941">
        <v>125</v>
      </c>
      <c r="T941">
        <f t="shared" si="45"/>
        <v>0</v>
      </c>
    </row>
    <row r="942" spans="1:20" x14ac:dyDescent="0.3">
      <c r="A942" s="1">
        <v>45505</v>
      </c>
      <c r="B942" s="1" t="str">
        <f t="shared" si="43"/>
        <v>Reliance_Chennai_Product_11_45505</v>
      </c>
      <c r="C942" s="2" t="s">
        <v>110</v>
      </c>
      <c r="D942" s="2" t="s">
        <v>111</v>
      </c>
      <c r="E942" s="2" t="s">
        <v>34</v>
      </c>
      <c r="F942" s="2" t="s">
        <v>51</v>
      </c>
      <c r="G942" s="2" t="s">
        <v>84</v>
      </c>
      <c r="H942" s="2" t="s">
        <v>67</v>
      </c>
      <c r="I942" s="2" t="s">
        <v>89</v>
      </c>
      <c r="J942" t="s">
        <v>31</v>
      </c>
      <c r="K942">
        <v>12</v>
      </c>
      <c r="L942" s="3">
        <v>10.44</v>
      </c>
      <c r="M942" s="3">
        <v>9.1871999999999989</v>
      </c>
      <c r="N942" s="3">
        <f t="shared" ca="1" si="46"/>
        <v>10.962</v>
      </c>
      <c r="O942" s="3">
        <f t="shared" si="44"/>
        <v>10.44</v>
      </c>
      <c r="P942">
        <v>748.8</v>
      </c>
      <c r="Q942">
        <v>379</v>
      </c>
      <c r="R942">
        <v>2</v>
      </c>
      <c r="S942">
        <v>131</v>
      </c>
      <c r="T942">
        <f t="shared" si="45"/>
        <v>3.2687999999999993</v>
      </c>
    </row>
    <row r="943" spans="1:20" x14ac:dyDescent="0.3">
      <c r="A943" s="1">
        <v>45505</v>
      </c>
      <c r="B943" s="1" t="str">
        <f t="shared" si="43"/>
        <v>Zepto_Bangalore_Product_12_45505</v>
      </c>
      <c r="C943" s="2" t="s">
        <v>90</v>
      </c>
      <c r="D943" s="2" t="s">
        <v>91</v>
      </c>
      <c r="E943" s="2" t="s">
        <v>34</v>
      </c>
      <c r="F943" s="2" t="s">
        <v>46</v>
      </c>
      <c r="G943" s="2" t="s">
        <v>79</v>
      </c>
      <c r="H943" s="2" t="s">
        <v>67</v>
      </c>
      <c r="I943" s="2" t="s">
        <v>92</v>
      </c>
      <c r="J943" t="s">
        <v>31</v>
      </c>
      <c r="K943">
        <v>3</v>
      </c>
      <c r="L943" s="3">
        <v>2.61</v>
      </c>
      <c r="M943" s="3">
        <v>2.2445999999999997</v>
      </c>
      <c r="N943" s="3">
        <f t="shared" ca="1" si="46"/>
        <v>2.8971</v>
      </c>
      <c r="O943" s="3">
        <f t="shared" si="44"/>
        <v>2.61</v>
      </c>
      <c r="P943">
        <v>748.8</v>
      </c>
      <c r="Q943">
        <v>457</v>
      </c>
      <c r="R943">
        <v>6</v>
      </c>
      <c r="S943">
        <v>94</v>
      </c>
      <c r="T943">
        <f t="shared" si="45"/>
        <v>0</v>
      </c>
    </row>
    <row r="944" spans="1:20" x14ac:dyDescent="0.3">
      <c r="A944" s="1">
        <v>45505</v>
      </c>
      <c r="B944" s="1" t="str">
        <f t="shared" si="43"/>
        <v>Grofers_Kolkata CFA_Product_20_45505</v>
      </c>
      <c r="C944" s="2" t="s">
        <v>153</v>
      </c>
      <c r="D944" s="2" t="s">
        <v>154</v>
      </c>
      <c r="E944" s="2" t="s">
        <v>34</v>
      </c>
      <c r="F944" s="2" t="s">
        <v>114</v>
      </c>
      <c r="G944" s="2" t="s">
        <v>63</v>
      </c>
      <c r="H944" s="2" t="s">
        <v>47</v>
      </c>
      <c r="I944" s="2" t="s">
        <v>130</v>
      </c>
      <c r="J944" t="s">
        <v>31</v>
      </c>
      <c r="K944">
        <v>22</v>
      </c>
      <c r="L944" s="3">
        <v>21.78</v>
      </c>
      <c r="M944" s="3">
        <v>19.819800000000001</v>
      </c>
      <c r="N944" s="3">
        <f t="shared" ca="1" si="46"/>
        <v>23.086800000000004</v>
      </c>
      <c r="O944" s="3">
        <f t="shared" si="44"/>
        <v>21.78</v>
      </c>
      <c r="P944">
        <v>84</v>
      </c>
      <c r="Q944">
        <v>129</v>
      </c>
      <c r="R944">
        <v>9</v>
      </c>
      <c r="S944">
        <v>125</v>
      </c>
      <c r="T944">
        <f t="shared" si="45"/>
        <v>-6.6479999999999997</v>
      </c>
    </row>
    <row r="945" spans="1:20" x14ac:dyDescent="0.3">
      <c r="A945" s="1">
        <v>45505</v>
      </c>
      <c r="B945" s="1" t="str">
        <f t="shared" si="43"/>
        <v>Grofers_Ahmedabad_Product_14_45505</v>
      </c>
      <c r="C945" s="2" t="s">
        <v>159</v>
      </c>
      <c r="D945" s="2" t="s">
        <v>160</v>
      </c>
      <c r="E945" s="2" t="s">
        <v>34</v>
      </c>
      <c r="F945" s="2" t="s">
        <v>114</v>
      </c>
      <c r="G945" s="2" t="s">
        <v>52</v>
      </c>
      <c r="H945" s="2" t="s">
        <v>47</v>
      </c>
      <c r="I945" s="2" t="s">
        <v>98</v>
      </c>
      <c r="J945" t="s">
        <v>31</v>
      </c>
      <c r="K945">
        <v>47</v>
      </c>
      <c r="L945" s="3">
        <v>39.949999999999996</v>
      </c>
      <c r="M945" s="3">
        <v>37.552999999999997</v>
      </c>
      <c r="N945" s="3">
        <f t="shared" ca="1" si="46"/>
        <v>45.143499999999996</v>
      </c>
      <c r="O945" s="3">
        <f t="shared" si="44"/>
        <v>39.949999999999996</v>
      </c>
      <c r="P945">
        <v>48</v>
      </c>
      <c r="Q945">
        <v>406</v>
      </c>
      <c r="R945">
        <v>0</v>
      </c>
      <c r="S945">
        <v>97</v>
      </c>
      <c r="T945">
        <f t="shared" si="45"/>
        <v>-0.36</v>
      </c>
    </row>
    <row r="946" spans="1:20" x14ac:dyDescent="0.3">
      <c r="A946" s="1">
        <v>45505</v>
      </c>
      <c r="B946" s="1" t="str">
        <f t="shared" si="43"/>
        <v>Reliance_Bangalore_Product_3_45505</v>
      </c>
      <c r="C946" s="2" t="s">
        <v>80</v>
      </c>
      <c r="D946" s="2" t="s">
        <v>81</v>
      </c>
      <c r="E946" s="2" t="s">
        <v>34</v>
      </c>
      <c r="F946" s="2" t="s">
        <v>51</v>
      </c>
      <c r="G946" s="2" t="s">
        <v>79</v>
      </c>
      <c r="H946" s="2" t="s">
        <v>37</v>
      </c>
      <c r="I946" s="2" t="s">
        <v>43</v>
      </c>
      <c r="J946" t="s">
        <v>31</v>
      </c>
      <c r="K946">
        <v>4</v>
      </c>
      <c r="L946" s="3">
        <v>5.16</v>
      </c>
      <c r="M946" s="3">
        <v>4.3343999999999996</v>
      </c>
      <c r="N946" s="3">
        <f t="shared" ca="1" si="46"/>
        <v>6.0372000000000003</v>
      </c>
      <c r="O946" s="3">
        <f t="shared" si="44"/>
        <v>5.16</v>
      </c>
      <c r="P946">
        <v>383.52</v>
      </c>
      <c r="Q946">
        <v>219</v>
      </c>
      <c r="R946">
        <v>8</v>
      </c>
      <c r="S946">
        <v>127</v>
      </c>
      <c r="T946">
        <f t="shared" si="45"/>
        <v>3.3552</v>
      </c>
    </row>
    <row r="947" spans="1:20" x14ac:dyDescent="0.3">
      <c r="A947" s="1">
        <v>45505</v>
      </c>
      <c r="B947" s="1" t="str">
        <f t="shared" si="43"/>
        <v>Maharashtra_MH-Aggregated_Product_22_45505</v>
      </c>
      <c r="C947" s="2" t="s">
        <v>138</v>
      </c>
      <c r="D947" s="2" t="s">
        <v>139</v>
      </c>
      <c r="E947" s="2" t="s">
        <v>26</v>
      </c>
      <c r="F947" s="2" t="s">
        <v>41</v>
      </c>
      <c r="G947" s="2" t="s">
        <v>42</v>
      </c>
      <c r="H947" s="2" t="s">
        <v>140</v>
      </c>
      <c r="I947" s="2" t="s">
        <v>141</v>
      </c>
      <c r="J947" t="s">
        <v>31</v>
      </c>
      <c r="K947">
        <v>2</v>
      </c>
      <c r="L947" s="3">
        <v>1.78</v>
      </c>
      <c r="M947" s="3">
        <v>1.6197999999999999</v>
      </c>
      <c r="N947" s="3">
        <f t="shared" ca="1" si="46"/>
        <v>2.0292000000000003</v>
      </c>
      <c r="O947" s="3">
        <f t="shared" si="44"/>
        <v>1.78</v>
      </c>
      <c r="P947">
        <v>383.52</v>
      </c>
      <c r="Q947">
        <v>452</v>
      </c>
      <c r="R947">
        <v>5</v>
      </c>
      <c r="S947">
        <v>126</v>
      </c>
      <c r="T947">
        <f t="shared" si="45"/>
        <v>0</v>
      </c>
    </row>
    <row r="948" spans="1:20" x14ac:dyDescent="0.3">
      <c r="A948" s="1">
        <v>45505</v>
      </c>
      <c r="B948" s="1" t="str">
        <f t="shared" si="43"/>
        <v>Zepto_Bhiwandi_Product_24_45505</v>
      </c>
      <c r="C948" s="2" t="s">
        <v>163</v>
      </c>
      <c r="D948" s="2" t="s">
        <v>164</v>
      </c>
      <c r="E948" s="2" t="s">
        <v>34</v>
      </c>
      <c r="F948" s="2" t="s">
        <v>46</v>
      </c>
      <c r="G948" s="2" t="s">
        <v>66</v>
      </c>
      <c r="H948" s="2" t="s">
        <v>47</v>
      </c>
      <c r="I948" s="2" t="s">
        <v>165</v>
      </c>
      <c r="J948" t="s">
        <v>31</v>
      </c>
      <c r="K948">
        <v>3</v>
      </c>
      <c r="L948" s="3">
        <v>3.87</v>
      </c>
      <c r="M948" s="3">
        <v>3.4056000000000002</v>
      </c>
      <c r="N948" s="3">
        <f t="shared" ca="1" si="46"/>
        <v>4.4892000000000003</v>
      </c>
      <c r="O948" s="3">
        <f t="shared" si="44"/>
        <v>3.87</v>
      </c>
      <c r="P948">
        <v>672</v>
      </c>
      <c r="Q948">
        <v>380</v>
      </c>
      <c r="R948">
        <v>5</v>
      </c>
      <c r="S948">
        <v>120</v>
      </c>
      <c r="T948">
        <f t="shared" si="45"/>
        <v>2.8848000000000003</v>
      </c>
    </row>
    <row r="949" spans="1:20" x14ac:dyDescent="0.3">
      <c r="A949" s="1">
        <v>45505</v>
      </c>
      <c r="B949" s="1" t="str">
        <f t="shared" si="43"/>
        <v>Maharashtra_MH-Aggregated_Product_3_45505</v>
      </c>
      <c r="C949" s="2" t="s">
        <v>39</v>
      </c>
      <c r="D949" s="2" t="s">
        <v>40</v>
      </c>
      <c r="E949" s="2" t="s">
        <v>26</v>
      </c>
      <c r="F949" s="2" t="s">
        <v>41</v>
      </c>
      <c r="G949" s="2" t="s">
        <v>42</v>
      </c>
      <c r="H949" s="2" t="s">
        <v>37</v>
      </c>
      <c r="I949" s="2" t="s">
        <v>43</v>
      </c>
      <c r="J949" t="s">
        <v>31</v>
      </c>
      <c r="K949">
        <v>1</v>
      </c>
      <c r="L949" s="3">
        <v>0.94</v>
      </c>
      <c r="M949" s="3">
        <v>0.7802</v>
      </c>
      <c r="N949" s="3">
        <f t="shared" ca="1" si="46"/>
        <v>1.0903999999999998</v>
      </c>
      <c r="O949" s="3">
        <f t="shared" si="44"/>
        <v>0.94</v>
      </c>
      <c r="P949">
        <v>672</v>
      </c>
      <c r="Q949">
        <v>328</v>
      </c>
      <c r="R949">
        <v>0</v>
      </c>
      <c r="S949">
        <v>127</v>
      </c>
      <c r="T949">
        <f t="shared" si="45"/>
        <v>0</v>
      </c>
    </row>
    <row r="950" spans="1:20" x14ac:dyDescent="0.3">
      <c r="A950" s="1">
        <v>45505</v>
      </c>
      <c r="B950" s="1" t="str">
        <f t="shared" si="43"/>
        <v>Zepto_Bhiwandi_Product_10_45505</v>
      </c>
      <c r="C950" s="2" t="s">
        <v>74</v>
      </c>
      <c r="D950" s="2" t="s">
        <v>75</v>
      </c>
      <c r="E950" s="2" t="s">
        <v>34</v>
      </c>
      <c r="F950" s="2" t="s">
        <v>46</v>
      </c>
      <c r="G950" s="2" t="s">
        <v>66</v>
      </c>
      <c r="H950" s="2" t="s">
        <v>67</v>
      </c>
      <c r="I950" s="2" t="s">
        <v>76</v>
      </c>
      <c r="J950" t="s">
        <v>31</v>
      </c>
      <c r="K950">
        <v>8</v>
      </c>
      <c r="L950" s="3">
        <v>6.4</v>
      </c>
      <c r="M950" s="3">
        <v>5.8880000000000008</v>
      </c>
      <c r="N950" s="3">
        <f t="shared" ca="1" si="46"/>
        <v>7.36</v>
      </c>
      <c r="O950" s="3">
        <f t="shared" si="44"/>
        <v>6.4</v>
      </c>
      <c r="P950">
        <v>421.92</v>
      </c>
      <c r="Q950">
        <v>351</v>
      </c>
      <c r="R950">
        <v>0</v>
      </c>
      <c r="S950">
        <v>106</v>
      </c>
      <c r="T950">
        <f t="shared" si="45"/>
        <v>-2.5007999999999999</v>
      </c>
    </row>
    <row r="951" spans="1:20" x14ac:dyDescent="0.3">
      <c r="A951" s="1">
        <v>45536</v>
      </c>
      <c r="B951" s="1" t="str">
        <f t="shared" si="43"/>
        <v>Reliance_Mundka_Product_9_45536</v>
      </c>
      <c r="C951" s="2" t="s">
        <v>145</v>
      </c>
      <c r="D951" s="2" t="s">
        <v>146</v>
      </c>
      <c r="E951" s="2" t="s">
        <v>34</v>
      </c>
      <c r="F951" s="2" t="s">
        <v>51</v>
      </c>
      <c r="G951" s="2" t="s">
        <v>36</v>
      </c>
      <c r="H951" s="2" t="s">
        <v>37</v>
      </c>
      <c r="I951" s="2" t="s">
        <v>71</v>
      </c>
      <c r="J951" t="s">
        <v>31</v>
      </c>
      <c r="K951">
        <v>3</v>
      </c>
      <c r="L951" s="3">
        <v>3.7199999999999998</v>
      </c>
      <c r="M951" s="3">
        <v>3.4223999999999997</v>
      </c>
      <c r="N951" s="3">
        <f t="shared" ca="1" si="46"/>
        <v>4.4267999999999992</v>
      </c>
      <c r="O951" s="3">
        <f t="shared" si="44"/>
        <v>3.7199999999999998</v>
      </c>
      <c r="P951">
        <v>421.92</v>
      </c>
      <c r="Q951">
        <v>218</v>
      </c>
      <c r="R951">
        <v>3</v>
      </c>
      <c r="S951">
        <v>119</v>
      </c>
      <c r="T951">
        <f t="shared" si="45"/>
        <v>0</v>
      </c>
    </row>
    <row r="952" spans="1:20" x14ac:dyDescent="0.3">
      <c r="A952" s="1">
        <v>45536</v>
      </c>
      <c r="B952" s="1" t="str">
        <f t="shared" si="43"/>
        <v>Reliance_Chennai_Product_9_45536</v>
      </c>
      <c r="C952" s="2" t="s">
        <v>147</v>
      </c>
      <c r="D952" s="2" t="s">
        <v>148</v>
      </c>
      <c r="E952" s="2" t="s">
        <v>34</v>
      </c>
      <c r="F952" s="2" t="s">
        <v>51</v>
      </c>
      <c r="G952" s="2" t="s">
        <v>84</v>
      </c>
      <c r="H952" s="2" t="s">
        <v>37</v>
      </c>
      <c r="I952" s="2" t="s">
        <v>71</v>
      </c>
      <c r="J952" t="s">
        <v>31</v>
      </c>
      <c r="K952">
        <v>4</v>
      </c>
      <c r="L952" s="3">
        <v>3.6</v>
      </c>
      <c r="M952" s="3">
        <v>3.3480000000000003</v>
      </c>
      <c r="N952" s="3">
        <f t="shared" ca="1" si="46"/>
        <v>4.2480000000000002</v>
      </c>
      <c r="O952" s="3">
        <f t="shared" si="44"/>
        <v>3.6</v>
      </c>
      <c r="P952">
        <v>748.8</v>
      </c>
      <c r="Q952">
        <v>458</v>
      </c>
      <c r="R952">
        <v>9</v>
      </c>
      <c r="S952">
        <v>119</v>
      </c>
      <c r="T952">
        <f t="shared" si="45"/>
        <v>3.2687999999999993</v>
      </c>
    </row>
    <row r="953" spans="1:20" x14ac:dyDescent="0.3">
      <c r="A953" s="1">
        <v>45536</v>
      </c>
      <c r="B953" s="1" t="str">
        <f t="shared" si="43"/>
        <v>Reliance_Bangalore_Product_13_45536</v>
      </c>
      <c r="C953" s="2" t="s">
        <v>93</v>
      </c>
      <c r="D953" s="2" t="s">
        <v>94</v>
      </c>
      <c r="E953" s="2" t="s">
        <v>34</v>
      </c>
      <c r="F953" s="2" t="s">
        <v>51</v>
      </c>
      <c r="G953" s="2" t="s">
        <v>79</v>
      </c>
      <c r="H953" s="2" t="s">
        <v>67</v>
      </c>
      <c r="I953" s="2" t="s">
        <v>95</v>
      </c>
      <c r="J953" t="s">
        <v>31</v>
      </c>
      <c r="K953">
        <v>1</v>
      </c>
      <c r="L953" s="3">
        <v>0.89</v>
      </c>
      <c r="M953" s="3">
        <v>0.78320000000000012</v>
      </c>
      <c r="N953" s="3">
        <f t="shared" ca="1" si="46"/>
        <v>1.0324</v>
      </c>
      <c r="O953" s="3">
        <f t="shared" si="44"/>
        <v>0.89</v>
      </c>
      <c r="P953">
        <v>748.8</v>
      </c>
      <c r="Q953">
        <v>378</v>
      </c>
      <c r="R953">
        <v>1</v>
      </c>
      <c r="S953">
        <v>113</v>
      </c>
      <c r="T953">
        <f t="shared" si="45"/>
        <v>0</v>
      </c>
    </row>
    <row r="954" spans="1:20" x14ac:dyDescent="0.3">
      <c r="A954" s="1">
        <v>45536</v>
      </c>
      <c r="B954" s="1" t="str">
        <f t="shared" si="43"/>
        <v>Zepto_Bhiwandi_Product_10_45536</v>
      </c>
      <c r="C954" s="2" t="s">
        <v>74</v>
      </c>
      <c r="D954" s="2" t="s">
        <v>75</v>
      </c>
      <c r="E954" s="2" t="s">
        <v>34</v>
      </c>
      <c r="F954" s="2" t="s">
        <v>46</v>
      </c>
      <c r="G954" s="2" t="s">
        <v>66</v>
      </c>
      <c r="H954" s="2" t="s">
        <v>67</v>
      </c>
      <c r="I954" s="2" t="s">
        <v>76</v>
      </c>
      <c r="J954" t="s">
        <v>31</v>
      </c>
      <c r="K954">
        <v>5</v>
      </c>
      <c r="L954" s="3">
        <v>5.15</v>
      </c>
      <c r="M954" s="3">
        <v>4.3775000000000004</v>
      </c>
      <c r="N954" s="3">
        <f t="shared" ca="1" si="46"/>
        <v>5.665</v>
      </c>
      <c r="O954" s="3">
        <f t="shared" si="44"/>
        <v>5.15</v>
      </c>
      <c r="P954">
        <v>84</v>
      </c>
      <c r="Q954">
        <v>313</v>
      </c>
      <c r="R954">
        <v>0</v>
      </c>
      <c r="S954">
        <v>106</v>
      </c>
      <c r="T954">
        <f t="shared" si="45"/>
        <v>-6.6479999999999997</v>
      </c>
    </row>
    <row r="955" spans="1:20" x14ac:dyDescent="0.3">
      <c r="A955" s="1">
        <v>45536</v>
      </c>
      <c r="B955" s="1" t="str">
        <f t="shared" si="43"/>
        <v>Grofers_Hyderabad_Product_21_45536</v>
      </c>
      <c r="C955" s="2" t="s">
        <v>135</v>
      </c>
      <c r="D955" s="2" t="s">
        <v>136</v>
      </c>
      <c r="E955" s="2" t="s">
        <v>34</v>
      </c>
      <c r="F955" s="2" t="s">
        <v>114</v>
      </c>
      <c r="G955" s="2" t="s">
        <v>137</v>
      </c>
      <c r="H955" s="2" t="s">
        <v>133</v>
      </c>
      <c r="I955" s="2" t="s">
        <v>134</v>
      </c>
      <c r="J955" t="s">
        <v>31</v>
      </c>
      <c r="K955">
        <v>10</v>
      </c>
      <c r="L955" s="3">
        <v>10.199999999999999</v>
      </c>
      <c r="M955" s="3">
        <v>9.7919999999999998</v>
      </c>
      <c r="N955" s="3">
        <f t="shared" ca="1" si="46"/>
        <v>10.71</v>
      </c>
      <c r="O955" s="3">
        <f t="shared" si="44"/>
        <v>10.199999999999999</v>
      </c>
      <c r="P955">
        <v>48</v>
      </c>
      <c r="Q955">
        <v>179</v>
      </c>
      <c r="R955">
        <v>0</v>
      </c>
      <c r="S955">
        <v>115</v>
      </c>
      <c r="T955">
        <f t="shared" si="45"/>
        <v>-0.36</v>
      </c>
    </row>
    <row r="956" spans="1:20" x14ac:dyDescent="0.3">
      <c r="A956" s="1">
        <v>45536</v>
      </c>
      <c r="B956" s="1" t="str">
        <f t="shared" si="43"/>
        <v>Maharashtra_MH-Aggregated_Product_3_45536</v>
      </c>
      <c r="C956" s="2" t="s">
        <v>39</v>
      </c>
      <c r="D956" s="2" t="s">
        <v>40</v>
      </c>
      <c r="E956" s="2" t="s">
        <v>26</v>
      </c>
      <c r="F956" s="2" t="s">
        <v>41</v>
      </c>
      <c r="G956" s="2" t="s">
        <v>42</v>
      </c>
      <c r="H956" s="2" t="s">
        <v>37</v>
      </c>
      <c r="I956" s="2" t="s">
        <v>43</v>
      </c>
      <c r="J956" t="s">
        <v>31</v>
      </c>
      <c r="K956">
        <v>16</v>
      </c>
      <c r="L956" s="3">
        <v>18.72</v>
      </c>
      <c r="M956" s="3">
        <v>16.660799999999998</v>
      </c>
      <c r="N956" s="3">
        <f t="shared" ca="1" si="46"/>
        <v>21.153599999999997</v>
      </c>
      <c r="O956" s="3">
        <f t="shared" si="44"/>
        <v>18.72</v>
      </c>
      <c r="P956">
        <v>383.52</v>
      </c>
      <c r="Q956">
        <v>392</v>
      </c>
      <c r="R956">
        <v>0</v>
      </c>
      <c r="S956">
        <v>127</v>
      </c>
      <c r="T956">
        <f t="shared" si="45"/>
        <v>3.3552</v>
      </c>
    </row>
    <row r="957" spans="1:20" x14ac:dyDescent="0.3">
      <c r="A957" s="1">
        <v>45536</v>
      </c>
      <c r="B957" s="1" t="str">
        <f t="shared" si="43"/>
        <v>Maharashtra_MH-Aggregated_Product_22_45536</v>
      </c>
      <c r="C957" s="2" t="s">
        <v>138</v>
      </c>
      <c r="D957" s="2" t="s">
        <v>139</v>
      </c>
      <c r="E957" s="2" t="s">
        <v>26</v>
      </c>
      <c r="F957" s="2" t="s">
        <v>41</v>
      </c>
      <c r="G957" s="2" t="s">
        <v>42</v>
      </c>
      <c r="H957" s="2" t="s">
        <v>140</v>
      </c>
      <c r="I957" s="2" t="s">
        <v>141</v>
      </c>
      <c r="J957" t="s">
        <v>31</v>
      </c>
      <c r="K957">
        <v>4</v>
      </c>
      <c r="L957" s="3">
        <v>3.88</v>
      </c>
      <c r="M957" s="3">
        <v>3.6859999999999995</v>
      </c>
      <c r="N957" s="3">
        <f t="shared" ca="1" si="46"/>
        <v>4.3068</v>
      </c>
      <c r="O957" s="3">
        <f t="shared" si="44"/>
        <v>3.88</v>
      </c>
      <c r="P957">
        <v>383.52</v>
      </c>
      <c r="Q957">
        <v>166</v>
      </c>
      <c r="R957">
        <v>0</v>
      </c>
      <c r="S957">
        <v>126</v>
      </c>
      <c r="T957">
        <f t="shared" si="45"/>
        <v>0</v>
      </c>
    </row>
    <row r="958" spans="1:20" x14ac:dyDescent="0.3">
      <c r="A958" s="1">
        <v>45536</v>
      </c>
      <c r="B958" s="1" t="str">
        <f t="shared" si="43"/>
        <v>Reliance_Bangalore_Product_14_45536</v>
      </c>
      <c r="C958" s="2" t="s">
        <v>155</v>
      </c>
      <c r="D958" s="2" t="s">
        <v>156</v>
      </c>
      <c r="E958" s="2" t="s">
        <v>34</v>
      </c>
      <c r="F958" s="2" t="s">
        <v>51</v>
      </c>
      <c r="G958" s="2" t="s">
        <v>79</v>
      </c>
      <c r="H958" s="2" t="s">
        <v>47</v>
      </c>
      <c r="I958" s="2" t="s">
        <v>98</v>
      </c>
      <c r="J958" t="s">
        <v>31</v>
      </c>
      <c r="K958">
        <v>8</v>
      </c>
      <c r="L958" s="3">
        <v>10.32</v>
      </c>
      <c r="M958" s="3">
        <v>10.010400000000001</v>
      </c>
      <c r="N958" s="3">
        <f t="shared" ca="1" si="46"/>
        <v>11.868</v>
      </c>
      <c r="O958" s="3">
        <f t="shared" si="44"/>
        <v>10.32</v>
      </c>
      <c r="P958">
        <v>672</v>
      </c>
      <c r="Q958">
        <v>329</v>
      </c>
      <c r="R958">
        <v>3</v>
      </c>
      <c r="S958">
        <v>97</v>
      </c>
      <c r="T958">
        <f t="shared" si="45"/>
        <v>2.8848000000000003</v>
      </c>
    </row>
    <row r="959" spans="1:20" x14ac:dyDescent="0.3">
      <c r="A959" s="1">
        <v>45536</v>
      </c>
      <c r="B959" s="1" t="str">
        <f t="shared" si="43"/>
        <v>Jharkhand_JH-Aggregated_Product_1_45536</v>
      </c>
      <c r="C959" s="2" t="s">
        <v>24</v>
      </c>
      <c r="D959" s="2" t="s">
        <v>25</v>
      </c>
      <c r="E959" s="2" t="s">
        <v>26</v>
      </c>
      <c r="F959" s="2" t="s">
        <v>27</v>
      </c>
      <c r="G959" s="2" t="s">
        <v>28</v>
      </c>
      <c r="H959" s="2" t="s">
        <v>29</v>
      </c>
      <c r="I959" s="2" t="s">
        <v>30</v>
      </c>
      <c r="J959" t="s">
        <v>31</v>
      </c>
      <c r="K959">
        <v>2</v>
      </c>
      <c r="L959" s="3">
        <v>1.84</v>
      </c>
      <c r="M959" s="3">
        <v>1.7296</v>
      </c>
      <c r="N959" s="3">
        <f t="shared" ca="1" si="46"/>
        <v>2.024</v>
      </c>
      <c r="O959" s="3">
        <f t="shared" si="44"/>
        <v>1.84</v>
      </c>
      <c r="P959">
        <v>672</v>
      </c>
      <c r="Q959">
        <v>447</v>
      </c>
      <c r="R959">
        <v>5</v>
      </c>
      <c r="S959">
        <v>111</v>
      </c>
      <c r="T959">
        <f t="shared" si="45"/>
        <v>0</v>
      </c>
    </row>
    <row r="960" spans="1:20" x14ac:dyDescent="0.3">
      <c r="A960" s="1">
        <v>45536</v>
      </c>
      <c r="B960" s="1" t="str">
        <f t="shared" si="43"/>
        <v>Grofers_Ahmedabad_Product_9_45536</v>
      </c>
      <c r="C960" s="2" t="s">
        <v>112</v>
      </c>
      <c r="D960" s="2" t="s">
        <v>113</v>
      </c>
      <c r="E960" s="2" t="s">
        <v>34</v>
      </c>
      <c r="F960" s="2" t="s">
        <v>114</v>
      </c>
      <c r="G960" s="2" t="s">
        <v>52</v>
      </c>
      <c r="H960" s="2" t="s">
        <v>37</v>
      </c>
      <c r="I960" s="2" t="s">
        <v>71</v>
      </c>
      <c r="J960" t="s">
        <v>31</v>
      </c>
      <c r="K960">
        <v>36</v>
      </c>
      <c r="L960" s="3">
        <v>42.12</v>
      </c>
      <c r="M960" s="3">
        <v>39.171599999999998</v>
      </c>
      <c r="N960" s="3">
        <f t="shared" ca="1" si="46"/>
        <v>44.225999999999992</v>
      </c>
      <c r="O960" s="3">
        <f t="shared" si="44"/>
        <v>42.12</v>
      </c>
      <c r="P960">
        <v>421.92</v>
      </c>
      <c r="Q960">
        <v>448</v>
      </c>
      <c r="R960">
        <v>5</v>
      </c>
      <c r="S960">
        <v>119</v>
      </c>
      <c r="T960">
        <f t="shared" si="45"/>
        <v>-2.5007999999999999</v>
      </c>
    </row>
    <row r="961" spans="1:20" x14ac:dyDescent="0.3">
      <c r="A961" s="1">
        <v>45536</v>
      </c>
      <c r="B961" s="1" t="str">
        <f t="shared" si="43"/>
        <v>Zepto_Bhiwandi_Product_24_45536</v>
      </c>
      <c r="C961" s="2" t="s">
        <v>163</v>
      </c>
      <c r="D961" s="2" t="s">
        <v>164</v>
      </c>
      <c r="E961" s="2" t="s">
        <v>34</v>
      </c>
      <c r="F961" s="2" t="s">
        <v>46</v>
      </c>
      <c r="G961" s="2" t="s">
        <v>66</v>
      </c>
      <c r="H961" s="2" t="s">
        <v>47</v>
      </c>
      <c r="I961" s="2" t="s">
        <v>165</v>
      </c>
      <c r="J961" t="s">
        <v>31</v>
      </c>
      <c r="K961">
        <v>7</v>
      </c>
      <c r="L961" s="3">
        <v>7.28</v>
      </c>
      <c r="M961" s="3">
        <v>7.28</v>
      </c>
      <c r="N961" s="3">
        <f t="shared" ca="1" si="46"/>
        <v>7.716800000000001</v>
      </c>
      <c r="O961" s="3">
        <f t="shared" si="44"/>
        <v>7.28</v>
      </c>
      <c r="P961">
        <v>421.92</v>
      </c>
      <c r="Q961">
        <v>303</v>
      </c>
      <c r="R961">
        <v>9</v>
      </c>
      <c r="S961">
        <v>120</v>
      </c>
      <c r="T961">
        <f t="shared" si="45"/>
        <v>0</v>
      </c>
    </row>
    <row r="962" spans="1:20" x14ac:dyDescent="0.3">
      <c r="A962" s="1">
        <v>45536</v>
      </c>
      <c r="B962" s="1" t="str">
        <f t="shared" si="43"/>
        <v>Reliance_Bangalore_Product_3_45536</v>
      </c>
      <c r="C962" s="2" t="s">
        <v>80</v>
      </c>
      <c r="D962" s="2" t="s">
        <v>81</v>
      </c>
      <c r="E962" s="2" t="s">
        <v>34</v>
      </c>
      <c r="F962" s="2" t="s">
        <v>51</v>
      </c>
      <c r="G962" s="2" t="s">
        <v>79</v>
      </c>
      <c r="H962" s="2" t="s">
        <v>37</v>
      </c>
      <c r="I962" s="2" t="s">
        <v>43</v>
      </c>
      <c r="J962" t="s">
        <v>31</v>
      </c>
      <c r="K962">
        <v>12</v>
      </c>
      <c r="L962" s="3">
        <v>11.28</v>
      </c>
      <c r="M962" s="3">
        <v>10.941599999999999</v>
      </c>
      <c r="N962" s="3">
        <f t="shared" ca="1" si="46"/>
        <v>13.1976</v>
      </c>
      <c r="O962" s="3">
        <f t="shared" si="44"/>
        <v>11.28</v>
      </c>
      <c r="P962">
        <v>748.8</v>
      </c>
      <c r="Q962">
        <v>201</v>
      </c>
      <c r="R962">
        <v>7</v>
      </c>
      <c r="S962">
        <v>127</v>
      </c>
      <c r="T962">
        <f t="shared" si="45"/>
        <v>3.2687999999999993</v>
      </c>
    </row>
    <row r="963" spans="1:20" x14ac:dyDescent="0.3">
      <c r="A963" s="1">
        <v>45536</v>
      </c>
      <c r="B963" s="1" t="str">
        <f t="shared" ref="B963:B1026" si="47">C963&amp;"_"&amp;A963</f>
        <v>Maharashtra_MH-Aggregated_Product_9_45536</v>
      </c>
      <c r="C963" s="2" t="s">
        <v>69</v>
      </c>
      <c r="D963" s="2" t="s">
        <v>70</v>
      </c>
      <c r="E963" s="2" t="s">
        <v>26</v>
      </c>
      <c r="F963" s="2" t="s">
        <v>41</v>
      </c>
      <c r="G963" s="2" t="s">
        <v>42</v>
      </c>
      <c r="H963" s="2" t="s">
        <v>37</v>
      </c>
      <c r="I963" s="2" t="s">
        <v>71</v>
      </c>
      <c r="J963" t="s">
        <v>31</v>
      </c>
      <c r="K963">
        <v>3</v>
      </c>
      <c r="L963" s="3">
        <v>2.5499999999999998</v>
      </c>
      <c r="M963" s="3">
        <v>2.4989999999999997</v>
      </c>
      <c r="N963" s="3">
        <f t="shared" ca="1" si="46"/>
        <v>2.7284999999999995</v>
      </c>
      <c r="O963" s="3">
        <f t="shared" ref="O963:O1026" si="48">L963</f>
        <v>2.5499999999999998</v>
      </c>
      <c r="P963">
        <v>748.8</v>
      </c>
      <c r="Q963">
        <v>156</v>
      </c>
      <c r="R963">
        <v>2</v>
      </c>
      <c r="S963">
        <v>119</v>
      </c>
      <c r="T963">
        <f t="shared" si="45"/>
        <v>0</v>
      </c>
    </row>
    <row r="964" spans="1:20" x14ac:dyDescent="0.3">
      <c r="A964" s="1">
        <v>45536</v>
      </c>
      <c r="B964" s="1" t="str">
        <f t="shared" si="47"/>
        <v>Reliance_Ahmedabad_Product_9_45536</v>
      </c>
      <c r="C964" s="2" t="s">
        <v>151</v>
      </c>
      <c r="D964" s="2" t="s">
        <v>152</v>
      </c>
      <c r="E964" s="2" t="s">
        <v>34</v>
      </c>
      <c r="F964" s="2" t="s">
        <v>51</v>
      </c>
      <c r="G964" s="2" t="s">
        <v>52</v>
      </c>
      <c r="H964" s="2" t="s">
        <v>37</v>
      </c>
      <c r="I964" s="2" t="s">
        <v>71</v>
      </c>
      <c r="J964" t="s">
        <v>31</v>
      </c>
      <c r="K964">
        <v>22</v>
      </c>
      <c r="L964" s="3">
        <v>20.240000000000002</v>
      </c>
      <c r="M964" s="3">
        <v>18.8232</v>
      </c>
      <c r="N964" s="3">
        <f t="shared" ca="1" si="46"/>
        <v>23.883200000000002</v>
      </c>
      <c r="O964" s="3">
        <f t="shared" si="48"/>
        <v>20.240000000000002</v>
      </c>
      <c r="P964">
        <v>84</v>
      </c>
      <c r="Q964">
        <v>364</v>
      </c>
      <c r="R964">
        <v>5</v>
      </c>
      <c r="S964">
        <v>119</v>
      </c>
      <c r="T964">
        <f t="shared" ref="T964:T1027" si="49">(P964-P963)/100</f>
        <v>-6.6479999999999997</v>
      </c>
    </row>
    <row r="965" spans="1:20" x14ac:dyDescent="0.3">
      <c r="A965" s="1">
        <v>45536</v>
      </c>
      <c r="B965" s="1" t="str">
        <f t="shared" si="47"/>
        <v>Grofers_Mundka_Product_21_45536</v>
      </c>
      <c r="C965" s="2" t="s">
        <v>131</v>
      </c>
      <c r="D965" s="2" t="s">
        <v>132</v>
      </c>
      <c r="E965" s="2" t="s">
        <v>34</v>
      </c>
      <c r="F965" s="2" t="s">
        <v>114</v>
      </c>
      <c r="G965" s="2" t="s">
        <v>36</v>
      </c>
      <c r="H965" s="2" t="s">
        <v>133</v>
      </c>
      <c r="I965" s="2" t="s">
        <v>134</v>
      </c>
      <c r="J965" t="s">
        <v>31</v>
      </c>
      <c r="K965">
        <v>47</v>
      </c>
      <c r="L965" s="3">
        <v>39.01</v>
      </c>
      <c r="M965" s="3">
        <v>35.889199999999995</v>
      </c>
      <c r="N965" s="3">
        <f t="shared" ca="1" si="46"/>
        <v>43.301099999999998</v>
      </c>
      <c r="O965" s="3">
        <f t="shared" si="48"/>
        <v>39.01</v>
      </c>
      <c r="P965">
        <v>48</v>
      </c>
      <c r="Q965">
        <v>357</v>
      </c>
      <c r="R965">
        <v>0</v>
      </c>
      <c r="S965">
        <v>115</v>
      </c>
      <c r="T965">
        <f t="shared" si="49"/>
        <v>-0.36</v>
      </c>
    </row>
    <row r="966" spans="1:20" x14ac:dyDescent="0.3">
      <c r="A966" s="1">
        <v>45536</v>
      </c>
      <c r="B966" s="1" t="str">
        <f t="shared" si="47"/>
        <v>Reliance_Ahmedabad_Product_18_45536</v>
      </c>
      <c r="C966" s="2" t="s">
        <v>121</v>
      </c>
      <c r="D966" s="2" t="s">
        <v>122</v>
      </c>
      <c r="E966" s="2" t="s">
        <v>34</v>
      </c>
      <c r="F966" s="2" t="s">
        <v>51</v>
      </c>
      <c r="G966" s="2" t="s">
        <v>52</v>
      </c>
      <c r="H966" s="2" t="s">
        <v>29</v>
      </c>
      <c r="I966" s="2" t="s">
        <v>123</v>
      </c>
      <c r="J966" t="s">
        <v>31</v>
      </c>
      <c r="K966">
        <v>36</v>
      </c>
      <c r="L966" s="3">
        <v>34.92</v>
      </c>
      <c r="M966" s="3">
        <v>34.221600000000002</v>
      </c>
      <c r="N966" s="3">
        <f t="shared" ca="1" si="46"/>
        <v>37.364400000000003</v>
      </c>
      <c r="O966" s="3">
        <f t="shared" si="48"/>
        <v>34.92</v>
      </c>
      <c r="P966">
        <v>383.52</v>
      </c>
      <c r="Q966">
        <v>471</v>
      </c>
      <c r="R966">
        <v>0</v>
      </c>
      <c r="S966">
        <v>129</v>
      </c>
      <c r="T966">
        <f t="shared" si="49"/>
        <v>3.3552</v>
      </c>
    </row>
    <row r="967" spans="1:20" x14ac:dyDescent="0.3">
      <c r="A967" s="1">
        <v>45536</v>
      </c>
      <c r="B967" s="1" t="str">
        <f t="shared" si="47"/>
        <v>Zepto_Mundka_Product_4_45536</v>
      </c>
      <c r="C967" s="2" t="s">
        <v>44</v>
      </c>
      <c r="D967" s="2" t="s">
        <v>45</v>
      </c>
      <c r="E967" s="2" t="s">
        <v>34</v>
      </c>
      <c r="F967" s="2" t="s">
        <v>46</v>
      </c>
      <c r="G967" s="2" t="s">
        <v>36</v>
      </c>
      <c r="H967" s="2" t="s">
        <v>47</v>
      </c>
      <c r="I967" s="2" t="s">
        <v>48</v>
      </c>
      <c r="J967" t="s">
        <v>31</v>
      </c>
      <c r="K967">
        <v>7</v>
      </c>
      <c r="L967" s="3">
        <v>7.42</v>
      </c>
      <c r="M967" s="3">
        <v>6.8263999999999996</v>
      </c>
      <c r="N967" s="3">
        <f t="shared" ca="1" si="46"/>
        <v>8.7555999999999994</v>
      </c>
      <c r="O967" s="3">
        <f t="shared" si="48"/>
        <v>7.42</v>
      </c>
      <c r="P967">
        <v>383.52</v>
      </c>
      <c r="Q967">
        <v>238</v>
      </c>
      <c r="R967">
        <v>9</v>
      </c>
      <c r="S967">
        <v>142</v>
      </c>
      <c r="T967">
        <f t="shared" si="49"/>
        <v>0</v>
      </c>
    </row>
    <row r="968" spans="1:20" x14ac:dyDescent="0.3">
      <c r="A968" s="1">
        <v>45536</v>
      </c>
      <c r="B968" s="1" t="str">
        <f t="shared" si="47"/>
        <v>Reliance_Mundka_Product_7_45536</v>
      </c>
      <c r="C968" s="2" t="s">
        <v>58</v>
      </c>
      <c r="D968" s="2" t="s">
        <v>59</v>
      </c>
      <c r="E968" s="2" t="s">
        <v>34</v>
      </c>
      <c r="F968" s="2" t="s">
        <v>51</v>
      </c>
      <c r="G968" s="2" t="s">
        <v>36</v>
      </c>
      <c r="H968" s="2" t="s">
        <v>37</v>
      </c>
      <c r="I968" s="2" t="s">
        <v>60</v>
      </c>
      <c r="J968" t="s">
        <v>31</v>
      </c>
      <c r="K968">
        <v>14</v>
      </c>
      <c r="L968" s="3">
        <v>12.46</v>
      </c>
      <c r="M968" s="3">
        <v>9.968</v>
      </c>
      <c r="N968" s="3">
        <f t="shared" ca="1" si="46"/>
        <v>14.827400000000001</v>
      </c>
      <c r="O968" s="3">
        <f t="shared" si="48"/>
        <v>12.46</v>
      </c>
      <c r="P968">
        <v>672</v>
      </c>
      <c r="Q968">
        <v>335</v>
      </c>
      <c r="R968">
        <v>0</v>
      </c>
      <c r="S968">
        <v>117</v>
      </c>
      <c r="T968">
        <f t="shared" si="49"/>
        <v>2.8848000000000003</v>
      </c>
    </row>
    <row r="969" spans="1:20" x14ac:dyDescent="0.3">
      <c r="A969" s="1">
        <v>45536</v>
      </c>
      <c r="B969" s="1" t="str">
        <f t="shared" si="47"/>
        <v>Swiggy_Kolkata CFA_Product_3_45536</v>
      </c>
      <c r="C969" s="2" t="s">
        <v>61</v>
      </c>
      <c r="D969" s="2" t="s">
        <v>62</v>
      </c>
      <c r="E969" s="2" t="s">
        <v>34</v>
      </c>
      <c r="F969" s="2" t="s">
        <v>35</v>
      </c>
      <c r="G969" s="2" t="s">
        <v>63</v>
      </c>
      <c r="H969" s="2" t="s">
        <v>37</v>
      </c>
      <c r="I969" s="2" t="s">
        <v>43</v>
      </c>
      <c r="J969" t="s">
        <v>31</v>
      </c>
      <c r="K969">
        <v>3</v>
      </c>
      <c r="L969" s="3">
        <v>2.82</v>
      </c>
      <c r="M969" s="3">
        <v>2.5097999999999998</v>
      </c>
      <c r="N969" s="3">
        <f t="shared" ca="1" si="46"/>
        <v>2.9891999999999994</v>
      </c>
      <c r="O969" s="3">
        <f t="shared" si="48"/>
        <v>2.82</v>
      </c>
      <c r="P969">
        <v>672</v>
      </c>
      <c r="Q969">
        <v>331</v>
      </c>
      <c r="R969">
        <v>0</v>
      </c>
      <c r="S969">
        <v>127</v>
      </c>
      <c r="T969">
        <f t="shared" si="49"/>
        <v>0</v>
      </c>
    </row>
    <row r="970" spans="1:20" x14ac:dyDescent="0.3">
      <c r="A970" s="1">
        <v>45536</v>
      </c>
      <c r="B970" s="1" t="str">
        <f t="shared" si="47"/>
        <v>Reliance_Bhiwandi_Product_11_45536</v>
      </c>
      <c r="C970" s="2" t="s">
        <v>87</v>
      </c>
      <c r="D970" s="2" t="s">
        <v>88</v>
      </c>
      <c r="E970" s="2" t="s">
        <v>34</v>
      </c>
      <c r="F970" s="2" t="s">
        <v>51</v>
      </c>
      <c r="G970" s="2" t="s">
        <v>66</v>
      </c>
      <c r="H970" s="2" t="s">
        <v>67</v>
      </c>
      <c r="I970" s="2" t="s">
        <v>89</v>
      </c>
      <c r="J970" t="s">
        <v>31</v>
      </c>
      <c r="K970">
        <v>80</v>
      </c>
      <c r="L970" s="3">
        <v>80</v>
      </c>
      <c r="M970" s="3">
        <v>65.599999999999994</v>
      </c>
      <c r="N970" s="3">
        <f t="shared" ca="1" si="46"/>
        <v>88</v>
      </c>
      <c r="O970" s="3">
        <f t="shared" si="48"/>
        <v>80</v>
      </c>
      <c r="P970">
        <v>421.92</v>
      </c>
      <c r="Q970">
        <v>100</v>
      </c>
      <c r="R970">
        <v>0</v>
      </c>
      <c r="S970">
        <v>131</v>
      </c>
      <c r="T970">
        <f t="shared" si="49"/>
        <v>-2.5007999999999999</v>
      </c>
    </row>
    <row r="971" spans="1:20" x14ac:dyDescent="0.3">
      <c r="A971" s="1">
        <v>45536</v>
      </c>
      <c r="B971" s="1" t="str">
        <f t="shared" si="47"/>
        <v>Swiggy_Kolkata CFA_Product_11_45536</v>
      </c>
      <c r="C971" s="2" t="s">
        <v>119</v>
      </c>
      <c r="D971" s="2" t="s">
        <v>120</v>
      </c>
      <c r="E971" s="2" t="s">
        <v>34</v>
      </c>
      <c r="F971" s="2" t="s">
        <v>35</v>
      </c>
      <c r="G971" s="2" t="s">
        <v>63</v>
      </c>
      <c r="H971" s="2" t="s">
        <v>67</v>
      </c>
      <c r="I971" s="2" t="s">
        <v>89</v>
      </c>
      <c r="J971" t="s">
        <v>31</v>
      </c>
      <c r="K971">
        <v>14</v>
      </c>
      <c r="L971" s="3">
        <v>13.719999999999999</v>
      </c>
      <c r="M971" s="3">
        <v>12.210799999999999</v>
      </c>
      <c r="N971" s="3">
        <f t="shared" ca="1" si="46"/>
        <v>15.503599999999999</v>
      </c>
      <c r="O971" s="3">
        <f t="shared" si="48"/>
        <v>13.719999999999999</v>
      </c>
      <c r="P971">
        <v>421.92</v>
      </c>
      <c r="Q971">
        <v>439</v>
      </c>
      <c r="R971">
        <v>0</v>
      </c>
      <c r="S971">
        <v>131</v>
      </c>
      <c r="T971">
        <f t="shared" si="49"/>
        <v>0</v>
      </c>
    </row>
    <row r="972" spans="1:20" x14ac:dyDescent="0.3">
      <c r="A972" s="1">
        <v>45536</v>
      </c>
      <c r="B972" s="1" t="str">
        <f t="shared" si="47"/>
        <v>Grofers_Ahmedabad_Product_14_45536</v>
      </c>
      <c r="C972" s="2" t="s">
        <v>159</v>
      </c>
      <c r="D972" s="2" t="s">
        <v>160</v>
      </c>
      <c r="E972" s="2" t="s">
        <v>34</v>
      </c>
      <c r="F972" s="2" t="s">
        <v>114</v>
      </c>
      <c r="G972" s="2" t="s">
        <v>52</v>
      </c>
      <c r="H972" s="2" t="s">
        <v>47</v>
      </c>
      <c r="I972" s="2" t="s">
        <v>98</v>
      </c>
      <c r="J972" t="s">
        <v>31</v>
      </c>
      <c r="K972">
        <v>26</v>
      </c>
      <c r="L972" s="3">
        <v>31.2</v>
      </c>
      <c r="M972" s="3">
        <v>25.271999999999998</v>
      </c>
      <c r="N972" s="3">
        <f t="shared" ca="1" si="46"/>
        <v>35.567999999999998</v>
      </c>
      <c r="O972" s="3">
        <f t="shared" si="48"/>
        <v>31.2</v>
      </c>
      <c r="P972">
        <v>748.8</v>
      </c>
      <c r="Q972">
        <v>495</v>
      </c>
      <c r="R972">
        <v>0</v>
      </c>
      <c r="S972">
        <v>97</v>
      </c>
      <c r="T972">
        <f t="shared" si="49"/>
        <v>3.2687999999999993</v>
      </c>
    </row>
    <row r="973" spans="1:20" x14ac:dyDescent="0.3">
      <c r="A973" s="1">
        <v>45536</v>
      </c>
      <c r="B973" s="1" t="str">
        <f t="shared" si="47"/>
        <v>Zepto_Mundka_Product_3_45536</v>
      </c>
      <c r="C973" s="2" t="s">
        <v>72</v>
      </c>
      <c r="D973" s="2" t="s">
        <v>73</v>
      </c>
      <c r="E973" s="2" t="s">
        <v>34</v>
      </c>
      <c r="F973" s="2" t="s">
        <v>46</v>
      </c>
      <c r="G973" s="2" t="s">
        <v>36</v>
      </c>
      <c r="H973" s="2" t="s">
        <v>37</v>
      </c>
      <c r="I973" s="2" t="s">
        <v>43</v>
      </c>
      <c r="J973" t="s">
        <v>31</v>
      </c>
      <c r="K973">
        <v>5</v>
      </c>
      <c r="L973" s="3">
        <v>4.3499999999999996</v>
      </c>
      <c r="M973" s="3">
        <v>3.8714999999999997</v>
      </c>
      <c r="N973" s="3">
        <f t="shared" ca="1" si="46"/>
        <v>4.8285</v>
      </c>
      <c r="O973" s="3">
        <f t="shared" si="48"/>
        <v>4.3499999999999996</v>
      </c>
      <c r="P973">
        <v>748.8</v>
      </c>
      <c r="Q973">
        <v>151</v>
      </c>
      <c r="R973">
        <v>5</v>
      </c>
      <c r="S973">
        <v>127</v>
      </c>
      <c r="T973">
        <f t="shared" si="49"/>
        <v>0</v>
      </c>
    </row>
    <row r="974" spans="1:20" x14ac:dyDescent="0.3">
      <c r="A974" s="1">
        <v>45536</v>
      </c>
      <c r="B974" s="1" t="str">
        <f t="shared" si="47"/>
        <v>Reliance_Bhiwandi_Product_10_45536</v>
      </c>
      <c r="C974" s="2" t="s">
        <v>85</v>
      </c>
      <c r="D974" s="2" t="s">
        <v>86</v>
      </c>
      <c r="E974" s="2" t="s">
        <v>34</v>
      </c>
      <c r="F974" s="2" t="s">
        <v>51</v>
      </c>
      <c r="G974" s="2" t="s">
        <v>66</v>
      </c>
      <c r="H974" s="2" t="s">
        <v>67</v>
      </c>
      <c r="I974" s="2" t="s">
        <v>76</v>
      </c>
      <c r="J974" t="s">
        <v>31</v>
      </c>
      <c r="K974">
        <v>47</v>
      </c>
      <c r="L974" s="3">
        <v>58.75</v>
      </c>
      <c r="M974" s="3">
        <v>47</v>
      </c>
      <c r="N974" s="3">
        <f t="shared" ca="1" si="46"/>
        <v>67.5625</v>
      </c>
      <c r="O974" s="3">
        <f t="shared" si="48"/>
        <v>58.75</v>
      </c>
      <c r="P974">
        <v>84</v>
      </c>
      <c r="Q974">
        <v>394</v>
      </c>
      <c r="R974">
        <v>4</v>
      </c>
      <c r="S974">
        <v>106</v>
      </c>
      <c r="T974">
        <f t="shared" si="49"/>
        <v>-6.6479999999999997</v>
      </c>
    </row>
    <row r="975" spans="1:20" x14ac:dyDescent="0.3">
      <c r="A975" s="1">
        <v>45536</v>
      </c>
      <c r="B975" s="1" t="str">
        <f t="shared" si="47"/>
        <v>Reliance_Mundka_Product_6_45536</v>
      </c>
      <c r="C975" s="2" t="s">
        <v>55</v>
      </c>
      <c r="D975" s="2" t="s">
        <v>56</v>
      </c>
      <c r="E975" s="2" t="s">
        <v>34</v>
      </c>
      <c r="F975" s="2" t="s">
        <v>51</v>
      </c>
      <c r="G975" s="2" t="s">
        <v>36</v>
      </c>
      <c r="H975" s="2" t="s">
        <v>37</v>
      </c>
      <c r="I975" s="2" t="s">
        <v>57</v>
      </c>
      <c r="J975" t="s">
        <v>31</v>
      </c>
      <c r="K975">
        <v>106</v>
      </c>
      <c r="L975" s="3">
        <v>125.08</v>
      </c>
      <c r="M975" s="3">
        <v>107.5688</v>
      </c>
      <c r="N975" s="3">
        <f t="shared" ca="1" si="46"/>
        <v>150.096</v>
      </c>
      <c r="O975" s="3">
        <f t="shared" si="48"/>
        <v>125.08</v>
      </c>
      <c r="P975">
        <v>48</v>
      </c>
      <c r="Q975">
        <v>459</v>
      </c>
      <c r="R975">
        <v>0</v>
      </c>
      <c r="S975">
        <v>135</v>
      </c>
      <c r="T975">
        <f t="shared" si="49"/>
        <v>-0.36</v>
      </c>
    </row>
    <row r="976" spans="1:20" x14ac:dyDescent="0.3">
      <c r="A976" s="1">
        <v>45536</v>
      </c>
      <c r="B976" s="1" t="str">
        <f t="shared" si="47"/>
        <v>Swiggy_Bangalore_Product_16_45536</v>
      </c>
      <c r="C976" s="2" t="s">
        <v>107</v>
      </c>
      <c r="D976" s="2" t="s">
        <v>108</v>
      </c>
      <c r="E976" s="2" t="s">
        <v>34</v>
      </c>
      <c r="F976" s="2" t="s">
        <v>35</v>
      </c>
      <c r="G976" s="2" t="s">
        <v>79</v>
      </c>
      <c r="H976" s="2" t="s">
        <v>47</v>
      </c>
      <c r="I976" s="2" t="s">
        <v>109</v>
      </c>
      <c r="J976" t="s">
        <v>31</v>
      </c>
      <c r="K976">
        <v>3</v>
      </c>
      <c r="L976" s="3">
        <v>3</v>
      </c>
      <c r="M976" s="3">
        <v>2.67</v>
      </c>
      <c r="N976" s="3">
        <f t="shared" ca="1" si="46"/>
        <v>3.36</v>
      </c>
      <c r="O976" s="3">
        <f t="shared" si="48"/>
        <v>3</v>
      </c>
      <c r="P976">
        <v>383.52</v>
      </c>
      <c r="Q976">
        <v>418</v>
      </c>
      <c r="R976">
        <v>3</v>
      </c>
      <c r="S976">
        <v>122</v>
      </c>
      <c r="T976">
        <f t="shared" si="49"/>
        <v>3.3552</v>
      </c>
    </row>
    <row r="977" spans="1:20" x14ac:dyDescent="0.3">
      <c r="A977" s="1">
        <v>45536</v>
      </c>
      <c r="B977" s="1" t="str">
        <f t="shared" si="47"/>
        <v>Swiggy_Mundka_Product_2_45536</v>
      </c>
      <c r="C977" s="2" t="s">
        <v>32</v>
      </c>
      <c r="D977" s="2" t="s">
        <v>33</v>
      </c>
      <c r="E977" s="2" t="s">
        <v>34</v>
      </c>
      <c r="F977" s="2" t="s">
        <v>35</v>
      </c>
      <c r="G977" s="2" t="s">
        <v>36</v>
      </c>
      <c r="H977" s="2" t="s">
        <v>37</v>
      </c>
      <c r="I977" s="2" t="s">
        <v>38</v>
      </c>
      <c r="J977" t="s">
        <v>31</v>
      </c>
      <c r="K977">
        <v>2</v>
      </c>
      <c r="L977" s="3">
        <v>2.1800000000000002</v>
      </c>
      <c r="M977" s="3">
        <v>2.1146000000000003</v>
      </c>
      <c r="N977" s="3">
        <f t="shared" ca="1" si="46"/>
        <v>2.3761999999999999</v>
      </c>
      <c r="O977" s="3">
        <f t="shared" si="48"/>
        <v>2.1800000000000002</v>
      </c>
      <c r="P977">
        <v>383.52</v>
      </c>
      <c r="Q977">
        <v>123</v>
      </c>
      <c r="R977">
        <v>0</v>
      </c>
      <c r="S977">
        <v>134</v>
      </c>
      <c r="T977">
        <f t="shared" si="49"/>
        <v>0</v>
      </c>
    </row>
    <row r="978" spans="1:20" x14ac:dyDescent="0.3">
      <c r="A978" s="1">
        <v>45536</v>
      </c>
      <c r="B978" s="1" t="str">
        <f t="shared" si="47"/>
        <v>Swiggy_Kolkata CFA_Product_20_45536</v>
      </c>
      <c r="C978" s="2" t="s">
        <v>128</v>
      </c>
      <c r="D978" s="2" t="s">
        <v>129</v>
      </c>
      <c r="E978" s="2" t="s">
        <v>34</v>
      </c>
      <c r="F978" s="2" t="s">
        <v>35</v>
      </c>
      <c r="G978" s="2" t="s">
        <v>63</v>
      </c>
      <c r="H978" s="2" t="s">
        <v>47</v>
      </c>
      <c r="I978" s="2" t="s">
        <v>130</v>
      </c>
      <c r="J978" t="s">
        <v>31</v>
      </c>
      <c r="K978">
        <v>2</v>
      </c>
      <c r="L978" s="3">
        <v>2.2000000000000002</v>
      </c>
      <c r="M978" s="3">
        <v>1.804</v>
      </c>
      <c r="N978" s="3">
        <f t="shared" ca="1" si="46"/>
        <v>2.5740000000000003</v>
      </c>
      <c r="O978" s="3">
        <f t="shared" si="48"/>
        <v>2.2000000000000002</v>
      </c>
      <c r="P978">
        <v>672</v>
      </c>
      <c r="Q978">
        <v>497</v>
      </c>
      <c r="R978">
        <v>14</v>
      </c>
      <c r="S978">
        <v>125</v>
      </c>
      <c r="T978">
        <f t="shared" si="49"/>
        <v>2.8848000000000003</v>
      </c>
    </row>
    <row r="979" spans="1:20" x14ac:dyDescent="0.3">
      <c r="A979" s="1">
        <v>45536</v>
      </c>
      <c r="B979" s="1" t="str">
        <f t="shared" si="47"/>
        <v>Grofers_Ahmedabad_Product_8_45536</v>
      </c>
      <c r="C979" s="2" t="s">
        <v>157</v>
      </c>
      <c r="D979" s="2" t="s">
        <v>158</v>
      </c>
      <c r="E979" s="2" t="s">
        <v>34</v>
      </c>
      <c r="F979" s="2" t="s">
        <v>114</v>
      </c>
      <c r="G979" s="2" t="s">
        <v>52</v>
      </c>
      <c r="H979" s="2" t="s">
        <v>67</v>
      </c>
      <c r="I979" s="2" t="s">
        <v>68</v>
      </c>
      <c r="J979" t="s">
        <v>31</v>
      </c>
      <c r="K979">
        <v>1</v>
      </c>
      <c r="L979" s="3">
        <v>1.1599999999999999</v>
      </c>
      <c r="M979" s="3">
        <v>1.0091999999999999</v>
      </c>
      <c r="N979" s="3">
        <f t="shared" ca="1" si="46"/>
        <v>1.2991999999999999</v>
      </c>
      <c r="O979" s="3">
        <f t="shared" si="48"/>
        <v>1.1599999999999999</v>
      </c>
      <c r="P979">
        <v>672</v>
      </c>
      <c r="Q979">
        <v>155</v>
      </c>
      <c r="R979">
        <v>0</v>
      </c>
      <c r="S979">
        <v>126</v>
      </c>
      <c r="T979">
        <f t="shared" si="49"/>
        <v>0</v>
      </c>
    </row>
    <row r="980" spans="1:20" x14ac:dyDescent="0.3">
      <c r="A980" s="1">
        <v>45536</v>
      </c>
      <c r="B980" s="1" t="str">
        <f t="shared" si="47"/>
        <v>Grofers_Kolkata CFA_Product_14_45536</v>
      </c>
      <c r="C980" s="2" t="s">
        <v>161</v>
      </c>
      <c r="D980" s="2" t="s">
        <v>162</v>
      </c>
      <c r="E980" s="2" t="s">
        <v>34</v>
      </c>
      <c r="F980" s="2" t="s">
        <v>114</v>
      </c>
      <c r="G980" s="2" t="s">
        <v>63</v>
      </c>
      <c r="H980" s="2" t="s">
        <v>47</v>
      </c>
      <c r="I980" s="2" t="s">
        <v>98</v>
      </c>
      <c r="J980" t="s">
        <v>31</v>
      </c>
      <c r="K980">
        <v>5</v>
      </c>
      <c r="L980" s="3">
        <v>5.3000000000000007</v>
      </c>
      <c r="M980" s="3">
        <v>4.24</v>
      </c>
      <c r="N980" s="3">
        <f t="shared" ca="1" si="46"/>
        <v>6.2540000000000013</v>
      </c>
      <c r="O980" s="3">
        <f t="shared" si="48"/>
        <v>5.3000000000000007</v>
      </c>
      <c r="P980">
        <v>421.92</v>
      </c>
      <c r="Q980">
        <v>180</v>
      </c>
      <c r="R980">
        <v>0</v>
      </c>
      <c r="S980">
        <v>97</v>
      </c>
      <c r="T980">
        <f t="shared" si="49"/>
        <v>-2.5007999999999999</v>
      </c>
    </row>
    <row r="981" spans="1:20" x14ac:dyDescent="0.3">
      <c r="A981" s="1">
        <v>45536</v>
      </c>
      <c r="B981" s="1" t="str">
        <f t="shared" si="47"/>
        <v>Maharashtra_MH-Aggregated_Product_23_45536</v>
      </c>
      <c r="C981" s="2" t="s">
        <v>142</v>
      </c>
      <c r="D981" s="2" t="s">
        <v>143</v>
      </c>
      <c r="E981" s="2" t="s">
        <v>26</v>
      </c>
      <c r="F981" s="2" t="s">
        <v>41</v>
      </c>
      <c r="G981" s="2" t="s">
        <v>42</v>
      </c>
      <c r="H981" s="2" t="s">
        <v>140</v>
      </c>
      <c r="I981" s="2" t="s">
        <v>144</v>
      </c>
      <c r="J981" t="s">
        <v>31</v>
      </c>
      <c r="K981">
        <v>2</v>
      </c>
      <c r="L981" s="3">
        <v>2.46</v>
      </c>
      <c r="M981" s="3">
        <v>2.3862000000000001</v>
      </c>
      <c r="N981" s="3">
        <f t="shared" ca="1" si="46"/>
        <v>2.6568000000000001</v>
      </c>
      <c r="O981" s="3">
        <f t="shared" si="48"/>
        <v>2.46</v>
      </c>
      <c r="P981">
        <v>421.92</v>
      </c>
      <c r="Q981">
        <v>251</v>
      </c>
      <c r="R981">
        <v>10</v>
      </c>
      <c r="S981">
        <v>144</v>
      </c>
      <c r="T981">
        <f t="shared" si="49"/>
        <v>0</v>
      </c>
    </row>
    <row r="982" spans="1:20" x14ac:dyDescent="0.3">
      <c r="A982" s="1">
        <v>45536</v>
      </c>
      <c r="B982" s="1" t="str">
        <f t="shared" si="47"/>
        <v>Reliance_Ahmedabad_Product_5_45536</v>
      </c>
      <c r="C982" s="2" t="s">
        <v>49</v>
      </c>
      <c r="D982" s="2" t="s">
        <v>50</v>
      </c>
      <c r="E982" s="2" t="s">
        <v>34</v>
      </c>
      <c r="F982" s="2" t="s">
        <v>51</v>
      </c>
      <c r="G982" s="2" t="s">
        <v>52</v>
      </c>
      <c r="H982" s="2" t="s">
        <v>53</v>
      </c>
      <c r="I982" s="2" t="s">
        <v>54</v>
      </c>
      <c r="J982" t="s">
        <v>31</v>
      </c>
      <c r="K982">
        <v>3</v>
      </c>
      <c r="L982" s="3">
        <v>2.61</v>
      </c>
      <c r="M982" s="3">
        <v>2.0879999999999996</v>
      </c>
      <c r="N982" s="3">
        <f t="shared" ca="1" si="46"/>
        <v>2.9753999999999996</v>
      </c>
      <c r="O982" s="3">
        <f t="shared" si="48"/>
        <v>2.61</v>
      </c>
      <c r="P982">
        <v>748.8</v>
      </c>
      <c r="Q982">
        <v>366</v>
      </c>
      <c r="R982">
        <v>5</v>
      </c>
      <c r="S982">
        <v>132</v>
      </c>
      <c r="T982">
        <f t="shared" si="49"/>
        <v>3.2687999999999993</v>
      </c>
    </row>
    <row r="983" spans="1:20" x14ac:dyDescent="0.3">
      <c r="A983" s="1">
        <v>45536</v>
      </c>
      <c r="B983" s="1" t="str">
        <f t="shared" si="47"/>
        <v>Reliance_Bhiwandi_Product_8_45536</v>
      </c>
      <c r="C983" s="2" t="s">
        <v>64</v>
      </c>
      <c r="D983" s="2" t="s">
        <v>65</v>
      </c>
      <c r="E983" s="2" t="s">
        <v>34</v>
      </c>
      <c r="F983" s="2" t="s">
        <v>51</v>
      </c>
      <c r="G983" s="2" t="s">
        <v>66</v>
      </c>
      <c r="H983" s="2" t="s">
        <v>67</v>
      </c>
      <c r="I983" s="2" t="s">
        <v>68</v>
      </c>
      <c r="J983" t="s">
        <v>31</v>
      </c>
      <c r="K983">
        <v>1</v>
      </c>
      <c r="L983" s="3">
        <v>1.1399999999999999</v>
      </c>
      <c r="M983" s="3">
        <v>1.0373999999999999</v>
      </c>
      <c r="N983" s="3">
        <f t="shared" ca="1" si="46"/>
        <v>1.2198</v>
      </c>
      <c r="O983" s="3">
        <f t="shared" si="48"/>
        <v>1.1399999999999999</v>
      </c>
      <c r="P983">
        <v>748.8</v>
      </c>
      <c r="Q983">
        <v>455</v>
      </c>
      <c r="R983">
        <v>0</v>
      </c>
      <c r="S983">
        <v>126</v>
      </c>
      <c r="T983">
        <f t="shared" si="49"/>
        <v>0</v>
      </c>
    </row>
    <row r="984" spans="1:20" x14ac:dyDescent="0.3">
      <c r="A984" s="1">
        <v>45536</v>
      </c>
      <c r="B984" s="1" t="str">
        <f t="shared" si="47"/>
        <v>Jharkhand_JH-Aggregated_Product_19_45536</v>
      </c>
      <c r="C984" s="2" t="s">
        <v>124</v>
      </c>
      <c r="D984" s="2" t="s">
        <v>125</v>
      </c>
      <c r="E984" s="2" t="s">
        <v>26</v>
      </c>
      <c r="F984" s="2" t="s">
        <v>27</v>
      </c>
      <c r="G984" s="2" t="s">
        <v>28</v>
      </c>
      <c r="H984" s="2" t="s">
        <v>126</v>
      </c>
      <c r="I984" s="2" t="s">
        <v>127</v>
      </c>
      <c r="J984" t="s">
        <v>31</v>
      </c>
      <c r="K984">
        <v>4</v>
      </c>
      <c r="L984" s="3">
        <v>5.08</v>
      </c>
      <c r="M984" s="3">
        <v>4.9784000000000006</v>
      </c>
      <c r="N984" s="3">
        <f t="shared" ca="1" si="46"/>
        <v>5.3848000000000003</v>
      </c>
      <c r="O984" s="3">
        <f t="shared" si="48"/>
        <v>5.08</v>
      </c>
      <c r="P984">
        <v>84</v>
      </c>
      <c r="Q984">
        <v>381</v>
      </c>
      <c r="R984">
        <v>3</v>
      </c>
      <c r="S984">
        <v>94</v>
      </c>
      <c r="T984">
        <f t="shared" si="49"/>
        <v>-6.6479999999999997</v>
      </c>
    </row>
    <row r="985" spans="1:20" x14ac:dyDescent="0.3">
      <c r="A985" s="1">
        <v>45536</v>
      </c>
      <c r="B985" s="1" t="str">
        <f t="shared" si="47"/>
        <v>Reliance_Ahmedabad_Product_7_45536</v>
      </c>
      <c r="C985" s="2" t="s">
        <v>99</v>
      </c>
      <c r="D985" s="2" t="s">
        <v>100</v>
      </c>
      <c r="E985" s="2" t="s">
        <v>34</v>
      </c>
      <c r="F985" s="2" t="s">
        <v>51</v>
      </c>
      <c r="G985" s="2" t="s">
        <v>52</v>
      </c>
      <c r="H985" s="2" t="s">
        <v>37</v>
      </c>
      <c r="I985" s="2" t="s">
        <v>60</v>
      </c>
      <c r="J985" t="s">
        <v>31</v>
      </c>
      <c r="K985">
        <v>6</v>
      </c>
      <c r="L985" s="3">
        <v>7.38</v>
      </c>
      <c r="M985" s="3">
        <v>6.3467999999999991</v>
      </c>
      <c r="N985" s="3">
        <f t="shared" ca="1" si="46"/>
        <v>7.8965999999999994</v>
      </c>
      <c r="O985" s="3">
        <f t="shared" si="48"/>
        <v>7.38</v>
      </c>
      <c r="P985">
        <v>48</v>
      </c>
      <c r="Q985">
        <v>140</v>
      </c>
      <c r="R985">
        <v>0</v>
      </c>
      <c r="S985">
        <v>117</v>
      </c>
      <c r="T985">
        <f t="shared" si="49"/>
        <v>-0.36</v>
      </c>
    </row>
    <row r="986" spans="1:20" x14ac:dyDescent="0.3">
      <c r="A986" s="1">
        <v>45536</v>
      </c>
      <c r="B986" s="1" t="str">
        <f t="shared" si="47"/>
        <v>Jharkhand_JH-Aggregated_Product_15_45536</v>
      </c>
      <c r="C986" s="2" t="s">
        <v>103</v>
      </c>
      <c r="D986" s="2" t="s">
        <v>104</v>
      </c>
      <c r="E986" s="2" t="s">
        <v>26</v>
      </c>
      <c r="F986" s="2" t="s">
        <v>27</v>
      </c>
      <c r="G986" s="2" t="s">
        <v>28</v>
      </c>
      <c r="H986" s="2" t="s">
        <v>105</v>
      </c>
      <c r="I986" s="2" t="s">
        <v>106</v>
      </c>
      <c r="J986" t="s">
        <v>31</v>
      </c>
      <c r="K986">
        <v>10</v>
      </c>
      <c r="L986" s="3">
        <v>9.3999999999999986</v>
      </c>
      <c r="M986" s="3">
        <v>8.2719999999999985</v>
      </c>
      <c r="N986" s="3">
        <f t="shared" ca="1" si="46"/>
        <v>9.8699999999999992</v>
      </c>
      <c r="O986" s="3">
        <f t="shared" si="48"/>
        <v>9.3999999999999986</v>
      </c>
      <c r="P986">
        <v>383.52</v>
      </c>
      <c r="Q986">
        <v>298</v>
      </c>
      <c r="R986">
        <v>0</v>
      </c>
      <c r="S986">
        <v>143</v>
      </c>
      <c r="T986">
        <f t="shared" si="49"/>
        <v>3.3552</v>
      </c>
    </row>
    <row r="987" spans="1:20" x14ac:dyDescent="0.3">
      <c r="A987" s="1">
        <v>45536</v>
      </c>
      <c r="B987" s="1" t="str">
        <f t="shared" si="47"/>
        <v>Reliance_Chennai_Product_11_45536</v>
      </c>
      <c r="C987" s="2" t="s">
        <v>110</v>
      </c>
      <c r="D987" s="2" t="s">
        <v>111</v>
      </c>
      <c r="E987" s="2" t="s">
        <v>34</v>
      </c>
      <c r="F987" s="2" t="s">
        <v>51</v>
      </c>
      <c r="G987" s="2" t="s">
        <v>84</v>
      </c>
      <c r="H987" s="2" t="s">
        <v>67</v>
      </c>
      <c r="I987" s="2" t="s">
        <v>89</v>
      </c>
      <c r="J987" t="s">
        <v>31</v>
      </c>
      <c r="K987">
        <v>3</v>
      </c>
      <c r="L987" s="3">
        <v>3.2700000000000005</v>
      </c>
      <c r="M987" s="3">
        <v>2.9757000000000007</v>
      </c>
      <c r="N987" s="3">
        <f t="shared" ca="1" si="46"/>
        <v>3.8586000000000009</v>
      </c>
      <c r="O987" s="3">
        <f t="shared" si="48"/>
        <v>3.2700000000000005</v>
      </c>
      <c r="P987">
        <v>383.52</v>
      </c>
      <c r="Q987">
        <v>430</v>
      </c>
      <c r="R987">
        <v>6</v>
      </c>
      <c r="S987">
        <v>131</v>
      </c>
      <c r="T987">
        <f t="shared" si="49"/>
        <v>0</v>
      </c>
    </row>
    <row r="988" spans="1:20" x14ac:dyDescent="0.3">
      <c r="A988" s="1">
        <v>45536</v>
      </c>
      <c r="B988" s="1" t="str">
        <f t="shared" si="47"/>
        <v>Swiggy_Mundka_Product_14_45536</v>
      </c>
      <c r="C988" s="2" t="s">
        <v>96</v>
      </c>
      <c r="D988" s="2" t="s">
        <v>97</v>
      </c>
      <c r="E988" s="2" t="s">
        <v>34</v>
      </c>
      <c r="F988" s="2" t="s">
        <v>35</v>
      </c>
      <c r="G988" s="2" t="s">
        <v>36</v>
      </c>
      <c r="H988" s="2" t="s">
        <v>47</v>
      </c>
      <c r="I988" s="2" t="s">
        <v>98</v>
      </c>
      <c r="J988" t="s">
        <v>31</v>
      </c>
      <c r="K988">
        <v>5</v>
      </c>
      <c r="L988" s="3">
        <v>5.6000000000000005</v>
      </c>
      <c r="M988" s="3">
        <v>4.8159999999999998</v>
      </c>
      <c r="N988" s="3">
        <f t="shared" ca="1" si="46"/>
        <v>6.104000000000001</v>
      </c>
      <c r="O988" s="3">
        <f t="shared" si="48"/>
        <v>5.6000000000000005</v>
      </c>
      <c r="P988">
        <v>383.52</v>
      </c>
      <c r="Q988">
        <v>129</v>
      </c>
      <c r="R988">
        <v>0</v>
      </c>
      <c r="S988">
        <v>97</v>
      </c>
      <c r="T988">
        <f t="shared" si="49"/>
        <v>0</v>
      </c>
    </row>
    <row r="989" spans="1:20" x14ac:dyDescent="0.3">
      <c r="A989" s="1">
        <v>45536</v>
      </c>
      <c r="B989" s="1" t="str">
        <f t="shared" si="47"/>
        <v>Zepto_Bangalore_Product_12_45536</v>
      </c>
      <c r="C989" s="2" t="s">
        <v>90</v>
      </c>
      <c r="D989" s="2" t="s">
        <v>91</v>
      </c>
      <c r="E989" s="2" t="s">
        <v>34</v>
      </c>
      <c r="F989" s="2" t="s">
        <v>46</v>
      </c>
      <c r="G989" s="2" t="s">
        <v>79</v>
      </c>
      <c r="H989" s="2" t="s">
        <v>67</v>
      </c>
      <c r="I989" s="2" t="s">
        <v>92</v>
      </c>
      <c r="J989" t="s">
        <v>31</v>
      </c>
      <c r="K989">
        <v>2</v>
      </c>
      <c r="L989" s="3">
        <v>1.68</v>
      </c>
      <c r="M989" s="3">
        <v>1.4783999999999999</v>
      </c>
      <c r="N989" s="3">
        <f t="shared" ca="1" si="46"/>
        <v>1.9487999999999999</v>
      </c>
      <c r="O989" s="3">
        <f t="shared" si="48"/>
        <v>1.68</v>
      </c>
      <c r="P989">
        <v>383.52</v>
      </c>
      <c r="Q989">
        <v>405</v>
      </c>
      <c r="R989">
        <v>9</v>
      </c>
      <c r="S989">
        <v>94</v>
      </c>
      <c r="T989">
        <f t="shared" si="49"/>
        <v>0</v>
      </c>
    </row>
    <row r="990" spans="1:20" x14ac:dyDescent="0.3">
      <c r="A990" s="1">
        <v>45536</v>
      </c>
      <c r="B990" s="1" t="str">
        <f t="shared" si="47"/>
        <v>Reliance_Bangalore_Product_8_45536</v>
      </c>
      <c r="C990" s="2" t="s">
        <v>77</v>
      </c>
      <c r="D990" s="2" t="s">
        <v>78</v>
      </c>
      <c r="E990" s="2" t="s">
        <v>34</v>
      </c>
      <c r="F990" s="2" t="s">
        <v>51</v>
      </c>
      <c r="G990" s="2" t="s">
        <v>79</v>
      </c>
      <c r="H990" s="2" t="s">
        <v>67</v>
      </c>
      <c r="I990" s="2" t="s">
        <v>68</v>
      </c>
      <c r="J990" t="s">
        <v>31</v>
      </c>
      <c r="K990">
        <v>7</v>
      </c>
      <c r="L990" s="3">
        <v>7</v>
      </c>
      <c r="M990" s="3">
        <v>6.16</v>
      </c>
      <c r="N990" s="3">
        <f t="shared" ca="1" si="46"/>
        <v>7.35</v>
      </c>
      <c r="O990" s="3">
        <f t="shared" si="48"/>
        <v>7</v>
      </c>
      <c r="P990">
        <v>383.52</v>
      </c>
      <c r="Q990">
        <v>458</v>
      </c>
      <c r="R990">
        <v>6</v>
      </c>
      <c r="S990">
        <v>126</v>
      </c>
      <c r="T990">
        <f t="shared" si="49"/>
        <v>0</v>
      </c>
    </row>
    <row r="991" spans="1:20" x14ac:dyDescent="0.3">
      <c r="A991" s="1">
        <v>45536</v>
      </c>
      <c r="B991" s="1" t="str">
        <f t="shared" si="47"/>
        <v>Swiggy_Chennai_Product_3_45536</v>
      </c>
      <c r="C991" s="2" t="s">
        <v>82</v>
      </c>
      <c r="D991" s="2" t="s">
        <v>83</v>
      </c>
      <c r="E991" s="2" t="s">
        <v>34</v>
      </c>
      <c r="F991" s="2" t="s">
        <v>35</v>
      </c>
      <c r="G991" s="2" t="s">
        <v>84</v>
      </c>
      <c r="H991" s="2" t="s">
        <v>37</v>
      </c>
      <c r="I991" s="2" t="s">
        <v>43</v>
      </c>
      <c r="J991" t="s">
        <v>31</v>
      </c>
      <c r="K991">
        <v>2</v>
      </c>
      <c r="L991" s="3">
        <v>2.1</v>
      </c>
      <c r="M991" s="3">
        <v>1.9950000000000001</v>
      </c>
      <c r="N991" s="3">
        <f t="shared" ca="1" si="46"/>
        <v>2.4990000000000001</v>
      </c>
      <c r="O991" s="3">
        <f t="shared" si="48"/>
        <v>2.1</v>
      </c>
      <c r="P991">
        <v>383.52</v>
      </c>
      <c r="Q991">
        <v>438</v>
      </c>
      <c r="R991">
        <v>0</v>
      </c>
      <c r="S991">
        <v>127</v>
      </c>
      <c r="T991">
        <f t="shared" si="49"/>
        <v>0</v>
      </c>
    </row>
    <row r="992" spans="1:20" x14ac:dyDescent="0.3">
      <c r="A992" s="1">
        <v>45536</v>
      </c>
      <c r="B992" s="1" t="str">
        <f t="shared" si="47"/>
        <v>Reliance_Kolkata CFA_Product_12_45536</v>
      </c>
      <c r="C992" s="2" t="s">
        <v>101</v>
      </c>
      <c r="D992" s="2" t="s">
        <v>102</v>
      </c>
      <c r="E992" s="2" t="s">
        <v>34</v>
      </c>
      <c r="F992" s="2" t="s">
        <v>51</v>
      </c>
      <c r="G992" s="2" t="s">
        <v>63</v>
      </c>
      <c r="H992" s="2" t="s">
        <v>67</v>
      </c>
      <c r="I992" s="2" t="s">
        <v>92</v>
      </c>
      <c r="J992" t="s">
        <v>31</v>
      </c>
      <c r="K992">
        <v>4</v>
      </c>
      <c r="L992" s="3">
        <v>3.6</v>
      </c>
      <c r="M992" s="3">
        <v>3.3119999999999998</v>
      </c>
      <c r="N992" s="3">
        <f t="shared" ca="1" si="46"/>
        <v>4.0680000000000005</v>
      </c>
      <c r="O992" s="3">
        <f t="shared" si="48"/>
        <v>3.6</v>
      </c>
      <c r="P992">
        <v>672</v>
      </c>
      <c r="Q992">
        <v>462</v>
      </c>
      <c r="R992">
        <v>4</v>
      </c>
      <c r="S992">
        <v>94</v>
      </c>
      <c r="T992">
        <f t="shared" si="49"/>
        <v>2.8848000000000003</v>
      </c>
    </row>
    <row r="993" spans="1:20" x14ac:dyDescent="0.3">
      <c r="A993" s="1">
        <v>45536</v>
      </c>
      <c r="B993" s="1" t="str">
        <f t="shared" si="47"/>
        <v>Grofers_Kolkata CFA_Product_20_45536</v>
      </c>
      <c r="C993" s="2" t="s">
        <v>153</v>
      </c>
      <c r="D993" s="2" t="s">
        <v>154</v>
      </c>
      <c r="E993" s="2" t="s">
        <v>34</v>
      </c>
      <c r="F993" s="2" t="s">
        <v>114</v>
      </c>
      <c r="G993" s="2" t="s">
        <v>63</v>
      </c>
      <c r="H993" s="2" t="s">
        <v>47</v>
      </c>
      <c r="I993" s="2" t="s">
        <v>130</v>
      </c>
      <c r="J993" t="s">
        <v>31</v>
      </c>
      <c r="K993">
        <v>1</v>
      </c>
      <c r="L993" s="3">
        <v>0.95</v>
      </c>
      <c r="M993" s="3">
        <v>0.79799999999999993</v>
      </c>
      <c r="N993" s="3">
        <f t="shared" ca="1" si="46"/>
        <v>1.0165</v>
      </c>
      <c r="O993" s="3">
        <f t="shared" si="48"/>
        <v>0.95</v>
      </c>
      <c r="P993">
        <v>672</v>
      </c>
      <c r="Q993">
        <v>458</v>
      </c>
      <c r="R993">
        <v>5</v>
      </c>
      <c r="S993">
        <v>125</v>
      </c>
      <c r="T993">
        <f t="shared" si="49"/>
        <v>0</v>
      </c>
    </row>
    <row r="994" spans="1:20" x14ac:dyDescent="0.3">
      <c r="A994" s="1">
        <v>45566</v>
      </c>
      <c r="B994" s="1" t="str">
        <f t="shared" si="47"/>
        <v>Swiggy_Kolkata CFA_Product_20_45566</v>
      </c>
      <c r="C994" s="2" t="s">
        <v>128</v>
      </c>
      <c r="D994" s="2" t="s">
        <v>129</v>
      </c>
      <c r="E994" s="2" t="s">
        <v>34</v>
      </c>
      <c r="F994" s="2" t="s">
        <v>35</v>
      </c>
      <c r="G994" s="2" t="s">
        <v>63</v>
      </c>
      <c r="H994" s="2" t="s">
        <v>47</v>
      </c>
      <c r="I994" s="2" t="s">
        <v>130</v>
      </c>
      <c r="J994" t="s">
        <v>166</v>
      </c>
      <c r="L994" s="3">
        <v>15.260000000000002</v>
      </c>
      <c r="M994" s="3">
        <v>13.276200000000001</v>
      </c>
      <c r="N994" s="3">
        <f t="shared" ca="1" si="46"/>
        <v>17.548999999999999</v>
      </c>
      <c r="O994" s="3">
        <f t="shared" si="48"/>
        <v>15.260000000000002</v>
      </c>
      <c r="P994">
        <v>421.92</v>
      </c>
      <c r="T994">
        <f t="shared" si="49"/>
        <v>-2.5007999999999999</v>
      </c>
    </row>
    <row r="995" spans="1:20" x14ac:dyDescent="0.3">
      <c r="A995" s="1">
        <v>45566</v>
      </c>
      <c r="B995" s="1" t="str">
        <f t="shared" si="47"/>
        <v>Reliance_Bangalore_Product_3_45566</v>
      </c>
      <c r="C995" s="2" t="s">
        <v>80</v>
      </c>
      <c r="D995" s="2" t="s">
        <v>81</v>
      </c>
      <c r="E995" s="2" t="s">
        <v>34</v>
      </c>
      <c r="F995" s="2" t="s">
        <v>51</v>
      </c>
      <c r="G995" s="2" t="s">
        <v>79</v>
      </c>
      <c r="H995" s="2" t="s">
        <v>37</v>
      </c>
      <c r="I995" s="2" t="s">
        <v>43</v>
      </c>
      <c r="J995" t="s">
        <v>166</v>
      </c>
      <c r="L995" s="3">
        <v>4.5999999999999996</v>
      </c>
      <c r="M995" s="3">
        <v>4.3239999999999998</v>
      </c>
      <c r="N995" s="3">
        <f t="shared" ca="1" si="46"/>
        <v>5.29</v>
      </c>
      <c r="O995" s="3">
        <f t="shared" si="48"/>
        <v>4.5999999999999996</v>
      </c>
      <c r="P995">
        <v>421.92</v>
      </c>
      <c r="T995">
        <f t="shared" si="49"/>
        <v>0</v>
      </c>
    </row>
    <row r="996" spans="1:20" x14ac:dyDescent="0.3">
      <c r="A996" s="1">
        <v>45566</v>
      </c>
      <c r="B996" s="1" t="str">
        <f t="shared" si="47"/>
        <v>Zepto_Bangalore_Product_12_45566</v>
      </c>
      <c r="C996" s="2" t="s">
        <v>90</v>
      </c>
      <c r="D996" s="2" t="s">
        <v>91</v>
      </c>
      <c r="E996" s="2" t="s">
        <v>34</v>
      </c>
      <c r="F996" s="2" t="s">
        <v>46</v>
      </c>
      <c r="G996" s="2" t="s">
        <v>79</v>
      </c>
      <c r="H996" s="2" t="s">
        <v>67</v>
      </c>
      <c r="I996" s="2" t="s">
        <v>92</v>
      </c>
      <c r="J996" t="s">
        <v>166</v>
      </c>
      <c r="L996" s="3">
        <v>5.58</v>
      </c>
      <c r="M996" s="3">
        <v>4.4639999999999995</v>
      </c>
      <c r="N996" s="3">
        <f t="shared" ca="1" si="46"/>
        <v>6.5286</v>
      </c>
      <c r="O996" s="3">
        <f t="shared" si="48"/>
        <v>5.58</v>
      </c>
      <c r="P996">
        <v>748.8</v>
      </c>
      <c r="T996">
        <f t="shared" si="49"/>
        <v>3.2687999999999993</v>
      </c>
    </row>
    <row r="997" spans="1:20" x14ac:dyDescent="0.3">
      <c r="A997" s="1">
        <v>45566</v>
      </c>
      <c r="B997" s="1" t="str">
        <f t="shared" si="47"/>
        <v>Maharashtra_MH-Aggregated_Product_23_45566</v>
      </c>
      <c r="C997" s="2" t="s">
        <v>142</v>
      </c>
      <c r="D997" s="2" t="s">
        <v>143</v>
      </c>
      <c r="E997" s="2" t="s">
        <v>26</v>
      </c>
      <c r="F997" s="2" t="s">
        <v>41</v>
      </c>
      <c r="G997" s="2" t="s">
        <v>42</v>
      </c>
      <c r="H997" s="2" t="s">
        <v>140</v>
      </c>
      <c r="I997" s="2" t="s">
        <v>144</v>
      </c>
      <c r="J997" t="s">
        <v>166</v>
      </c>
      <c r="L997" s="3">
        <v>1.19</v>
      </c>
      <c r="M997" s="3">
        <v>1.0233999999999999</v>
      </c>
      <c r="N997" s="3">
        <f t="shared" ca="1" si="46"/>
        <v>1.4041999999999999</v>
      </c>
      <c r="O997" s="3">
        <f t="shared" si="48"/>
        <v>1.19</v>
      </c>
      <c r="P997">
        <v>748.8</v>
      </c>
      <c r="T997">
        <f t="shared" si="49"/>
        <v>0</v>
      </c>
    </row>
    <row r="998" spans="1:20" x14ac:dyDescent="0.3">
      <c r="A998" s="1">
        <v>45566</v>
      </c>
      <c r="B998" s="1" t="str">
        <f t="shared" si="47"/>
        <v>Maharashtra_MH-Aggregated_Product_3_45566</v>
      </c>
      <c r="C998" s="2" t="s">
        <v>39</v>
      </c>
      <c r="D998" s="2" t="s">
        <v>40</v>
      </c>
      <c r="E998" s="2" t="s">
        <v>26</v>
      </c>
      <c r="F998" s="2" t="s">
        <v>41</v>
      </c>
      <c r="G998" s="2" t="s">
        <v>42</v>
      </c>
      <c r="H998" s="2" t="s">
        <v>37</v>
      </c>
      <c r="I998" s="2" t="s">
        <v>43</v>
      </c>
      <c r="J998" t="s">
        <v>166</v>
      </c>
      <c r="L998" s="3">
        <v>8.73</v>
      </c>
      <c r="M998" s="3">
        <v>7.5078000000000005</v>
      </c>
      <c r="N998" s="3">
        <f t="shared" ref="N998:N1061" ca="1" si="50">L998*RANDBETWEEN(105,120)/100</f>
        <v>9.6903000000000006</v>
      </c>
      <c r="O998" s="3">
        <f t="shared" si="48"/>
        <v>8.73</v>
      </c>
      <c r="P998">
        <v>84</v>
      </c>
      <c r="T998">
        <f t="shared" si="49"/>
        <v>-6.6479999999999997</v>
      </c>
    </row>
    <row r="999" spans="1:20" x14ac:dyDescent="0.3">
      <c r="A999" s="1">
        <v>45566</v>
      </c>
      <c r="B999" s="1" t="str">
        <f t="shared" si="47"/>
        <v>Grofers_Kolkata CFA_Product_14_45566</v>
      </c>
      <c r="C999" s="2" t="s">
        <v>161</v>
      </c>
      <c r="D999" s="2" t="s">
        <v>162</v>
      </c>
      <c r="E999" s="2" t="s">
        <v>34</v>
      </c>
      <c r="F999" s="2" t="s">
        <v>114</v>
      </c>
      <c r="G999" s="2" t="s">
        <v>63</v>
      </c>
      <c r="H999" s="2" t="s">
        <v>47</v>
      </c>
      <c r="I999" s="2" t="s">
        <v>98</v>
      </c>
      <c r="J999" t="s">
        <v>166</v>
      </c>
      <c r="L999" s="3">
        <v>18.18</v>
      </c>
      <c r="M999" s="3">
        <v>14.544</v>
      </c>
      <c r="N999" s="3">
        <f t="shared" ca="1" si="50"/>
        <v>19.634399999999999</v>
      </c>
      <c r="O999" s="3">
        <f t="shared" si="48"/>
        <v>18.18</v>
      </c>
      <c r="P999">
        <v>48</v>
      </c>
      <c r="T999">
        <f t="shared" si="49"/>
        <v>-0.36</v>
      </c>
    </row>
    <row r="1000" spans="1:20" x14ac:dyDescent="0.3">
      <c r="A1000" s="1">
        <v>45566</v>
      </c>
      <c r="B1000" s="1" t="str">
        <f t="shared" si="47"/>
        <v>Reliance_Chennai_Product_9_45566</v>
      </c>
      <c r="C1000" s="2" t="s">
        <v>147</v>
      </c>
      <c r="D1000" s="2" t="s">
        <v>148</v>
      </c>
      <c r="E1000" s="2" t="s">
        <v>34</v>
      </c>
      <c r="F1000" s="2" t="s">
        <v>51</v>
      </c>
      <c r="G1000" s="2" t="s">
        <v>84</v>
      </c>
      <c r="H1000" s="2" t="s">
        <v>37</v>
      </c>
      <c r="I1000" s="2" t="s">
        <v>71</v>
      </c>
      <c r="J1000" t="s">
        <v>166</v>
      </c>
      <c r="L1000" s="3">
        <v>21.6</v>
      </c>
      <c r="M1000" s="3">
        <v>17.28</v>
      </c>
      <c r="N1000" s="3">
        <f t="shared" ca="1" si="50"/>
        <v>25.704000000000001</v>
      </c>
      <c r="O1000" s="3">
        <f t="shared" si="48"/>
        <v>21.6</v>
      </c>
      <c r="P1000">
        <v>383.52</v>
      </c>
      <c r="T1000">
        <f t="shared" si="49"/>
        <v>3.3552</v>
      </c>
    </row>
    <row r="1001" spans="1:20" x14ac:dyDescent="0.3">
      <c r="A1001" s="1">
        <v>45566</v>
      </c>
      <c r="B1001" s="1" t="str">
        <f t="shared" si="47"/>
        <v>Reliance_Bhiwandi_Product_8_45566</v>
      </c>
      <c r="C1001" s="2" t="s">
        <v>64</v>
      </c>
      <c r="D1001" s="2" t="s">
        <v>65</v>
      </c>
      <c r="E1001" s="2" t="s">
        <v>34</v>
      </c>
      <c r="F1001" s="2" t="s">
        <v>51</v>
      </c>
      <c r="G1001" s="2" t="s">
        <v>66</v>
      </c>
      <c r="H1001" s="2" t="s">
        <v>67</v>
      </c>
      <c r="I1001" s="2" t="s">
        <v>68</v>
      </c>
      <c r="J1001" t="s">
        <v>166</v>
      </c>
      <c r="L1001" s="3">
        <v>4.6999999999999993</v>
      </c>
      <c r="M1001" s="3">
        <v>4.5119999999999996</v>
      </c>
      <c r="N1001" s="3">
        <f t="shared" ca="1" si="50"/>
        <v>5.169999999999999</v>
      </c>
      <c r="O1001" s="3">
        <f t="shared" si="48"/>
        <v>4.6999999999999993</v>
      </c>
      <c r="P1001">
        <v>383.52</v>
      </c>
      <c r="T1001">
        <f t="shared" si="49"/>
        <v>0</v>
      </c>
    </row>
    <row r="1002" spans="1:20" x14ac:dyDescent="0.3">
      <c r="A1002" s="1">
        <v>45566</v>
      </c>
      <c r="B1002" s="1" t="str">
        <f t="shared" si="47"/>
        <v>Reliance_Ahmedabad_Product_9_45566</v>
      </c>
      <c r="C1002" s="2" t="s">
        <v>151</v>
      </c>
      <c r="D1002" s="2" t="s">
        <v>152</v>
      </c>
      <c r="E1002" s="2" t="s">
        <v>34</v>
      </c>
      <c r="F1002" s="2" t="s">
        <v>51</v>
      </c>
      <c r="G1002" s="2" t="s">
        <v>52</v>
      </c>
      <c r="H1002" s="2" t="s">
        <v>37</v>
      </c>
      <c r="I1002" s="2" t="s">
        <v>71</v>
      </c>
      <c r="J1002" t="s">
        <v>166</v>
      </c>
      <c r="L1002" s="3">
        <v>6.88</v>
      </c>
      <c r="M1002" s="3">
        <v>6.88</v>
      </c>
      <c r="N1002" s="3">
        <f t="shared" ca="1" si="50"/>
        <v>7.911999999999999</v>
      </c>
      <c r="O1002" s="3">
        <f t="shared" si="48"/>
        <v>6.88</v>
      </c>
      <c r="P1002">
        <v>672</v>
      </c>
      <c r="T1002">
        <f t="shared" si="49"/>
        <v>2.8848000000000003</v>
      </c>
    </row>
    <row r="1003" spans="1:20" x14ac:dyDescent="0.3">
      <c r="A1003" s="1">
        <v>45566</v>
      </c>
      <c r="B1003" s="1" t="str">
        <f t="shared" si="47"/>
        <v>Reliance_Mundka_Product_6_45566</v>
      </c>
      <c r="C1003" s="2" t="s">
        <v>55</v>
      </c>
      <c r="D1003" s="2" t="s">
        <v>56</v>
      </c>
      <c r="E1003" s="2" t="s">
        <v>34</v>
      </c>
      <c r="F1003" s="2" t="s">
        <v>51</v>
      </c>
      <c r="G1003" s="2" t="s">
        <v>36</v>
      </c>
      <c r="H1003" s="2" t="s">
        <v>37</v>
      </c>
      <c r="I1003" s="2" t="s">
        <v>57</v>
      </c>
      <c r="J1003" t="s">
        <v>166</v>
      </c>
      <c r="L1003" s="3">
        <v>1.76</v>
      </c>
      <c r="M1003" s="3">
        <v>1.5312000000000001</v>
      </c>
      <c r="N1003" s="3">
        <f t="shared" ca="1" si="50"/>
        <v>2.024</v>
      </c>
      <c r="O1003" s="3">
        <f t="shared" si="48"/>
        <v>1.76</v>
      </c>
      <c r="P1003">
        <v>672</v>
      </c>
      <c r="T1003">
        <f t="shared" si="49"/>
        <v>0</v>
      </c>
    </row>
    <row r="1004" spans="1:20" x14ac:dyDescent="0.3">
      <c r="A1004" s="1">
        <v>45566</v>
      </c>
      <c r="B1004" s="1" t="str">
        <f t="shared" si="47"/>
        <v>Zepto_Bhiwandi_Product_10_45566</v>
      </c>
      <c r="C1004" s="2" t="s">
        <v>74</v>
      </c>
      <c r="D1004" s="2" t="s">
        <v>75</v>
      </c>
      <c r="E1004" s="2" t="s">
        <v>34</v>
      </c>
      <c r="F1004" s="2" t="s">
        <v>46</v>
      </c>
      <c r="G1004" s="2" t="s">
        <v>66</v>
      </c>
      <c r="H1004" s="2" t="s">
        <v>67</v>
      </c>
      <c r="I1004" s="2" t="s">
        <v>76</v>
      </c>
      <c r="J1004" t="s">
        <v>166</v>
      </c>
      <c r="L1004" s="3">
        <v>42.68</v>
      </c>
      <c r="M1004" s="3">
        <v>36.704799999999999</v>
      </c>
      <c r="N1004" s="3">
        <f t="shared" ca="1" si="50"/>
        <v>48.228400000000001</v>
      </c>
      <c r="O1004" s="3">
        <f t="shared" si="48"/>
        <v>42.68</v>
      </c>
      <c r="P1004">
        <v>421.92</v>
      </c>
      <c r="T1004">
        <f t="shared" si="49"/>
        <v>-2.5007999999999999</v>
      </c>
    </row>
    <row r="1005" spans="1:20" x14ac:dyDescent="0.3">
      <c r="A1005" s="1">
        <v>45566</v>
      </c>
      <c r="B1005" s="1" t="str">
        <f t="shared" si="47"/>
        <v>Reliance_Mundka_Product_7_45566</v>
      </c>
      <c r="C1005" s="2" t="s">
        <v>58</v>
      </c>
      <c r="D1005" s="2" t="s">
        <v>59</v>
      </c>
      <c r="E1005" s="2" t="s">
        <v>34</v>
      </c>
      <c r="F1005" s="2" t="s">
        <v>51</v>
      </c>
      <c r="G1005" s="2" t="s">
        <v>36</v>
      </c>
      <c r="H1005" s="2" t="s">
        <v>37</v>
      </c>
      <c r="I1005" s="2" t="s">
        <v>60</v>
      </c>
      <c r="J1005" t="s">
        <v>166</v>
      </c>
      <c r="L1005" s="3">
        <v>7.6</v>
      </c>
      <c r="M1005" s="3">
        <v>6.9160000000000004</v>
      </c>
      <c r="N1005" s="3">
        <f t="shared" ca="1" si="50"/>
        <v>8.74</v>
      </c>
      <c r="O1005" s="3">
        <f t="shared" si="48"/>
        <v>7.6</v>
      </c>
      <c r="P1005">
        <v>421.92</v>
      </c>
      <c r="T1005">
        <f t="shared" si="49"/>
        <v>0</v>
      </c>
    </row>
    <row r="1006" spans="1:20" x14ac:dyDescent="0.3">
      <c r="A1006" s="1">
        <v>45566</v>
      </c>
      <c r="B1006" s="1" t="str">
        <f t="shared" si="47"/>
        <v>Swiggy_Chennai_Product_3_45566</v>
      </c>
      <c r="C1006" s="2" t="s">
        <v>82</v>
      </c>
      <c r="D1006" s="2" t="s">
        <v>83</v>
      </c>
      <c r="E1006" s="2" t="s">
        <v>34</v>
      </c>
      <c r="F1006" s="2" t="s">
        <v>35</v>
      </c>
      <c r="G1006" s="2" t="s">
        <v>84</v>
      </c>
      <c r="H1006" s="2" t="s">
        <v>37</v>
      </c>
      <c r="I1006" s="2" t="s">
        <v>43</v>
      </c>
      <c r="J1006" t="s">
        <v>166</v>
      </c>
      <c r="L1006" s="3">
        <v>16</v>
      </c>
      <c r="M1006" s="3">
        <v>12.96</v>
      </c>
      <c r="N1006" s="3">
        <f t="shared" ca="1" si="50"/>
        <v>17.28</v>
      </c>
      <c r="O1006" s="3">
        <f t="shared" si="48"/>
        <v>16</v>
      </c>
      <c r="P1006">
        <v>748.8</v>
      </c>
      <c r="T1006">
        <f t="shared" si="49"/>
        <v>3.2687999999999993</v>
      </c>
    </row>
    <row r="1007" spans="1:20" x14ac:dyDescent="0.3">
      <c r="A1007" s="1">
        <v>45566</v>
      </c>
      <c r="B1007" s="1" t="str">
        <f t="shared" si="47"/>
        <v>Maharashtra_MH-Aggregated_Product_22_45566</v>
      </c>
      <c r="C1007" s="2" t="s">
        <v>138</v>
      </c>
      <c r="D1007" s="2" t="s">
        <v>139</v>
      </c>
      <c r="E1007" s="2" t="s">
        <v>26</v>
      </c>
      <c r="F1007" s="2" t="s">
        <v>41</v>
      </c>
      <c r="G1007" s="2" t="s">
        <v>42</v>
      </c>
      <c r="H1007" s="2" t="s">
        <v>140</v>
      </c>
      <c r="I1007" s="2" t="s">
        <v>141</v>
      </c>
      <c r="J1007" t="s">
        <v>166</v>
      </c>
      <c r="L1007" s="3">
        <v>2.52</v>
      </c>
      <c r="M1007" s="3">
        <v>2.4696000000000002</v>
      </c>
      <c r="N1007" s="3">
        <f t="shared" ca="1" si="50"/>
        <v>2.7216000000000005</v>
      </c>
      <c r="O1007" s="3">
        <f t="shared" si="48"/>
        <v>2.52</v>
      </c>
      <c r="P1007">
        <v>748.8</v>
      </c>
      <c r="T1007">
        <f t="shared" si="49"/>
        <v>0</v>
      </c>
    </row>
    <row r="1008" spans="1:20" x14ac:dyDescent="0.3">
      <c r="A1008" s="1">
        <v>45566</v>
      </c>
      <c r="B1008" s="1" t="str">
        <f t="shared" si="47"/>
        <v>Reliance_Ahmedabad_Product_5_45566</v>
      </c>
      <c r="C1008" s="2" t="s">
        <v>49</v>
      </c>
      <c r="D1008" s="2" t="s">
        <v>50</v>
      </c>
      <c r="E1008" s="2" t="s">
        <v>34</v>
      </c>
      <c r="F1008" s="2" t="s">
        <v>51</v>
      </c>
      <c r="G1008" s="2" t="s">
        <v>52</v>
      </c>
      <c r="H1008" s="2" t="s">
        <v>53</v>
      </c>
      <c r="I1008" s="2" t="s">
        <v>54</v>
      </c>
      <c r="J1008" t="s">
        <v>166</v>
      </c>
      <c r="L1008" s="3">
        <v>34.29</v>
      </c>
      <c r="M1008" s="3">
        <v>30.861000000000001</v>
      </c>
      <c r="N1008" s="3">
        <f t="shared" ca="1" si="50"/>
        <v>41.148000000000003</v>
      </c>
      <c r="O1008" s="3">
        <f t="shared" si="48"/>
        <v>34.29</v>
      </c>
      <c r="P1008">
        <v>84</v>
      </c>
      <c r="T1008">
        <f t="shared" si="49"/>
        <v>-6.6479999999999997</v>
      </c>
    </row>
    <row r="1009" spans="1:20" x14ac:dyDescent="0.3">
      <c r="A1009" s="1">
        <v>45566</v>
      </c>
      <c r="B1009" s="1" t="str">
        <f t="shared" si="47"/>
        <v>Reliance_Ahmedabad_Product_18_45566</v>
      </c>
      <c r="C1009" s="2" t="s">
        <v>121</v>
      </c>
      <c r="D1009" s="2" t="s">
        <v>122</v>
      </c>
      <c r="E1009" s="2" t="s">
        <v>34</v>
      </c>
      <c r="F1009" s="2" t="s">
        <v>51</v>
      </c>
      <c r="G1009" s="2" t="s">
        <v>52</v>
      </c>
      <c r="H1009" s="2" t="s">
        <v>29</v>
      </c>
      <c r="I1009" s="2" t="s">
        <v>123</v>
      </c>
      <c r="J1009" t="s">
        <v>166</v>
      </c>
      <c r="L1009" s="3">
        <v>60.77</v>
      </c>
      <c r="M1009" s="3">
        <v>48.616000000000007</v>
      </c>
      <c r="N1009" s="3">
        <f t="shared" ca="1" si="50"/>
        <v>64.416200000000003</v>
      </c>
      <c r="O1009" s="3">
        <f t="shared" si="48"/>
        <v>60.77</v>
      </c>
      <c r="P1009">
        <v>48</v>
      </c>
      <c r="T1009">
        <f t="shared" si="49"/>
        <v>-0.36</v>
      </c>
    </row>
    <row r="1010" spans="1:20" x14ac:dyDescent="0.3">
      <c r="A1010" s="1">
        <v>45566</v>
      </c>
      <c r="B1010" s="1" t="str">
        <f t="shared" si="47"/>
        <v>Reliance_Ahmedabad_Product_7_45566</v>
      </c>
      <c r="C1010" s="2" t="s">
        <v>99</v>
      </c>
      <c r="D1010" s="2" t="s">
        <v>100</v>
      </c>
      <c r="E1010" s="2" t="s">
        <v>34</v>
      </c>
      <c r="F1010" s="2" t="s">
        <v>51</v>
      </c>
      <c r="G1010" s="2" t="s">
        <v>52</v>
      </c>
      <c r="H1010" s="2" t="s">
        <v>37</v>
      </c>
      <c r="I1010" s="2" t="s">
        <v>60</v>
      </c>
      <c r="J1010" t="s">
        <v>166</v>
      </c>
      <c r="L1010" s="3">
        <v>6.3000000000000007</v>
      </c>
      <c r="M1010" s="3">
        <v>5.8590000000000009</v>
      </c>
      <c r="N1010" s="3">
        <f t="shared" ca="1" si="50"/>
        <v>6.6780000000000008</v>
      </c>
      <c r="O1010" s="3">
        <f t="shared" si="48"/>
        <v>6.3000000000000007</v>
      </c>
      <c r="P1010">
        <v>383.52</v>
      </c>
      <c r="T1010">
        <f t="shared" si="49"/>
        <v>3.3552</v>
      </c>
    </row>
    <row r="1011" spans="1:20" x14ac:dyDescent="0.3">
      <c r="A1011" s="1">
        <v>45566</v>
      </c>
      <c r="B1011" s="1" t="str">
        <f t="shared" si="47"/>
        <v>Grofers_Ahmedabad_Product_8_45566</v>
      </c>
      <c r="C1011" s="2" t="s">
        <v>157</v>
      </c>
      <c r="D1011" s="2" t="s">
        <v>158</v>
      </c>
      <c r="E1011" s="2" t="s">
        <v>34</v>
      </c>
      <c r="F1011" s="2" t="s">
        <v>114</v>
      </c>
      <c r="G1011" s="2" t="s">
        <v>52</v>
      </c>
      <c r="H1011" s="2" t="s">
        <v>67</v>
      </c>
      <c r="I1011" s="2" t="s">
        <v>68</v>
      </c>
      <c r="J1011" t="s">
        <v>166</v>
      </c>
      <c r="L1011" s="3">
        <v>1.76</v>
      </c>
      <c r="M1011" s="3">
        <v>1.4783999999999999</v>
      </c>
      <c r="N1011" s="3">
        <f t="shared" ca="1" si="50"/>
        <v>1.8480000000000001</v>
      </c>
      <c r="O1011" s="3">
        <f t="shared" si="48"/>
        <v>1.76</v>
      </c>
      <c r="P1011">
        <v>383.52</v>
      </c>
      <c r="T1011">
        <f t="shared" si="49"/>
        <v>0</v>
      </c>
    </row>
    <row r="1012" spans="1:20" x14ac:dyDescent="0.3">
      <c r="A1012" s="1">
        <v>45566</v>
      </c>
      <c r="B1012" s="1" t="str">
        <f t="shared" si="47"/>
        <v>Grofers_Ahmedabad_Product_9_45566</v>
      </c>
      <c r="C1012" s="2" t="s">
        <v>112</v>
      </c>
      <c r="D1012" s="2" t="s">
        <v>113</v>
      </c>
      <c r="E1012" s="2" t="s">
        <v>34</v>
      </c>
      <c r="F1012" s="2" t="s">
        <v>114</v>
      </c>
      <c r="G1012" s="2" t="s">
        <v>52</v>
      </c>
      <c r="H1012" s="2" t="s">
        <v>37</v>
      </c>
      <c r="I1012" s="2" t="s">
        <v>71</v>
      </c>
      <c r="J1012" t="s">
        <v>166</v>
      </c>
      <c r="L1012" s="3">
        <v>1.84</v>
      </c>
      <c r="M1012" s="3">
        <v>1.7296</v>
      </c>
      <c r="N1012" s="3">
        <f t="shared" ca="1" si="50"/>
        <v>2.1896</v>
      </c>
      <c r="O1012" s="3">
        <f t="shared" si="48"/>
        <v>1.84</v>
      </c>
      <c r="P1012">
        <v>672</v>
      </c>
      <c r="T1012">
        <f t="shared" si="49"/>
        <v>2.8848000000000003</v>
      </c>
    </row>
    <row r="1013" spans="1:20" x14ac:dyDescent="0.3">
      <c r="A1013" s="1">
        <v>45566</v>
      </c>
      <c r="B1013" s="1" t="str">
        <f t="shared" si="47"/>
        <v>Maharashtra_MH-Aggregated_Product_9_45566</v>
      </c>
      <c r="C1013" s="2" t="s">
        <v>69</v>
      </c>
      <c r="D1013" s="2" t="s">
        <v>70</v>
      </c>
      <c r="E1013" s="2" t="s">
        <v>26</v>
      </c>
      <c r="F1013" s="2" t="s">
        <v>41</v>
      </c>
      <c r="G1013" s="2" t="s">
        <v>42</v>
      </c>
      <c r="H1013" s="2" t="s">
        <v>37</v>
      </c>
      <c r="I1013" s="2" t="s">
        <v>71</v>
      </c>
      <c r="J1013" t="s">
        <v>166</v>
      </c>
      <c r="L1013" s="3">
        <v>1.82</v>
      </c>
      <c r="M1013" s="3">
        <v>1.4742000000000002</v>
      </c>
      <c r="N1013" s="3">
        <f t="shared" ca="1" si="50"/>
        <v>1.9474</v>
      </c>
      <c r="O1013" s="3">
        <f t="shared" si="48"/>
        <v>1.82</v>
      </c>
      <c r="P1013">
        <v>672</v>
      </c>
      <c r="T1013">
        <f t="shared" si="49"/>
        <v>0</v>
      </c>
    </row>
    <row r="1014" spans="1:20" x14ac:dyDescent="0.3">
      <c r="A1014" s="1">
        <v>45566</v>
      </c>
      <c r="B1014" s="1" t="str">
        <f t="shared" si="47"/>
        <v>Reliance_Bhiwandi_Product_10_45566</v>
      </c>
      <c r="C1014" s="2" t="s">
        <v>85</v>
      </c>
      <c r="D1014" s="2" t="s">
        <v>86</v>
      </c>
      <c r="E1014" s="2" t="s">
        <v>34</v>
      </c>
      <c r="F1014" s="2" t="s">
        <v>51</v>
      </c>
      <c r="G1014" s="2" t="s">
        <v>66</v>
      </c>
      <c r="H1014" s="2" t="s">
        <v>67</v>
      </c>
      <c r="I1014" s="2" t="s">
        <v>76</v>
      </c>
      <c r="J1014" t="s">
        <v>166</v>
      </c>
      <c r="L1014" s="3">
        <v>12.649999999999999</v>
      </c>
      <c r="M1014" s="3">
        <v>10.625999999999999</v>
      </c>
      <c r="N1014" s="3">
        <f t="shared" ca="1" si="50"/>
        <v>13.788499999999999</v>
      </c>
      <c r="O1014" s="3">
        <f t="shared" si="48"/>
        <v>12.649999999999999</v>
      </c>
      <c r="P1014">
        <v>421.92</v>
      </c>
      <c r="T1014">
        <f t="shared" si="49"/>
        <v>-2.5007999999999999</v>
      </c>
    </row>
    <row r="1015" spans="1:20" x14ac:dyDescent="0.3">
      <c r="A1015" s="1">
        <v>45566</v>
      </c>
      <c r="B1015" s="1" t="str">
        <f t="shared" si="47"/>
        <v>Swiggy_Bangalore_Product_16_45566</v>
      </c>
      <c r="C1015" s="2" t="s">
        <v>107</v>
      </c>
      <c r="D1015" s="2" t="s">
        <v>108</v>
      </c>
      <c r="E1015" s="2" t="s">
        <v>34</v>
      </c>
      <c r="F1015" s="2" t="s">
        <v>35</v>
      </c>
      <c r="G1015" s="2" t="s">
        <v>79</v>
      </c>
      <c r="H1015" s="2" t="s">
        <v>47</v>
      </c>
      <c r="I1015" s="2" t="s">
        <v>109</v>
      </c>
      <c r="J1015" t="s">
        <v>166</v>
      </c>
      <c r="L1015" s="4">
        <v>2.02</v>
      </c>
      <c r="M1015" s="3">
        <v>1.9594</v>
      </c>
      <c r="N1015" s="3">
        <f t="shared" ca="1" si="50"/>
        <v>2.4239999999999999</v>
      </c>
      <c r="O1015" s="3">
        <f t="shared" si="48"/>
        <v>2.02</v>
      </c>
      <c r="P1015">
        <v>421.92</v>
      </c>
      <c r="T1015">
        <f t="shared" si="49"/>
        <v>0</v>
      </c>
    </row>
    <row r="1016" spans="1:20" x14ac:dyDescent="0.3">
      <c r="A1016" s="1">
        <v>45566</v>
      </c>
      <c r="B1016" s="1" t="str">
        <f t="shared" si="47"/>
        <v>Jharkhand_JH-Aggregated_Product_15_45566</v>
      </c>
      <c r="C1016" s="2" t="s">
        <v>103</v>
      </c>
      <c r="D1016" s="2" t="s">
        <v>104</v>
      </c>
      <c r="E1016" s="2" t="s">
        <v>26</v>
      </c>
      <c r="F1016" s="2" t="s">
        <v>27</v>
      </c>
      <c r="G1016" s="2" t="s">
        <v>28</v>
      </c>
      <c r="H1016" s="2" t="s">
        <v>105</v>
      </c>
      <c r="I1016" s="2" t="s">
        <v>106</v>
      </c>
      <c r="J1016" t="s">
        <v>166</v>
      </c>
      <c r="L1016" s="3">
        <v>6.5</v>
      </c>
      <c r="M1016" s="3">
        <v>5.98</v>
      </c>
      <c r="N1016" s="3">
        <f t="shared" ca="1" si="50"/>
        <v>7.02</v>
      </c>
      <c r="O1016" s="3">
        <f t="shared" si="48"/>
        <v>6.5</v>
      </c>
      <c r="P1016">
        <v>748.8</v>
      </c>
      <c r="T1016">
        <f t="shared" si="49"/>
        <v>3.2687999999999993</v>
      </c>
    </row>
    <row r="1017" spans="1:20" x14ac:dyDescent="0.3">
      <c r="A1017" s="1">
        <v>45566</v>
      </c>
      <c r="B1017" s="1" t="str">
        <f t="shared" si="47"/>
        <v>Grofers_Hyderabad_Product_21_45566</v>
      </c>
      <c r="C1017" s="2" t="s">
        <v>135</v>
      </c>
      <c r="D1017" s="2" t="s">
        <v>136</v>
      </c>
      <c r="E1017" s="2" t="s">
        <v>34</v>
      </c>
      <c r="F1017" s="2" t="s">
        <v>114</v>
      </c>
      <c r="G1017" s="2" t="s">
        <v>137</v>
      </c>
      <c r="H1017" s="2" t="s">
        <v>133</v>
      </c>
      <c r="I1017" s="2" t="s">
        <v>134</v>
      </c>
      <c r="J1017" t="s">
        <v>166</v>
      </c>
      <c r="L1017" s="4">
        <v>0.99</v>
      </c>
      <c r="M1017" s="3">
        <v>0.80189999999999995</v>
      </c>
      <c r="N1017" s="3">
        <f t="shared" ca="1" si="50"/>
        <v>1.0989</v>
      </c>
      <c r="O1017" s="3">
        <f t="shared" si="48"/>
        <v>0.99</v>
      </c>
      <c r="P1017">
        <v>748.8</v>
      </c>
      <c r="T1017">
        <f t="shared" si="49"/>
        <v>0</v>
      </c>
    </row>
    <row r="1018" spans="1:20" x14ac:dyDescent="0.3">
      <c r="A1018" s="1">
        <v>45566</v>
      </c>
      <c r="B1018" s="1" t="str">
        <f t="shared" si="47"/>
        <v>Reliance_Bangalore_Product_13_45566</v>
      </c>
      <c r="C1018" s="2" t="s">
        <v>93</v>
      </c>
      <c r="D1018" s="2" t="s">
        <v>94</v>
      </c>
      <c r="E1018" s="2" t="s">
        <v>34</v>
      </c>
      <c r="F1018" s="2" t="s">
        <v>51</v>
      </c>
      <c r="G1018" s="2" t="s">
        <v>79</v>
      </c>
      <c r="H1018" s="2" t="s">
        <v>67</v>
      </c>
      <c r="I1018" s="2" t="s">
        <v>95</v>
      </c>
      <c r="J1018" t="s">
        <v>166</v>
      </c>
      <c r="L1018" s="4">
        <v>7.9799999999999995</v>
      </c>
      <c r="M1018" s="3">
        <v>7.8203999999999994</v>
      </c>
      <c r="N1018" s="3">
        <f t="shared" ca="1" si="50"/>
        <v>9.1769999999999996</v>
      </c>
      <c r="O1018" s="3">
        <f t="shared" si="48"/>
        <v>7.9799999999999995</v>
      </c>
      <c r="P1018">
        <v>84</v>
      </c>
      <c r="T1018">
        <f t="shared" si="49"/>
        <v>-6.6479999999999997</v>
      </c>
    </row>
    <row r="1019" spans="1:20" x14ac:dyDescent="0.3">
      <c r="A1019" s="1">
        <v>45566</v>
      </c>
      <c r="B1019" s="1" t="str">
        <f t="shared" si="47"/>
        <v>Zepto_Bhiwandi_Product_24_45566</v>
      </c>
      <c r="C1019" s="2" t="s">
        <v>163</v>
      </c>
      <c r="D1019" s="2" t="s">
        <v>164</v>
      </c>
      <c r="E1019" s="2" t="s">
        <v>34</v>
      </c>
      <c r="F1019" s="2" t="s">
        <v>46</v>
      </c>
      <c r="G1019" s="2" t="s">
        <v>66</v>
      </c>
      <c r="H1019" s="2" t="s">
        <v>47</v>
      </c>
      <c r="I1019" s="2" t="s">
        <v>165</v>
      </c>
      <c r="J1019" t="s">
        <v>166</v>
      </c>
      <c r="L1019" s="3">
        <v>13.719999999999999</v>
      </c>
      <c r="M1019" s="3">
        <v>11.799199999999999</v>
      </c>
      <c r="N1019" s="3">
        <f t="shared" ca="1" si="50"/>
        <v>14.954799999999999</v>
      </c>
      <c r="O1019" s="3">
        <f t="shared" si="48"/>
        <v>13.719999999999999</v>
      </c>
      <c r="P1019">
        <v>48</v>
      </c>
      <c r="T1019">
        <f t="shared" si="49"/>
        <v>-0.36</v>
      </c>
    </row>
    <row r="1020" spans="1:20" x14ac:dyDescent="0.3">
      <c r="A1020" s="1">
        <v>45566</v>
      </c>
      <c r="B1020" s="1" t="str">
        <f t="shared" si="47"/>
        <v>Swiggy_Mundka_Product_14_45566</v>
      </c>
      <c r="C1020" s="2" t="s">
        <v>96</v>
      </c>
      <c r="D1020" s="2" t="s">
        <v>97</v>
      </c>
      <c r="E1020" s="2" t="s">
        <v>34</v>
      </c>
      <c r="F1020" s="2" t="s">
        <v>35</v>
      </c>
      <c r="G1020" s="2" t="s">
        <v>36</v>
      </c>
      <c r="H1020" s="2" t="s">
        <v>47</v>
      </c>
      <c r="I1020" s="2" t="s">
        <v>98</v>
      </c>
      <c r="J1020" t="s">
        <v>166</v>
      </c>
      <c r="L1020" s="3">
        <v>22.1</v>
      </c>
      <c r="M1020" s="3">
        <v>21.216000000000005</v>
      </c>
      <c r="N1020" s="3">
        <f t="shared" ca="1" si="50"/>
        <v>24.089000000000002</v>
      </c>
      <c r="O1020" s="3">
        <f t="shared" si="48"/>
        <v>22.1</v>
      </c>
      <c r="P1020">
        <v>383.52</v>
      </c>
      <c r="T1020">
        <f t="shared" si="49"/>
        <v>3.3552</v>
      </c>
    </row>
    <row r="1021" spans="1:20" x14ac:dyDescent="0.3">
      <c r="A1021" s="1">
        <v>45566</v>
      </c>
      <c r="B1021" s="1" t="str">
        <f t="shared" si="47"/>
        <v>Zepto_Mundka_Product_4_45566</v>
      </c>
      <c r="C1021" s="2" t="s">
        <v>44</v>
      </c>
      <c r="D1021" s="2" t="s">
        <v>45</v>
      </c>
      <c r="E1021" s="2" t="s">
        <v>34</v>
      </c>
      <c r="F1021" s="2" t="s">
        <v>46</v>
      </c>
      <c r="G1021" s="2" t="s">
        <v>36</v>
      </c>
      <c r="H1021" s="2" t="s">
        <v>47</v>
      </c>
      <c r="I1021" s="2" t="s">
        <v>48</v>
      </c>
      <c r="J1021" t="s">
        <v>166</v>
      </c>
      <c r="L1021" s="3">
        <v>3.3600000000000003</v>
      </c>
      <c r="M1021" s="3">
        <v>2.8224</v>
      </c>
      <c r="N1021" s="3">
        <f t="shared" ca="1" si="50"/>
        <v>3.8640000000000003</v>
      </c>
      <c r="O1021" s="3">
        <f t="shared" si="48"/>
        <v>3.3600000000000003</v>
      </c>
      <c r="P1021">
        <v>383.52</v>
      </c>
      <c r="T1021">
        <f t="shared" si="49"/>
        <v>0</v>
      </c>
    </row>
    <row r="1022" spans="1:20" x14ac:dyDescent="0.3">
      <c r="A1022" s="1">
        <v>45566</v>
      </c>
      <c r="B1022" s="1" t="str">
        <f t="shared" si="47"/>
        <v>Zepto_Bhiwandi_Product_25_45566</v>
      </c>
      <c r="C1022" s="2" t="s">
        <v>167</v>
      </c>
      <c r="D1022" s="2" t="s">
        <v>168</v>
      </c>
      <c r="E1022" s="2" t="s">
        <v>34</v>
      </c>
      <c r="F1022" s="2" t="s">
        <v>46</v>
      </c>
      <c r="G1022" s="2" t="s">
        <v>66</v>
      </c>
      <c r="H1022" s="2" t="s">
        <v>47</v>
      </c>
      <c r="I1022" s="2" t="s">
        <v>169</v>
      </c>
      <c r="J1022" t="s">
        <v>166</v>
      </c>
      <c r="L1022" s="3">
        <v>7.07</v>
      </c>
      <c r="M1022" s="3">
        <v>6.6458000000000004</v>
      </c>
      <c r="N1022" s="3">
        <f t="shared" ca="1" si="50"/>
        <v>7.4235000000000007</v>
      </c>
      <c r="O1022" s="3">
        <f t="shared" si="48"/>
        <v>7.07</v>
      </c>
      <c r="P1022">
        <v>672</v>
      </c>
      <c r="T1022">
        <f t="shared" si="49"/>
        <v>2.8848000000000003</v>
      </c>
    </row>
    <row r="1023" spans="1:20" x14ac:dyDescent="0.3">
      <c r="A1023" s="1">
        <v>45566</v>
      </c>
      <c r="B1023" s="1" t="str">
        <f t="shared" si="47"/>
        <v>Reliance_Mundka_Product_9_45566</v>
      </c>
      <c r="C1023" s="2" t="s">
        <v>145</v>
      </c>
      <c r="D1023" s="2" t="s">
        <v>146</v>
      </c>
      <c r="E1023" s="2" t="s">
        <v>34</v>
      </c>
      <c r="F1023" s="2" t="s">
        <v>51</v>
      </c>
      <c r="G1023" s="2" t="s">
        <v>36</v>
      </c>
      <c r="H1023" s="2" t="s">
        <v>37</v>
      </c>
      <c r="I1023" s="2" t="s">
        <v>71</v>
      </c>
      <c r="J1023" t="s">
        <v>166</v>
      </c>
      <c r="L1023" s="3">
        <v>1.84</v>
      </c>
      <c r="M1023" s="3">
        <v>1.7664000000000002</v>
      </c>
      <c r="N1023" s="3">
        <f t="shared" ca="1" si="50"/>
        <v>2.1343999999999999</v>
      </c>
      <c r="O1023" s="3">
        <f t="shared" si="48"/>
        <v>1.84</v>
      </c>
      <c r="P1023">
        <v>672</v>
      </c>
      <c r="T1023">
        <f t="shared" si="49"/>
        <v>0</v>
      </c>
    </row>
    <row r="1024" spans="1:20" x14ac:dyDescent="0.3">
      <c r="A1024" s="1">
        <v>45566</v>
      </c>
      <c r="B1024" s="1" t="str">
        <f t="shared" si="47"/>
        <v>Reliance_Bhiwandi_Product_11_45566</v>
      </c>
      <c r="C1024" s="2" t="s">
        <v>87</v>
      </c>
      <c r="D1024" s="2" t="s">
        <v>88</v>
      </c>
      <c r="E1024" s="2" t="s">
        <v>34</v>
      </c>
      <c r="F1024" s="2" t="s">
        <v>51</v>
      </c>
      <c r="G1024" s="2" t="s">
        <v>66</v>
      </c>
      <c r="H1024" s="2" t="s">
        <v>67</v>
      </c>
      <c r="I1024" s="2" t="s">
        <v>89</v>
      </c>
      <c r="J1024" t="s">
        <v>166</v>
      </c>
      <c r="L1024" s="3">
        <v>31.919999999999998</v>
      </c>
      <c r="M1024" s="3">
        <v>26.812799999999996</v>
      </c>
      <c r="N1024" s="3">
        <f t="shared" ca="1" si="50"/>
        <v>33.8352</v>
      </c>
      <c r="O1024" s="3">
        <f t="shared" si="48"/>
        <v>31.919999999999998</v>
      </c>
      <c r="P1024">
        <v>421.92</v>
      </c>
      <c r="T1024">
        <f t="shared" si="49"/>
        <v>-2.5007999999999999</v>
      </c>
    </row>
    <row r="1025" spans="1:20" x14ac:dyDescent="0.3">
      <c r="A1025" s="1">
        <v>45566</v>
      </c>
      <c r="B1025" s="1" t="str">
        <f t="shared" si="47"/>
        <v>Reliance_Bangalore_Product_8_45566</v>
      </c>
      <c r="C1025" s="2" t="s">
        <v>77</v>
      </c>
      <c r="D1025" s="2" t="s">
        <v>78</v>
      </c>
      <c r="E1025" s="2" t="s">
        <v>34</v>
      </c>
      <c r="F1025" s="2" t="s">
        <v>51</v>
      </c>
      <c r="G1025" s="2" t="s">
        <v>79</v>
      </c>
      <c r="H1025" s="2" t="s">
        <v>67</v>
      </c>
      <c r="I1025" s="2" t="s">
        <v>68</v>
      </c>
      <c r="J1025" t="s">
        <v>166</v>
      </c>
      <c r="L1025" s="3">
        <v>5.7399999999999993</v>
      </c>
      <c r="M1025" s="3">
        <v>5.3381999999999996</v>
      </c>
      <c r="N1025" s="3">
        <f t="shared" ca="1" si="50"/>
        <v>6.0269999999999992</v>
      </c>
      <c r="O1025" s="3">
        <f t="shared" si="48"/>
        <v>5.7399999999999993</v>
      </c>
      <c r="P1025">
        <v>421.92</v>
      </c>
      <c r="T1025">
        <f t="shared" si="49"/>
        <v>0</v>
      </c>
    </row>
    <row r="1026" spans="1:20" x14ac:dyDescent="0.3">
      <c r="A1026" s="1">
        <v>45566</v>
      </c>
      <c r="B1026" s="1" t="str">
        <f t="shared" si="47"/>
        <v>Zepto_Mundka_Product_3_45566</v>
      </c>
      <c r="C1026" s="2" t="s">
        <v>72</v>
      </c>
      <c r="D1026" s="2" t="s">
        <v>73</v>
      </c>
      <c r="E1026" s="2" t="s">
        <v>34</v>
      </c>
      <c r="F1026" s="2" t="s">
        <v>46</v>
      </c>
      <c r="G1026" s="2" t="s">
        <v>36</v>
      </c>
      <c r="H1026" s="2" t="s">
        <v>37</v>
      </c>
      <c r="I1026" s="2" t="s">
        <v>43</v>
      </c>
      <c r="J1026" t="s">
        <v>166</v>
      </c>
      <c r="L1026" s="3">
        <v>16.939999999999998</v>
      </c>
      <c r="M1026" s="3">
        <v>14.398999999999999</v>
      </c>
      <c r="N1026" s="3">
        <f t="shared" ca="1" si="50"/>
        <v>19.819799999999997</v>
      </c>
      <c r="O1026" s="3">
        <f t="shared" si="48"/>
        <v>16.939999999999998</v>
      </c>
      <c r="P1026">
        <v>748.8</v>
      </c>
      <c r="T1026">
        <f t="shared" si="49"/>
        <v>3.2687999999999993</v>
      </c>
    </row>
    <row r="1027" spans="1:20" x14ac:dyDescent="0.3">
      <c r="A1027" s="1">
        <v>45566</v>
      </c>
      <c r="B1027" s="1" t="str">
        <f t="shared" ref="B1027:B1090" si="51">C1027&amp;"_"&amp;A1027</f>
        <v>Reliance_Kolkata CFA_Product_12_45566</v>
      </c>
      <c r="C1027" s="2" t="s">
        <v>101</v>
      </c>
      <c r="D1027" s="2" t="s">
        <v>102</v>
      </c>
      <c r="E1027" s="2" t="s">
        <v>34</v>
      </c>
      <c r="F1027" s="2" t="s">
        <v>51</v>
      </c>
      <c r="G1027" s="2" t="s">
        <v>63</v>
      </c>
      <c r="H1027" s="2" t="s">
        <v>67</v>
      </c>
      <c r="I1027" s="2" t="s">
        <v>92</v>
      </c>
      <c r="J1027" t="s">
        <v>166</v>
      </c>
      <c r="L1027" s="3">
        <v>3.0300000000000002</v>
      </c>
      <c r="M1027" s="3">
        <v>2.9391000000000003</v>
      </c>
      <c r="N1027" s="3">
        <f t="shared" ca="1" si="50"/>
        <v>3.3027000000000002</v>
      </c>
      <c r="O1027" s="3">
        <f t="shared" ref="O1027:O1090" si="52">L1027</f>
        <v>3.0300000000000002</v>
      </c>
      <c r="P1027">
        <v>748.8</v>
      </c>
      <c r="T1027">
        <f t="shared" si="49"/>
        <v>0</v>
      </c>
    </row>
    <row r="1028" spans="1:20" x14ac:dyDescent="0.3">
      <c r="A1028" s="1">
        <v>45566</v>
      </c>
      <c r="B1028" s="1" t="str">
        <f t="shared" si="51"/>
        <v>Swiggy_Mundka_Product_2_45566</v>
      </c>
      <c r="C1028" s="2" t="s">
        <v>32</v>
      </c>
      <c r="D1028" s="2" t="s">
        <v>33</v>
      </c>
      <c r="E1028" s="2" t="s">
        <v>34</v>
      </c>
      <c r="F1028" s="2" t="s">
        <v>35</v>
      </c>
      <c r="G1028" s="2" t="s">
        <v>36</v>
      </c>
      <c r="H1028" s="2" t="s">
        <v>37</v>
      </c>
      <c r="I1028" s="2" t="s">
        <v>38</v>
      </c>
      <c r="J1028" t="s">
        <v>166</v>
      </c>
      <c r="L1028" s="3">
        <v>27.5</v>
      </c>
      <c r="M1028" s="3">
        <v>26.95</v>
      </c>
      <c r="N1028" s="3">
        <f t="shared" ca="1" si="50"/>
        <v>28.875</v>
      </c>
      <c r="O1028" s="3">
        <f t="shared" si="52"/>
        <v>27.5</v>
      </c>
      <c r="P1028">
        <v>84</v>
      </c>
      <c r="T1028">
        <f t="shared" ref="T1028:T1091" si="53">(P1028-P1027)/100</f>
        <v>-6.6479999999999997</v>
      </c>
    </row>
    <row r="1029" spans="1:20" x14ac:dyDescent="0.3">
      <c r="A1029" s="1">
        <v>45566</v>
      </c>
      <c r="B1029" s="1" t="str">
        <f t="shared" si="51"/>
        <v>Swiggy_Mundka_Product_26_45566</v>
      </c>
      <c r="C1029" s="2" t="s">
        <v>170</v>
      </c>
      <c r="D1029" s="2" t="s">
        <v>171</v>
      </c>
      <c r="E1029" s="2" t="s">
        <v>34</v>
      </c>
      <c r="F1029" s="2" t="s">
        <v>35</v>
      </c>
      <c r="G1029" s="2" t="s">
        <v>36</v>
      </c>
      <c r="H1029" s="2" t="s">
        <v>47</v>
      </c>
      <c r="I1029" s="2" t="s">
        <v>172</v>
      </c>
      <c r="J1029" t="s">
        <v>166</v>
      </c>
      <c r="L1029" s="3">
        <v>63</v>
      </c>
      <c r="M1029" s="3">
        <v>57.96</v>
      </c>
      <c r="N1029" s="3">
        <f t="shared" ca="1" si="50"/>
        <v>68.67</v>
      </c>
      <c r="O1029" s="3">
        <f t="shared" si="52"/>
        <v>63</v>
      </c>
      <c r="P1029">
        <v>48</v>
      </c>
      <c r="T1029">
        <f t="shared" si="53"/>
        <v>-0.36</v>
      </c>
    </row>
    <row r="1030" spans="1:20" x14ac:dyDescent="0.3">
      <c r="A1030" s="1">
        <v>45566</v>
      </c>
      <c r="B1030" s="1" t="str">
        <f t="shared" si="51"/>
        <v>Reliance_Bangalore_Product_14_45566</v>
      </c>
      <c r="C1030" s="2" t="s">
        <v>155</v>
      </c>
      <c r="D1030" s="2" t="s">
        <v>156</v>
      </c>
      <c r="E1030" s="2" t="s">
        <v>34</v>
      </c>
      <c r="F1030" s="2" t="s">
        <v>51</v>
      </c>
      <c r="G1030" s="2" t="s">
        <v>79</v>
      </c>
      <c r="H1030" s="2" t="s">
        <v>47</v>
      </c>
      <c r="I1030" s="2" t="s">
        <v>98</v>
      </c>
      <c r="J1030" t="s">
        <v>166</v>
      </c>
      <c r="L1030" s="3">
        <v>3.6</v>
      </c>
      <c r="M1030" s="3">
        <v>2.9160000000000004</v>
      </c>
      <c r="N1030" s="3">
        <f t="shared" ca="1" si="50"/>
        <v>3.78</v>
      </c>
      <c r="O1030" s="3">
        <f t="shared" si="52"/>
        <v>3.6</v>
      </c>
      <c r="P1030">
        <v>383.52</v>
      </c>
      <c r="T1030">
        <f t="shared" si="53"/>
        <v>3.3552</v>
      </c>
    </row>
    <row r="1031" spans="1:20" x14ac:dyDescent="0.3">
      <c r="A1031" s="1">
        <v>45566</v>
      </c>
      <c r="B1031" s="1" t="str">
        <f t="shared" si="51"/>
        <v>Grofers_Mundka_Product_21_45566</v>
      </c>
      <c r="C1031" s="2" t="s">
        <v>131</v>
      </c>
      <c r="D1031" s="2" t="s">
        <v>132</v>
      </c>
      <c r="E1031" s="2" t="s">
        <v>34</v>
      </c>
      <c r="F1031" s="2" t="s">
        <v>114</v>
      </c>
      <c r="G1031" s="2" t="s">
        <v>36</v>
      </c>
      <c r="H1031" s="2" t="s">
        <v>133</v>
      </c>
      <c r="I1031" s="2" t="s">
        <v>134</v>
      </c>
      <c r="J1031" t="s">
        <v>166</v>
      </c>
      <c r="L1031" s="3">
        <v>2.02</v>
      </c>
      <c r="M1031" s="3">
        <v>1.8988</v>
      </c>
      <c r="N1031" s="3">
        <f t="shared" ca="1" si="50"/>
        <v>2.3633999999999999</v>
      </c>
      <c r="O1031" s="3">
        <f t="shared" si="52"/>
        <v>2.02</v>
      </c>
      <c r="P1031">
        <v>383.52</v>
      </c>
      <c r="T1031">
        <f t="shared" si="53"/>
        <v>0</v>
      </c>
    </row>
    <row r="1032" spans="1:20" x14ac:dyDescent="0.3">
      <c r="A1032" s="1">
        <v>45566</v>
      </c>
      <c r="B1032" s="1" t="str">
        <f t="shared" si="51"/>
        <v>Jharkhand_JH-Aggregated_Product_19_45566</v>
      </c>
      <c r="C1032" s="2" t="s">
        <v>124</v>
      </c>
      <c r="D1032" s="2" t="s">
        <v>125</v>
      </c>
      <c r="E1032" s="2" t="s">
        <v>26</v>
      </c>
      <c r="F1032" s="2" t="s">
        <v>27</v>
      </c>
      <c r="G1032" s="2" t="s">
        <v>28</v>
      </c>
      <c r="H1032" s="2" t="s">
        <v>126</v>
      </c>
      <c r="I1032" s="2" t="s">
        <v>127</v>
      </c>
      <c r="J1032" t="s">
        <v>166</v>
      </c>
      <c r="L1032" s="3">
        <v>2.3199999999999998</v>
      </c>
      <c r="M1032" s="3">
        <v>2.3199999999999998</v>
      </c>
      <c r="N1032" s="3">
        <f t="shared" ca="1" si="50"/>
        <v>2.4823999999999997</v>
      </c>
      <c r="O1032" s="3">
        <f t="shared" si="52"/>
        <v>2.3199999999999998</v>
      </c>
      <c r="P1032">
        <v>672</v>
      </c>
      <c r="T1032">
        <f t="shared" si="53"/>
        <v>2.8848000000000003</v>
      </c>
    </row>
    <row r="1033" spans="1:20" x14ac:dyDescent="0.3">
      <c r="A1033" s="1">
        <v>45566</v>
      </c>
      <c r="B1033" s="1" t="str">
        <f t="shared" si="51"/>
        <v>Swiggy_Kolkata CFA_Product_11_45566</v>
      </c>
      <c r="C1033" s="2" t="s">
        <v>119</v>
      </c>
      <c r="D1033" s="2" t="s">
        <v>120</v>
      </c>
      <c r="E1033" s="2" t="s">
        <v>34</v>
      </c>
      <c r="F1033" s="2" t="s">
        <v>35</v>
      </c>
      <c r="G1033" s="2" t="s">
        <v>63</v>
      </c>
      <c r="H1033" s="2" t="s">
        <v>67</v>
      </c>
      <c r="I1033" s="2" t="s">
        <v>89</v>
      </c>
      <c r="J1033" t="s">
        <v>166</v>
      </c>
      <c r="L1033" s="3">
        <v>1.96</v>
      </c>
      <c r="M1033" s="3">
        <v>1.9207999999999998</v>
      </c>
      <c r="N1033" s="3">
        <f t="shared" ca="1" si="50"/>
        <v>2.2343999999999999</v>
      </c>
      <c r="O1033" s="3">
        <f t="shared" si="52"/>
        <v>1.96</v>
      </c>
      <c r="P1033">
        <v>672</v>
      </c>
      <c r="T1033">
        <f t="shared" si="53"/>
        <v>0</v>
      </c>
    </row>
    <row r="1034" spans="1:20" x14ac:dyDescent="0.3">
      <c r="A1034" s="1">
        <v>45566</v>
      </c>
      <c r="B1034" s="1" t="str">
        <f t="shared" si="51"/>
        <v>Swiggy_Kolkata CFA_Product_3_45566</v>
      </c>
      <c r="C1034" s="2" t="s">
        <v>61</v>
      </c>
      <c r="D1034" s="2" t="s">
        <v>62</v>
      </c>
      <c r="E1034" s="2" t="s">
        <v>34</v>
      </c>
      <c r="F1034" s="2" t="s">
        <v>35</v>
      </c>
      <c r="G1034" s="2" t="s">
        <v>63</v>
      </c>
      <c r="H1034" s="2" t="s">
        <v>37</v>
      </c>
      <c r="I1034" s="2" t="s">
        <v>43</v>
      </c>
      <c r="J1034" t="s">
        <v>166</v>
      </c>
      <c r="L1034" s="3">
        <v>9.76</v>
      </c>
      <c r="M1034" s="3">
        <v>8.686399999999999</v>
      </c>
      <c r="N1034" s="3">
        <f t="shared" ca="1" si="50"/>
        <v>11.6144</v>
      </c>
      <c r="O1034" s="3">
        <f t="shared" si="52"/>
        <v>9.76</v>
      </c>
      <c r="P1034">
        <v>421.92</v>
      </c>
      <c r="T1034">
        <f t="shared" si="53"/>
        <v>-2.5007999999999999</v>
      </c>
    </row>
    <row r="1035" spans="1:20" x14ac:dyDescent="0.3">
      <c r="A1035" s="1">
        <v>45566</v>
      </c>
      <c r="B1035" s="1" t="str">
        <f t="shared" si="51"/>
        <v>Grofers_Kolkata CFA_Product_20_45566</v>
      </c>
      <c r="C1035" s="2" t="s">
        <v>153</v>
      </c>
      <c r="D1035" s="2" t="s">
        <v>154</v>
      </c>
      <c r="E1035" s="2" t="s">
        <v>34</v>
      </c>
      <c r="F1035" s="2" t="s">
        <v>114</v>
      </c>
      <c r="G1035" s="2" t="s">
        <v>63</v>
      </c>
      <c r="H1035" s="2" t="s">
        <v>47</v>
      </c>
      <c r="I1035" s="2" t="s">
        <v>130</v>
      </c>
      <c r="J1035" t="s">
        <v>166</v>
      </c>
      <c r="L1035" s="3">
        <v>2.58</v>
      </c>
      <c r="M1035" s="3">
        <v>2.3220000000000001</v>
      </c>
      <c r="N1035" s="3">
        <f t="shared" ca="1" si="50"/>
        <v>3.0701999999999998</v>
      </c>
      <c r="O1035" s="3">
        <f t="shared" si="52"/>
        <v>2.58</v>
      </c>
      <c r="P1035">
        <v>421.92</v>
      </c>
      <c r="T1035">
        <f t="shared" si="53"/>
        <v>0</v>
      </c>
    </row>
    <row r="1036" spans="1:20" x14ac:dyDescent="0.3">
      <c r="A1036" s="1">
        <v>45566</v>
      </c>
      <c r="B1036" s="1" t="str">
        <f t="shared" si="51"/>
        <v>Reliance_Chennai_Product_11_45566</v>
      </c>
      <c r="C1036" s="2" t="s">
        <v>110</v>
      </c>
      <c r="D1036" s="2" t="s">
        <v>111</v>
      </c>
      <c r="E1036" s="2" t="s">
        <v>34</v>
      </c>
      <c r="F1036" s="2" t="s">
        <v>51</v>
      </c>
      <c r="G1036" s="2" t="s">
        <v>84</v>
      </c>
      <c r="H1036" s="2" t="s">
        <v>67</v>
      </c>
      <c r="I1036" s="2" t="s">
        <v>89</v>
      </c>
      <c r="J1036" t="s">
        <v>166</v>
      </c>
      <c r="L1036" s="3">
        <v>3.6</v>
      </c>
      <c r="M1036" s="3">
        <v>3.0240000000000005</v>
      </c>
      <c r="N1036" s="3">
        <f t="shared" ca="1" si="50"/>
        <v>4.1399999999999997</v>
      </c>
      <c r="O1036" s="3">
        <f t="shared" si="52"/>
        <v>3.6</v>
      </c>
      <c r="P1036">
        <v>748.8</v>
      </c>
      <c r="T1036">
        <f t="shared" si="53"/>
        <v>3.2687999999999993</v>
      </c>
    </row>
    <row r="1037" spans="1:20" x14ac:dyDescent="0.3">
      <c r="A1037" s="1">
        <v>45566</v>
      </c>
      <c r="B1037" s="1" t="str">
        <f t="shared" si="51"/>
        <v>Swiggy_Hyderabad_Product_25_45566</v>
      </c>
      <c r="C1037" s="2" t="s">
        <v>173</v>
      </c>
      <c r="D1037" s="2" t="s">
        <v>174</v>
      </c>
      <c r="E1037" s="2" t="s">
        <v>34</v>
      </c>
      <c r="F1037" s="2" t="s">
        <v>35</v>
      </c>
      <c r="G1037" s="2" t="s">
        <v>137</v>
      </c>
      <c r="H1037" s="2" t="s">
        <v>47</v>
      </c>
      <c r="I1037" s="2" t="s">
        <v>169</v>
      </c>
      <c r="J1037" t="s">
        <v>166</v>
      </c>
      <c r="L1037" s="3">
        <v>1.08</v>
      </c>
      <c r="M1037" s="3">
        <v>1.0044000000000002</v>
      </c>
      <c r="N1037" s="3">
        <f t="shared" ca="1" si="50"/>
        <v>1.2312000000000001</v>
      </c>
      <c r="O1037" s="3">
        <f t="shared" si="52"/>
        <v>1.08</v>
      </c>
      <c r="P1037">
        <v>748.8</v>
      </c>
      <c r="T1037">
        <f t="shared" si="53"/>
        <v>0</v>
      </c>
    </row>
    <row r="1038" spans="1:20" x14ac:dyDescent="0.3">
      <c r="A1038" s="1">
        <v>45566</v>
      </c>
      <c r="B1038" s="1" t="str">
        <f t="shared" si="51"/>
        <v>Grofers_Ahmedabad_Product_14_45566</v>
      </c>
      <c r="C1038" s="2" t="s">
        <v>159</v>
      </c>
      <c r="D1038" s="2" t="s">
        <v>160</v>
      </c>
      <c r="E1038" s="2" t="s">
        <v>34</v>
      </c>
      <c r="F1038" s="2" t="s">
        <v>114</v>
      </c>
      <c r="G1038" s="2" t="s">
        <v>52</v>
      </c>
      <c r="H1038" s="2" t="s">
        <v>47</v>
      </c>
      <c r="I1038" s="2" t="s">
        <v>98</v>
      </c>
      <c r="J1038" t="s">
        <v>166</v>
      </c>
      <c r="L1038" s="3">
        <v>6</v>
      </c>
      <c r="M1038" s="3">
        <v>5.82</v>
      </c>
      <c r="N1038" s="3">
        <f t="shared" ca="1" si="50"/>
        <v>6.78</v>
      </c>
      <c r="O1038" s="3">
        <f t="shared" si="52"/>
        <v>6</v>
      </c>
      <c r="P1038">
        <v>84</v>
      </c>
      <c r="T1038">
        <f t="shared" si="53"/>
        <v>-6.6479999999999997</v>
      </c>
    </row>
    <row r="1039" spans="1:20" x14ac:dyDescent="0.3">
      <c r="A1039" s="1">
        <v>45597</v>
      </c>
      <c r="B1039" s="1" t="str">
        <f t="shared" si="51"/>
        <v>Jharkhand_JH-Aggregated_Product_19_45597</v>
      </c>
      <c r="C1039" s="2" t="s">
        <v>124</v>
      </c>
      <c r="D1039" s="2" t="s">
        <v>125</v>
      </c>
      <c r="E1039" s="2" t="s">
        <v>26</v>
      </c>
      <c r="F1039" s="2" t="s">
        <v>27</v>
      </c>
      <c r="G1039" s="2" t="s">
        <v>28</v>
      </c>
      <c r="H1039" s="2" t="s">
        <v>126</v>
      </c>
      <c r="I1039" s="2" t="s">
        <v>127</v>
      </c>
      <c r="J1039" t="s">
        <v>166</v>
      </c>
      <c r="L1039" s="4">
        <v>10.67</v>
      </c>
      <c r="M1039" s="3">
        <v>9.8163999999999998</v>
      </c>
      <c r="N1039" s="3">
        <f t="shared" ca="1" si="50"/>
        <v>12.5906</v>
      </c>
      <c r="O1039" s="3">
        <f>L1039*1.3</f>
        <v>13.871</v>
      </c>
      <c r="P1039">
        <v>48</v>
      </c>
      <c r="T1039">
        <f t="shared" si="53"/>
        <v>-0.36</v>
      </c>
    </row>
    <row r="1040" spans="1:20" x14ac:dyDescent="0.3">
      <c r="A1040" s="1">
        <v>45597</v>
      </c>
      <c r="B1040" s="1" t="str">
        <f t="shared" si="51"/>
        <v>Grofers_Ahmedabad_Product_8_45597</v>
      </c>
      <c r="C1040" s="2" t="s">
        <v>157</v>
      </c>
      <c r="D1040" s="2" t="s">
        <v>158</v>
      </c>
      <c r="E1040" s="2" t="s">
        <v>34</v>
      </c>
      <c r="F1040" s="2" t="s">
        <v>114</v>
      </c>
      <c r="G1040" s="2" t="s">
        <v>52</v>
      </c>
      <c r="H1040" s="2" t="s">
        <v>67</v>
      </c>
      <c r="I1040" s="2" t="s">
        <v>68</v>
      </c>
      <c r="J1040" t="s">
        <v>166</v>
      </c>
      <c r="L1040" s="4">
        <v>19.209999999999997</v>
      </c>
      <c r="M1040" s="3">
        <v>17.096899999999998</v>
      </c>
      <c r="N1040" s="3">
        <f t="shared" ca="1" si="50"/>
        <v>20.9389</v>
      </c>
      <c r="O1040" s="3">
        <f>L1040*1.2</f>
        <v>23.051999999999996</v>
      </c>
      <c r="P1040">
        <v>383.52</v>
      </c>
      <c r="T1040">
        <f t="shared" si="53"/>
        <v>3.3552</v>
      </c>
    </row>
    <row r="1041" spans="1:20" x14ac:dyDescent="0.3">
      <c r="A1041" s="1">
        <v>45597</v>
      </c>
      <c r="B1041" s="1" t="str">
        <f t="shared" si="51"/>
        <v>Reliance_Bangalore_Product_14_45597</v>
      </c>
      <c r="C1041" s="2" t="s">
        <v>155</v>
      </c>
      <c r="D1041" s="2" t="s">
        <v>156</v>
      </c>
      <c r="E1041" s="2" t="s">
        <v>34</v>
      </c>
      <c r="F1041" s="2" t="s">
        <v>51</v>
      </c>
      <c r="G1041" s="2" t="s">
        <v>79</v>
      </c>
      <c r="H1041" s="2" t="s">
        <v>47</v>
      </c>
      <c r="I1041" s="2" t="s">
        <v>98</v>
      </c>
      <c r="J1041" t="s">
        <v>166</v>
      </c>
      <c r="L1041" s="4">
        <v>3.33</v>
      </c>
      <c r="M1041" s="3">
        <v>2.9304000000000001</v>
      </c>
      <c r="N1041" s="3">
        <f t="shared" ca="1" si="50"/>
        <v>3.5964</v>
      </c>
      <c r="O1041" s="3">
        <f t="shared" si="52"/>
        <v>3.33</v>
      </c>
      <c r="P1041">
        <v>383.52</v>
      </c>
      <c r="T1041">
        <f t="shared" si="53"/>
        <v>0</v>
      </c>
    </row>
    <row r="1042" spans="1:20" x14ac:dyDescent="0.3">
      <c r="A1042" s="1">
        <v>45597</v>
      </c>
      <c r="B1042" s="1" t="str">
        <f t="shared" si="51"/>
        <v>Reliance_Bangalore_Product_8_45597</v>
      </c>
      <c r="C1042" s="2" t="s">
        <v>77</v>
      </c>
      <c r="D1042" s="2" t="s">
        <v>78</v>
      </c>
      <c r="E1042" s="2" t="s">
        <v>34</v>
      </c>
      <c r="F1042" s="2" t="s">
        <v>51</v>
      </c>
      <c r="G1042" s="2" t="s">
        <v>79</v>
      </c>
      <c r="H1042" s="2" t="s">
        <v>67</v>
      </c>
      <c r="I1042" s="2" t="s">
        <v>68</v>
      </c>
      <c r="J1042" t="s">
        <v>166</v>
      </c>
      <c r="L1042" s="4">
        <v>5.6000000000000005</v>
      </c>
      <c r="M1042" s="3">
        <v>5.2080000000000011</v>
      </c>
      <c r="N1042" s="3">
        <f t="shared" ca="1" si="50"/>
        <v>6.4400000000000013</v>
      </c>
      <c r="O1042" s="3">
        <f t="shared" si="52"/>
        <v>5.6000000000000005</v>
      </c>
      <c r="P1042">
        <v>672</v>
      </c>
      <c r="T1042">
        <f t="shared" si="53"/>
        <v>2.8848000000000003</v>
      </c>
    </row>
    <row r="1043" spans="1:20" x14ac:dyDescent="0.3">
      <c r="A1043" s="1">
        <v>45597</v>
      </c>
      <c r="B1043" s="1" t="str">
        <f t="shared" si="51"/>
        <v>Maharashtra_MH-Aggregated_Product_3_45597</v>
      </c>
      <c r="C1043" s="2" t="s">
        <v>39</v>
      </c>
      <c r="D1043" s="2" t="s">
        <v>40</v>
      </c>
      <c r="E1043" s="2" t="s">
        <v>26</v>
      </c>
      <c r="F1043" s="2" t="s">
        <v>41</v>
      </c>
      <c r="G1043" s="2" t="s">
        <v>42</v>
      </c>
      <c r="H1043" s="2" t="s">
        <v>37</v>
      </c>
      <c r="I1043" s="2" t="s">
        <v>43</v>
      </c>
      <c r="J1043" t="s">
        <v>166</v>
      </c>
      <c r="L1043" s="3">
        <v>2.44</v>
      </c>
      <c r="M1043" s="3">
        <v>2.1471999999999998</v>
      </c>
      <c r="N1043" s="3">
        <f t="shared" ca="1" si="50"/>
        <v>2.5863999999999998</v>
      </c>
      <c r="O1043" s="3">
        <f t="shared" si="52"/>
        <v>2.44</v>
      </c>
      <c r="P1043">
        <v>672</v>
      </c>
      <c r="T1043">
        <f t="shared" si="53"/>
        <v>0</v>
      </c>
    </row>
    <row r="1044" spans="1:20" x14ac:dyDescent="0.3">
      <c r="A1044" s="1">
        <v>45597</v>
      </c>
      <c r="B1044" s="1" t="str">
        <f t="shared" si="51"/>
        <v>Reliance_Mundka_Product_7_45597</v>
      </c>
      <c r="C1044" s="2" t="s">
        <v>58</v>
      </c>
      <c r="D1044" s="2" t="s">
        <v>59</v>
      </c>
      <c r="E1044" s="2" t="s">
        <v>34</v>
      </c>
      <c r="F1044" s="2" t="s">
        <v>51</v>
      </c>
      <c r="G1044" s="2" t="s">
        <v>36</v>
      </c>
      <c r="H1044" s="2" t="s">
        <v>37</v>
      </c>
      <c r="I1044" s="2" t="s">
        <v>60</v>
      </c>
      <c r="J1044" t="s">
        <v>166</v>
      </c>
      <c r="L1044" s="3">
        <v>44.08</v>
      </c>
      <c r="M1044" s="3">
        <v>36.586399999999998</v>
      </c>
      <c r="N1044" s="3">
        <f t="shared" ca="1" si="50"/>
        <v>47.606399999999994</v>
      </c>
      <c r="O1044" s="3">
        <f t="shared" si="52"/>
        <v>44.08</v>
      </c>
      <c r="P1044">
        <v>421.92</v>
      </c>
      <c r="T1044">
        <f t="shared" si="53"/>
        <v>-2.5007999999999999</v>
      </c>
    </row>
    <row r="1045" spans="1:20" x14ac:dyDescent="0.3">
      <c r="A1045" s="1">
        <v>45597</v>
      </c>
      <c r="B1045" s="1" t="str">
        <f t="shared" si="51"/>
        <v>Maharashtra_MH-Aggregated_Product_23_45597</v>
      </c>
      <c r="C1045" s="2" t="s">
        <v>142</v>
      </c>
      <c r="D1045" s="2" t="s">
        <v>143</v>
      </c>
      <c r="E1045" s="2" t="s">
        <v>26</v>
      </c>
      <c r="F1045" s="2" t="s">
        <v>41</v>
      </c>
      <c r="G1045" s="2" t="s">
        <v>42</v>
      </c>
      <c r="H1045" s="2" t="s">
        <v>140</v>
      </c>
      <c r="I1045" s="2" t="s">
        <v>144</v>
      </c>
      <c r="J1045" t="s">
        <v>166</v>
      </c>
      <c r="L1045" s="3">
        <v>6.16</v>
      </c>
      <c r="M1045" s="3">
        <v>5.2360000000000007</v>
      </c>
      <c r="N1045" s="3">
        <f t="shared" ca="1" si="50"/>
        <v>7.1456000000000008</v>
      </c>
      <c r="O1045" s="3">
        <f t="shared" si="52"/>
        <v>6.16</v>
      </c>
      <c r="P1045">
        <v>421.92</v>
      </c>
      <c r="T1045">
        <f t="shared" si="53"/>
        <v>0</v>
      </c>
    </row>
    <row r="1046" spans="1:20" x14ac:dyDescent="0.3">
      <c r="A1046" s="1">
        <v>45597</v>
      </c>
      <c r="B1046" s="1" t="str">
        <f t="shared" si="51"/>
        <v>Grofers_Ahmedabad_Product_9_45597</v>
      </c>
      <c r="C1046" s="2" t="s">
        <v>112</v>
      </c>
      <c r="D1046" s="2" t="s">
        <v>113</v>
      </c>
      <c r="E1046" s="2" t="s">
        <v>34</v>
      </c>
      <c r="F1046" s="2" t="s">
        <v>114</v>
      </c>
      <c r="G1046" s="2" t="s">
        <v>52</v>
      </c>
      <c r="H1046" s="2" t="s">
        <v>37</v>
      </c>
      <c r="I1046" s="2" t="s">
        <v>71</v>
      </c>
      <c r="J1046" t="s">
        <v>166</v>
      </c>
      <c r="L1046" s="3">
        <v>13.719999999999999</v>
      </c>
      <c r="M1046" s="3">
        <v>13.582799999999999</v>
      </c>
      <c r="N1046" s="3">
        <f t="shared" ca="1" si="50"/>
        <v>16.326799999999999</v>
      </c>
      <c r="O1046" s="3">
        <f>L1046*1.2</f>
        <v>16.463999999999999</v>
      </c>
      <c r="P1046">
        <v>748.8</v>
      </c>
      <c r="T1046">
        <f t="shared" si="53"/>
        <v>3.2687999999999993</v>
      </c>
    </row>
    <row r="1047" spans="1:20" x14ac:dyDescent="0.3">
      <c r="A1047" s="1">
        <v>45597</v>
      </c>
      <c r="B1047" s="1" t="str">
        <f t="shared" si="51"/>
        <v>Reliance_Bhiwandi_Product_10_45597</v>
      </c>
      <c r="C1047" s="2" t="s">
        <v>85</v>
      </c>
      <c r="D1047" s="2" t="s">
        <v>86</v>
      </c>
      <c r="E1047" s="2" t="s">
        <v>34</v>
      </c>
      <c r="F1047" s="2" t="s">
        <v>51</v>
      </c>
      <c r="G1047" s="2" t="s">
        <v>66</v>
      </c>
      <c r="H1047" s="2" t="s">
        <v>67</v>
      </c>
      <c r="I1047" s="2" t="s">
        <v>76</v>
      </c>
      <c r="J1047" t="s">
        <v>166</v>
      </c>
      <c r="L1047" s="3">
        <v>2.88</v>
      </c>
      <c r="M1047" s="3">
        <v>2.4767999999999999</v>
      </c>
      <c r="N1047" s="3">
        <f t="shared" ca="1" si="50"/>
        <v>3.2831999999999999</v>
      </c>
      <c r="O1047" s="3">
        <f t="shared" si="52"/>
        <v>2.88</v>
      </c>
      <c r="P1047">
        <v>748.8</v>
      </c>
      <c r="T1047">
        <f t="shared" si="53"/>
        <v>0</v>
      </c>
    </row>
    <row r="1048" spans="1:20" x14ac:dyDescent="0.3">
      <c r="A1048" s="1">
        <v>45597</v>
      </c>
      <c r="B1048" s="1" t="str">
        <f t="shared" si="51"/>
        <v>Zepto_Bangalore_Product_12_45597</v>
      </c>
      <c r="C1048" s="2" t="s">
        <v>90</v>
      </c>
      <c r="D1048" s="2" t="s">
        <v>91</v>
      </c>
      <c r="E1048" s="2" t="s">
        <v>34</v>
      </c>
      <c r="F1048" s="2" t="s">
        <v>46</v>
      </c>
      <c r="G1048" s="2" t="s">
        <v>79</v>
      </c>
      <c r="H1048" s="2" t="s">
        <v>67</v>
      </c>
      <c r="I1048" s="2" t="s">
        <v>92</v>
      </c>
      <c r="J1048" t="s">
        <v>166</v>
      </c>
      <c r="L1048" s="4">
        <v>25.959999999999997</v>
      </c>
      <c r="M1048" s="3">
        <v>23.363999999999997</v>
      </c>
      <c r="N1048" s="3">
        <f t="shared" ca="1" si="50"/>
        <v>28.555999999999997</v>
      </c>
      <c r="O1048" s="3">
        <f t="shared" si="52"/>
        <v>25.959999999999997</v>
      </c>
      <c r="P1048">
        <v>84</v>
      </c>
      <c r="T1048">
        <f t="shared" si="53"/>
        <v>-6.6479999999999997</v>
      </c>
    </row>
    <row r="1049" spans="1:20" x14ac:dyDescent="0.3">
      <c r="A1049" s="1">
        <v>45597</v>
      </c>
      <c r="B1049" s="1" t="str">
        <f t="shared" si="51"/>
        <v>Grofers_Kolkata CFA_Product_26_45597</v>
      </c>
      <c r="C1049" s="2" t="s">
        <v>175</v>
      </c>
      <c r="D1049" s="2" t="s">
        <v>176</v>
      </c>
      <c r="E1049" s="2" t="s">
        <v>34</v>
      </c>
      <c r="F1049" s="2" t="s">
        <v>114</v>
      </c>
      <c r="G1049" s="2" t="s">
        <v>63</v>
      </c>
      <c r="H1049" s="2" t="s">
        <v>47</v>
      </c>
      <c r="I1049" s="2" t="s">
        <v>172</v>
      </c>
      <c r="J1049" t="s">
        <v>166</v>
      </c>
      <c r="L1049" s="3">
        <v>53</v>
      </c>
      <c r="M1049" s="3">
        <v>52.47</v>
      </c>
      <c r="N1049" s="3">
        <f t="shared" ca="1" si="50"/>
        <v>63.6</v>
      </c>
      <c r="O1049" s="3">
        <f t="shared" si="52"/>
        <v>53</v>
      </c>
      <c r="P1049">
        <v>48</v>
      </c>
      <c r="T1049">
        <f t="shared" si="53"/>
        <v>-0.36</v>
      </c>
    </row>
    <row r="1050" spans="1:20" x14ac:dyDescent="0.3">
      <c r="A1050" s="1">
        <v>45597</v>
      </c>
      <c r="B1050" s="1" t="str">
        <f t="shared" si="51"/>
        <v>Swiggy_Mundka_Product_26_45597</v>
      </c>
      <c r="C1050" s="2" t="s">
        <v>170</v>
      </c>
      <c r="D1050" s="2" t="s">
        <v>171</v>
      </c>
      <c r="E1050" s="2" t="s">
        <v>34</v>
      </c>
      <c r="F1050" s="2" t="s">
        <v>35</v>
      </c>
      <c r="G1050" s="2" t="s">
        <v>36</v>
      </c>
      <c r="H1050" s="2" t="s">
        <v>47</v>
      </c>
      <c r="I1050" s="2" t="s">
        <v>172</v>
      </c>
      <c r="J1050" t="s">
        <v>166</v>
      </c>
      <c r="L1050" s="3">
        <v>37.369999999999997</v>
      </c>
      <c r="M1050" s="3">
        <v>36.996299999999998</v>
      </c>
      <c r="N1050" s="3">
        <f t="shared" ca="1" si="50"/>
        <v>43.349200000000003</v>
      </c>
      <c r="O1050" s="3">
        <f t="shared" si="52"/>
        <v>37.369999999999997</v>
      </c>
      <c r="P1050">
        <v>383.52</v>
      </c>
      <c r="T1050">
        <f t="shared" si="53"/>
        <v>3.3552</v>
      </c>
    </row>
    <row r="1051" spans="1:20" x14ac:dyDescent="0.3">
      <c r="A1051" s="1">
        <v>45597</v>
      </c>
      <c r="B1051" s="1" t="str">
        <f t="shared" si="51"/>
        <v>Maharashtra_MH-Aggregated_Product_22_45597</v>
      </c>
      <c r="C1051" s="2" t="s">
        <v>138</v>
      </c>
      <c r="D1051" s="2" t="s">
        <v>139</v>
      </c>
      <c r="E1051" s="2" t="s">
        <v>26</v>
      </c>
      <c r="F1051" s="2" t="s">
        <v>41</v>
      </c>
      <c r="G1051" s="2" t="s">
        <v>42</v>
      </c>
      <c r="H1051" s="2" t="s">
        <v>140</v>
      </c>
      <c r="I1051" s="2" t="s">
        <v>141</v>
      </c>
      <c r="J1051" t="s">
        <v>166</v>
      </c>
      <c r="L1051" s="3">
        <v>5.76</v>
      </c>
      <c r="M1051" s="3">
        <v>4.8959999999999999</v>
      </c>
      <c r="N1051" s="3">
        <f t="shared" ca="1" si="50"/>
        <v>6.105599999999999</v>
      </c>
      <c r="O1051" s="3">
        <f t="shared" si="52"/>
        <v>5.76</v>
      </c>
      <c r="P1051">
        <v>383.52</v>
      </c>
      <c r="T1051">
        <f t="shared" si="53"/>
        <v>0</v>
      </c>
    </row>
    <row r="1052" spans="1:20" x14ac:dyDescent="0.3">
      <c r="A1052" s="1">
        <v>45597</v>
      </c>
      <c r="B1052" s="1" t="str">
        <f t="shared" si="51"/>
        <v>Swiggy_Kolkata CFA_Product_11_45597</v>
      </c>
      <c r="C1052" s="2" t="s">
        <v>119</v>
      </c>
      <c r="D1052" s="2" t="s">
        <v>120</v>
      </c>
      <c r="E1052" s="2" t="s">
        <v>34</v>
      </c>
      <c r="F1052" s="2" t="s">
        <v>35</v>
      </c>
      <c r="G1052" s="2" t="s">
        <v>63</v>
      </c>
      <c r="H1052" s="2" t="s">
        <v>67</v>
      </c>
      <c r="I1052" s="2" t="s">
        <v>89</v>
      </c>
      <c r="J1052" t="s">
        <v>166</v>
      </c>
      <c r="L1052" s="3">
        <v>18.3</v>
      </c>
      <c r="M1052" s="3">
        <v>16.836000000000002</v>
      </c>
      <c r="N1052" s="3">
        <f t="shared" ca="1" si="50"/>
        <v>20.495999999999999</v>
      </c>
      <c r="O1052" s="3">
        <f t="shared" si="52"/>
        <v>18.3</v>
      </c>
      <c r="P1052">
        <v>672</v>
      </c>
      <c r="T1052">
        <f t="shared" si="53"/>
        <v>2.8848000000000003</v>
      </c>
    </row>
    <row r="1053" spans="1:20" x14ac:dyDescent="0.3">
      <c r="A1053" s="1">
        <v>45597</v>
      </c>
      <c r="B1053" s="1" t="str">
        <f t="shared" si="51"/>
        <v>Maharashtra_MH-Aggregated_Product_9_45597</v>
      </c>
      <c r="C1053" s="2" t="s">
        <v>69</v>
      </c>
      <c r="D1053" s="2" t="s">
        <v>70</v>
      </c>
      <c r="E1053" s="2" t="s">
        <v>26</v>
      </c>
      <c r="F1053" s="2" t="s">
        <v>41</v>
      </c>
      <c r="G1053" s="2" t="s">
        <v>42</v>
      </c>
      <c r="H1053" s="2" t="s">
        <v>37</v>
      </c>
      <c r="I1053" s="2" t="s">
        <v>71</v>
      </c>
      <c r="J1053" t="s">
        <v>166</v>
      </c>
      <c r="L1053" s="3">
        <v>3.7800000000000002</v>
      </c>
      <c r="M1053" s="3">
        <v>3.4776000000000007</v>
      </c>
      <c r="N1053" s="3">
        <f t="shared" ca="1" si="50"/>
        <v>4.0823999999999998</v>
      </c>
      <c r="O1053" s="3">
        <f t="shared" si="52"/>
        <v>3.7800000000000002</v>
      </c>
      <c r="P1053">
        <v>672</v>
      </c>
      <c r="T1053">
        <f t="shared" si="53"/>
        <v>0</v>
      </c>
    </row>
    <row r="1054" spans="1:20" x14ac:dyDescent="0.3">
      <c r="A1054" s="1">
        <v>45597</v>
      </c>
      <c r="B1054" s="1" t="str">
        <f t="shared" si="51"/>
        <v>Swiggy_Mundka_Product_14_45597</v>
      </c>
      <c r="C1054" s="2" t="s">
        <v>96</v>
      </c>
      <c r="D1054" s="2" t="s">
        <v>97</v>
      </c>
      <c r="E1054" s="2" t="s">
        <v>34</v>
      </c>
      <c r="F1054" s="2" t="s">
        <v>35</v>
      </c>
      <c r="G1054" s="2" t="s">
        <v>36</v>
      </c>
      <c r="H1054" s="2" t="s">
        <v>47</v>
      </c>
      <c r="I1054" s="2" t="s">
        <v>98</v>
      </c>
      <c r="J1054" t="s">
        <v>166</v>
      </c>
      <c r="L1054" s="3">
        <v>96.279999999999987</v>
      </c>
      <c r="M1054" s="3">
        <v>79.912399999999991</v>
      </c>
      <c r="N1054" s="3">
        <f t="shared" ca="1" si="50"/>
        <v>107.83359999999999</v>
      </c>
      <c r="O1054" s="3">
        <f t="shared" si="52"/>
        <v>96.279999999999987</v>
      </c>
      <c r="P1054">
        <v>421.92</v>
      </c>
      <c r="T1054">
        <f t="shared" si="53"/>
        <v>-2.5007999999999999</v>
      </c>
    </row>
    <row r="1055" spans="1:20" x14ac:dyDescent="0.3">
      <c r="A1055" s="1">
        <v>45597</v>
      </c>
      <c r="B1055" s="1" t="str">
        <f t="shared" si="51"/>
        <v>Grofers_Kolkata CFA_Product_14_45597</v>
      </c>
      <c r="C1055" s="2" t="s">
        <v>161</v>
      </c>
      <c r="D1055" s="2" t="s">
        <v>162</v>
      </c>
      <c r="E1055" s="2" t="s">
        <v>34</v>
      </c>
      <c r="F1055" s="2" t="s">
        <v>114</v>
      </c>
      <c r="G1055" s="2" t="s">
        <v>63</v>
      </c>
      <c r="H1055" s="2" t="s">
        <v>47</v>
      </c>
      <c r="I1055" s="2" t="s">
        <v>98</v>
      </c>
      <c r="J1055" t="s">
        <v>166</v>
      </c>
      <c r="L1055" s="3">
        <v>12.299999999999999</v>
      </c>
      <c r="M1055" s="3">
        <v>11.930999999999999</v>
      </c>
      <c r="N1055" s="3">
        <f t="shared" ca="1" si="50"/>
        <v>13.652999999999999</v>
      </c>
      <c r="O1055" s="3">
        <f t="shared" si="52"/>
        <v>12.299999999999999</v>
      </c>
      <c r="P1055">
        <v>421.92</v>
      </c>
      <c r="T1055">
        <f t="shared" si="53"/>
        <v>0</v>
      </c>
    </row>
    <row r="1056" spans="1:20" x14ac:dyDescent="0.3">
      <c r="A1056" s="1">
        <v>45597</v>
      </c>
      <c r="B1056" s="1" t="str">
        <f t="shared" si="51"/>
        <v>Reliance_Ahmedabad_Product_7_45597</v>
      </c>
      <c r="C1056" s="2" t="s">
        <v>99</v>
      </c>
      <c r="D1056" s="2" t="s">
        <v>100</v>
      </c>
      <c r="E1056" s="2" t="s">
        <v>34</v>
      </c>
      <c r="F1056" s="2" t="s">
        <v>51</v>
      </c>
      <c r="G1056" s="2" t="s">
        <v>52</v>
      </c>
      <c r="H1056" s="2" t="s">
        <v>37</v>
      </c>
      <c r="I1056" s="2" t="s">
        <v>60</v>
      </c>
      <c r="J1056" t="s">
        <v>166</v>
      </c>
      <c r="L1056" s="3">
        <v>33.300000000000004</v>
      </c>
      <c r="M1056" s="3">
        <v>27.639000000000006</v>
      </c>
      <c r="N1056" s="3">
        <f t="shared" ca="1" si="50"/>
        <v>35.298000000000009</v>
      </c>
      <c r="O1056" s="3">
        <f t="shared" si="52"/>
        <v>33.300000000000004</v>
      </c>
      <c r="P1056">
        <v>748.8</v>
      </c>
      <c r="T1056">
        <f t="shared" si="53"/>
        <v>3.2687999999999993</v>
      </c>
    </row>
    <row r="1057" spans="1:20" x14ac:dyDescent="0.3">
      <c r="A1057" s="1">
        <v>45597</v>
      </c>
      <c r="B1057" s="1" t="str">
        <f t="shared" si="51"/>
        <v>Reliance_Ahmedabad_Product_5_45597</v>
      </c>
      <c r="C1057" s="2" t="s">
        <v>49</v>
      </c>
      <c r="D1057" s="2" t="s">
        <v>50</v>
      </c>
      <c r="E1057" s="2" t="s">
        <v>34</v>
      </c>
      <c r="F1057" s="2" t="s">
        <v>51</v>
      </c>
      <c r="G1057" s="2" t="s">
        <v>52</v>
      </c>
      <c r="H1057" s="2" t="s">
        <v>53</v>
      </c>
      <c r="I1057" s="2" t="s">
        <v>54</v>
      </c>
      <c r="J1057" t="s">
        <v>166</v>
      </c>
      <c r="L1057" s="3">
        <v>6.25</v>
      </c>
      <c r="M1057" s="3">
        <v>6.1875</v>
      </c>
      <c r="N1057" s="3">
        <f t="shared" ca="1" si="50"/>
        <v>6.9375</v>
      </c>
      <c r="O1057" s="3">
        <f t="shared" si="52"/>
        <v>6.25</v>
      </c>
      <c r="P1057">
        <v>748.8</v>
      </c>
      <c r="T1057">
        <f t="shared" si="53"/>
        <v>0</v>
      </c>
    </row>
    <row r="1058" spans="1:20" x14ac:dyDescent="0.3">
      <c r="A1058" s="1">
        <v>45597</v>
      </c>
      <c r="B1058" s="1" t="str">
        <f t="shared" si="51"/>
        <v>Reliance_Mundka_Product_9_45597</v>
      </c>
      <c r="C1058" s="2" t="s">
        <v>145</v>
      </c>
      <c r="D1058" s="2" t="s">
        <v>146</v>
      </c>
      <c r="E1058" s="2" t="s">
        <v>34</v>
      </c>
      <c r="F1058" s="2" t="s">
        <v>51</v>
      </c>
      <c r="G1058" s="2" t="s">
        <v>36</v>
      </c>
      <c r="H1058" s="2" t="s">
        <v>37</v>
      </c>
      <c r="I1058" s="2" t="s">
        <v>71</v>
      </c>
      <c r="J1058" t="s">
        <v>166</v>
      </c>
      <c r="L1058" s="3">
        <v>40.18</v>
      </c>
      <c r="M1058" s="3">
        <v>37.769199999999998</v>
      </c>
      <c r="N1058" s="3">
        <f t="shared" ca="1" si="50"/>
        <v>48.216000000000001</v>
      </c>
      <c r="O1058" s="3">
        <f t="shared" si="52"/>
        <v>40.18</v>
      </c>
      <c r="P1058">
        <v>84</v>
      </c>
      <c r="T1058">
        <f t="shared" si="53"/>
        <v>-6.6479999999999997</v>
      </c>
    </row>
    <row r="1059" spans="1:20" x14ac:dyDescent="0.3">
      <c r="A1059" s="1">
        <v>45597</v>
      </c>
      <c r="B1059" s="1" t="str">
        <f t="shared" si="51"/>
        <v>Reliance_Bhiwandi_Product_8_45597</v>
      </c>
      <c r="C1059" s="2" t="s">
        <v>64</v>
      </c>
      <c r="D1059" s="2" t="s">
        <v>65</v>
      </c>
      <c r="E1059" s="2" t="s">
        <v>34</v>
      </c>
      <c r="F1059" s="2" t="s">
        <v>51</v>
      </c>
      <c r="G1059" s="2" t="s">
        <v>66</v>
      </c>
      <c r="H1059" s="2" t="s">
        <v>67</v>
      </c>
      <c r="I1059" s="2" t="s">
        <v>68</v>
      </c>
      <c r="J1059" t="s">
        <v>166</v>
      </c>
      <c r="L1059" s="3">
        <v>92.399999999999991</v>
      </c>
      <c r="M1059" s="3">
        <v>91.475999999999985</v>
      </c>
      <c r="N1059" s="3">
        <f t="shared" ca="1" si="50"/>
        <v>108.10799999999999</v>
      </c>
      <c r="O1059" s="3">
        <f t="shared" si="52"/>
        <v>92.399999999999991</v>
      </c>
      <c r="P1059">
        <v>48</v>
      </c>
      <c r="T1059">
        <f t="shared" si="53"/>
        <v>-0.36</v>
      </c>
    </row>
    <row r="1060" spans="1:20" x14ac:dyDescent="0.3">
      <c r="A1060" s="1">
        <v>45597</v>
      </c>
      <c r="B1060" s="1" t="str">
        <f t="shared" si="51"/>
        <v>Reliance_Ahmedabad_Product_18_45597</v>
      </c>
      <c r="C1060" s="2" t="s">
        <v>121</v>
      </c>
      <c r="D1060" s="2" t="s">
        <v>122</v>
      </c>
      <c r="E1060" s="2" t="s">
        <v>34</v>
      </c>
      <c r="F1060" s="2" t="s">
        <v>51</v>
      </c>
      <c r="G1060" s="2" t="s">
        <v>52</v>
      </c>
      <c r="H1060" s="2" t="s">
        <v>29</v>
      </c>
      <c r="I1060" s="2" t="s">
        <v>123</v>
      </c>
      <c r="J1060" t="s">
        <v>166</v>
      </c>
      <c r="L1060" s="3">
        <v>2.4899999999999998</v>
      </c>
      <c r="M1060" s="3">
        <v>2.2658999999999998</v>
      </c>
      <c r="N1060" s="3">
        <f t="shared" ca="1" si="50"/>
        <v>2.8136999999999994</v>
      </c>
      <c r="O1060" s="3">
        <f t="shared" si="52"/>
        <v>2.4899999999999998</v>
      </c>
      <c r="P1060">
        <v>383.52</v>
      </c>
      <c r="T1060">
        <f t="shared" si="53"/>
        <v>3.3552</v>
      </c>
    </row>
    <row r="1061" spans="1:20" x14ac:dyDescent="0.3">
      <c r="A1061" s="1">
        <v>45597</v>
      </c>
      <c r="B1061" s="1" t="str">
        <f t="shared" si="51"/>
        <v>Swiggy_Hyderabad_Product_25_45597</v>
      </c>
      <c r="C1061" s="2" t="s">
        <v>173</v>
      </c>
      <c r="D1061" s="2" t="s">
        <v>174</v>
      </c>
      <c r="E1061" s="2" t="s">
        <v>34</v>
      </c>
      <c r="F1061" s="2" t="s">
        <v>35</v>
      </c>
      <c r="G1061" s="2" t="s">
        <v>137</v>
      </c>
      <c r="H1061" s="2" t="s">
        <v>47</v>
      </c>
      <c r="I1061" s="2" t="s">
        <v>169</v>
      </c>
      <c r="J1061" t="s">
        <v>166</v>
      </c>
      <c r="L1061" s="4">
        <v>2.54</v>
      </c>
      <c r="M1061" s="3">
        <v>2.4130000000000003</v>
      </c>
      <c r="N1061" s="3">
        <f t="shared" ca="1" si="50"/>
        <v>2.8448000000000002</v>
      </c>
      <c r="O1061" s="3">
        <f t="shared" si="52"/>
        <v>2.54</v>
      </c>
      <c r="P1061">
        <v>383.52</v>
      </c>
      <c r="T1061">
        <f t="shared" si="53"/>
        <v>0</v>
      </c>
    </row>
    <row r="1062" spans="1:20" x14ac:dyDescent="0.3">
      <c r="A1062" s="1">
        <v>45597</v>
      </c>
      <c r="B1062" s="1" t="str">
        <f t="shared" si="51"/>
        <v>Zepto_Mundka_Product_4_45597</v>
      </c>
      <c r="C1062" s="2" t="s">
        <v>44</v>
      </c>
      <c r="D1062" s="2" t="s">
        <v>45</v>
      </c>
      <c r="E1062" s="2" t="s">
        <v>34</v>
      </c>
      <c r="F1062" s="2" t="s">
        <v>46</v>
      </c>
      <c r="G1062" s="2" t="s">
        <v>36</v>
      </c>
      <c r="H1062" s="2" t="s">
        <v>47</v>
      </c>
      <c r="I1062" s="2" t="s">
        <v>48</v>
      </c>
      <c r="J1062" t="s">
        <v>166</v>
      </c>
      <c r="L1062" s="3">
        <v>0.91</v>
      </c>
      <c r="M1062" s="3">
        <v>0.75529999999999997</v>
      </c>
      <c r="N1062" s="3">
        <f t="shared" ref="N1062:N1125" ca="1" si="54">L1062*RANDBETWEEN(105,120)/100</f>
        <v>1.0465</v>
      </c>
      <c r="O1062" s="3">
        <f t="shared" si="52"/>
        <v>0.91</v>
      </c>
      <c r="P1062">
        <v>672</v>
      </c>
      <c r="T1062">
        <f t="shared" si="53"/>
        <v>2.8848000000000003</v>
      </c>
    </row>
    <row r="1063" spans="1:20" x14ac:dyDescent="0.3">
      <c r="A1063" s="1">
        <v>45597</v>
      </c>
      <c r="B1063" s="1" t="str">
        <f t="shared" si="51"/>
        <v>Reliance_Mundka_Product_6_45597</v>
      </c>
      <c r="C1063" s="2" t="s">
        <v>55</v>
      </c>
      <c r="D1063" s="2" t="s">
        <v>56</v>
      </c>
      <c r="E1063" s="2" t="s">
        <v>34</v>
      </c>
      <c r="F1063" s="2" t="s">
        <v>51</v>
      </c>
      <c r="G1063" s="2" t="s">
        <v>36</v>
      </c>
      <c r="H1063" s="2" t="s">
        <v>37</v>
      </c>
      <c r="I1063" s="2" t="s">
        <v>57</v>
      </c>
      <c r="J1063" t="s">
        <v>166</v>
      </c>
      <c r="L1063" s="3">
        <v>2.12</v>
      </c>
      <c r="M1063" s="3">
        <v>1.6960000000000002</v>
      </c>
      <c r="N1063" s="3">
        <f t="shared" ca="1" si="54"/>
        <v>2.3744000000000001</v>
      </c>
      <c r="O1063" s="3">
        <f t="shared" si="52"/>
        <v>2.12</v>
      </c>
      <c r="P1063">
        <v>672</v>
      </c>
      <c r="T1063">
        <f t="shared" si="53"/>
        <v>0</v>
      </c>
    </row>
    <row r="1064" spans="1:20" x14ac:dyDescent="0.3">
      <c r="A1064" s="1">
        <v>45597</v>
      </c>
      <c r="B1064" s="1" t="str">
        <f t="shared" si="51"/>
        <v>Jharkhand_JH-Aggregated_Product_15_45597</v>
      </c>
      <c r="C1064" s="2" t="s">
        <v>103</v>
      </c>
      <c r="D1064" s="2" t="s">
        <v>104</v>
      </c>
      <c r="E1064" s="2" t="s">
        <v>26</v>
      </c>
      <c r="F1064" s="2" t="s">
        <v>27</v>
      </c>
      <c r="G1064" s="2" t="s">
        <v>28</v>
      </c>
      <c r="H1064" s="2" t="s">
        <v>105</v>
      </c>
      <c r="I1064" s="2" t="s">
        <v>106</v>
      </c>
      <c r="J1064" t="s">
        <v>166</v>
      </c>
      <c r="L1064" s="3">
        <v>4.95</v>
      </c>
      <c r="M1064" s="3">
        <v>4.4550000000000001</v>
      </c>
      <c r="N1064" s="3">
        <f t="shared" ca="1" si="54"/>
        <v>5.4450000000000003</v>
      </c>
      <c r="O1064" s="3">
        <f t="shared" si="52"/>
        <v>4.95</v>
      </c>
      <c r="P1064">
        <v>421.92</v>
      </c>
      <c r="T1064">
        <f t="shared" si="53"/>
        <v>-2.5007999999999999</v>
      </c>
    </row>
    <row r="1065" spans="1:20" x14ac:dyDescent="0.3">
      <c r="A1065" s="1">
        <v>45597</v>
      </c>
      <c r="B1065" s="1" t="str">
        <f t="shared" si="51"/>
        <v>Swiggy_Kolkata CFA_Product_20_45597</v>
      </c>
      <c r="C1065" s="2" t="s">
        <v>128</v>
      </c>
      <c r="D1065" s="2" t="s">
        <v>129</v>
      </c>
      <c r="E1065" s="2" t="s">
        <v>34</v>
      </c>
      <c r="F1065" s="2" t="s">
        <v>35</v>
      </c>
      <c r="G1065" s="2" t="s">
        <v>63</v>
      </c>
      <c r="H1065" s="2" t="s">
        <v>47</v>
      </c>
      <c r="I1065" s="2" t="s">
        <v>130</v>
      </c>
      <c r="J1065" t="s">
        <v>166</v>
      </c>
      <c r="L1065" s="3">
        <v>1.24</v>
      </c>
      <c r="M1065" s="3">
        <v>1.24</v>
      </c>
      <c r="N1065" s="3">
        <f t="shared" ca="1" si="54"/>
        <v>1.3515999999999999</v>
      </c>
      <c r="O1065" s="3">
        <f t="shared" si="52"/>
        <v>1.24</v>
      </c>
      <c r="P1065">
        <v>421.92</v>
      </c>
      <c r="T1065">
        <f t="shared" si="53"/>
        <v>0</v>
      </c>
    </row>
    <row r="1066" spans="1:20" x14ac:dyDescent="0.3">
      <c r="A1066" s="1">
        <v>45597</v>
      </c>
      <c r="B1066" s="1" t="str">
        <f t="shared" si="51"/>
        <v>Jharkhand_JH-Aggregated_Product_1_45597</v>
      </c>
      <c r="C1066" s="2" t="s">
        <v>24</v>
      </c>
      <c r="D1066" s="2" t="s">
        <v>25</v>
      </c>
      <c r="E1066" s="2" t="s">
        <v>26</v>
      </c>
      <c r="F1066" s="2" t="s">
        <v>27</v>
      </c>
      <c r="G1066" s="2" t="s">
        <v>28</v>
      </c>
      <c r="H1066" s="2" t="s">
        <v>29</v>
      </c>
      <c r="I1066" s="2" t="s">
        <v>30</v>
      </c>
      <c r="J1066" t="s">
        <v>166</v>
      </c>
      <c r="L1066" s="3">
        <v>3.81</v>
      </c>
      <c r="M1066" s="3">
        <v>3.048</v>
      </c>
      <c r="N1066" s="3">
        <f t="shared" ca="1" si="54"/>
        <v>4.4196</v>
      </c>
      <c r="O1066" s="3">
        <f t="shared" si="52"/>
        <v>3.81</v>
      </c>
      <c r="P1066">
        <v>748.8</v>
      </c>
      <c r="T1066">
        <f t="shared" si="53"/>
        <v>3.2687999999999993</v>
      </c>
    </row>
    <row r="1067" spans="1:20" x14ac:dyDescent="0.3">
      <c r="A1067" s="1">
        <v>45597</v>
      </c>
      <c r="B1067" s="1" t="str">
        <f t="shared" si="51"/>
        <v>Reliance_Kolkata CFA_Product_12_45597</v>
      </c>
      <c r="C1067" s="2" t="s">
        <v>101</v>
      </c>
      <c r="D1067" s="2" t="s">
        <v>102</v>
      </c>
      <c r="E1067" s="2" t="s">
        <v>34</v>
      </c>
      <c r="F1067" s="2" t="s">
        <v>51</v>
      </c>
      <c r="G1067" s="2" t="s">
        <v>63</v>
      </c>
      <c r="H1067" s="2" t="s">
        <v>67</v>
      </c>
      <c r="I1067" s="2" t="s">
        <v>92</v>
      </c>
      <c r="J1067" t="s">
        <v>166</v>
      </c>
      <c r="L1067" s="3">
        <v>1.04</v>
      </c>
      <c r="M1067" s="3">
        <v>0.83200000000000007</v>
      </c>
      <c r="N1067" s="3">
        <f t="shared" ca="1" si="54"/>
        <v>1.2063999999999999</v>
      </c>
      <c r="O1067" s="3">
        <f t="shared" si="52"/>
        <v>1.04</v>
      </c>
      <c r="P1067">
        <v>748.8</v>
      </c>
      <c r="T1067">
        <f t="shared" si="53"/>
        <v>0</v>
      </c>
    </row>
    <row r="1068" spans="1:20" x14ac:dyDescent="0.3">
      <c r="A1068" s="1">
        <v>45597</v>
      </c>
      <c r="B1068" s="1" t="str">
        <f t="shared" si="51"/>
        <v>Reliance_Bhiwandi_Product_11_45597</v>
      </c>
      <c r="C1068" s="2" t="s">
        <v>87</v>
      </c>
      <c r="D1068" s="2" t="s">
        <v>88</v>
      </c>
      <c r="E1068" s="2" t="s">
        <v>34</v>
      </c>
      <c r="F1068" s="2" t="s">
        <v>51</v>
      </c>
      <c r="G1068" s="2" t="s">
        <v>66</v>
      </c>
      <c r="H1068" s="2" t="s">
        <v>67</v>
      </c>
      <c r="I1068" s="2" t="s">
        <v>89</v>
      </c>
      <c r="J1068" t="s">
        <v>166</v>
      </c>
      <c r="L1068" s="3">
        <v>5.16</v>
      </c>
      <c r="M1068" s="3">
        <v>4.8504000000000005</v>
      </c>
      <c r="N1068" s="3">
        <f t="shared" ca="1" si="54"/>
        <v>5.8824000000000005</v>
      </c>
      <c r="O1068" s="3">
        <f t="shared" si="52"/>
        <v>5.16</v>
      </c>
      <c r="P1068">
        <v>84</v>
      </c>
      <c r="T1068">
        <f t="shared" si="53"/>
        <v>-6.6479999999999997</v>
      </c>
    </row>
    <row r="1069" spans="1:20" x14ac:dyDescent="0.3">
      <c r="A1069" s="1">
        <v>45597</v>
      </c>
      <c r="B1069" s="1" t="str">
        <f t="shared" si="51"/>
        <v>Swiggy_Bangalore_Product_16_45597</v>
      </c>
      <c r="C1069" s="2" t="s">
        <v>107</v>
      </c>
      <c r="D1069" s="2" t="s">
        <v>108</v>
      </c>
      <c r="E1069" s="2" t="s">
        <v>34</v>
      </c>
      <c r="F1069" s="2" t="s">
        <v>35</v>
      </c>
      <c r="G1069" s="2" t="s">
        <v>79</v>
      </c>
      <c r="H1069" s="2" t="s">
        <v>47</v>
      </c>
      <c r="I1069" s="2" t="s">
        <v>109</v>
      </c>
      <c r="J1069" t="s">
        <v>166</v>
      </c>
      <c r="L1069" s="3">
        <v>6.48</v>
      </c>
      <c r="M1069" s="3">
        <v>5.5080000000000009</v>
      </c>
      <c r="N1069" s="3">
        <f t="shared" ca="1" si="54"/>
        <v>7.4520000000000008</v>
      </c>
      <c r="O1069" s="3">
        <f t="shared" si="52"/>
        <v>6.48</v>
      </c>
      <c r="P1069">
        <v>48</v>
      </c>
      <c r="T1069">
        <f t="shared" si="53"/>
        <v>-0.36</v>
      </c>
    </row>
    <row r="1070" spans="1:20" x14ac:dyDescent="0.3">
      <c r="A1070" s="1">
        <v>45597</v>
      </c>
      <c r="B1070" s="1" t="str">
        <f t="shared" si="51"/>
        <v>Swiggy_Mundka_Product_2_45597</v>
      </c>
      <c r="C1070" s="2" t="s">
        <v>32</v>
      </c>
      <c r="D1070" s="2" t="s">
        <v>33</v>
      </c>
      <c r="E1070" s="2" t="s">
        <v>34</v>
      </c>
      <c r="F1070" s="2" t="s">
        <v>35</v>
      </c>
      <c r="G1070" s="2" t="s">
        <v>36</v>
      </c>
      <c r="H1070" s="2" t="s">
        <v>37</v>
      </c>
      <c r="I1070" s="2" t="s">
        <v>38</v>
      </c>
      <c r="J1070" t="s">
        <v>166</v>
      </c>
      <c r="L1070" s="3">
        <v>7.92</v>
      </c>
      <c r="M1070" s="3">
        <v>7.3655999999999997</v>
      </c>
      <c r="N1070" s="3">
        <f t="shared" ca="1" si="54"/>
        <v>8.3160000000000007</v>
      </c>
      <c r="O1070" s="3">
        <f t="shared" si="52"/>
        <v>7.92</v>
      </c>
      <c r="P1070">
        <v>383.52</v>
      </c>
      <c r="T1070">
        <f t="shared" si="53"/>
        <v>3.3552</v>
      </c>
    </row>
    <row r="1071" spans="1:20" x14ac:dyDescent="0.3">
      <c r="A1071" s="1">
        <v>45597</v>
      </c>
      <c r="B1071" s="1" t="str">
        <f t="shared" si="51"/>
        <v>Grofers_Ahmedabad_Product_14_45597</v>
      </c>
      <c r="C1071" s="2" t="s">
        <v>159</v>
      </c>
      <c r="D1071" s="2" t="s">
        <v>160</v>
      </c>
      <c r="E1071" s="2" t="s">
        <v>34</v>
      </c>
      <c r="F1071" s="2" t="s">
        <v>114</v>
      </c>
      <c r="G1071" s="2" t="s">
        <v>52</v>
      </c>
      <c r="H1071" s="2" t="s">
        <v>47</v>
      </c>
      <c r="I1071" s="2" t="s">
        <v>98</v>
      </c>
      <c r="J1071" t="s">
        <v>166</v>
      </c>
      <c r="L1071" s="3">
        <v>2.4899999999999998</v>
      </c>
      <c r="M1071" s="3">
        <v>2.2907999999999999</v>
      </c>
      <c r="N1071" s="3">
        <f t="shared" ca="1" si="54"/>
        <v>2.7888000000000002</v>
      </c>
      <c r="O1071" s="3">
        <f>L1071*1.2</f>
        <v>2.9879999999999995</v>
      </c>
      <c r="P1071">
        <v>383.52</v>
      </c>
      <c r="T1071">
        <f t="shared" si="53"/>
        <v>0</v>
      </c>
    </row>
    <row r="1072" spans="1:20" x14ac:dyDescent="0.3">
      <c r="A1072" s="1">
        <v>45597</v>
      </c>
      <c r="B1072" s="1" t="str">
        <f t="shared" si="51"/>
        <v>Reliance_Chennai_Product_11_45597</v>
      </c>
      <c r="C1072" s="2" t="s">
        <v>110</v>
      </c>
      <c r="D1072" s="2" t="s">
        <v>111</v>
      </c>
      <c r="E1072" s="2" t="s">
        <v>34</v>
      </c>
      <c r="F1072" s="2" t="s">
        <v>51</v>
      </c>
      <c r="G1072" s="2" t="s">
        <v>84</v>
      </c>
      <c r="H1072" s="2" t="s">
        <v>67</v>
      </c>
      <c r="I1072" s="2" t="s">
        <v>89</v>
      </c>
      <c r="J1072" t="s">
        <v>166</v>
      </c>
      <c r="L1072" s="3">
        <v>4.0500000000000007</v>
      </c>
      <c r="M1072" s="3">
        <v>3.2400000000000007</v>
      </c>
      <c r="N1072" s="3">
        <f t="shared" ca="1" si="54"/>
        <v>4.455000000000001</v>
      </c>
      <c r="O1072" s="3">
        <f t="shared" si="52"/>
        <v>4.0500000000000007</v>
      </c>
      <c r="P1072">
        <v>383.52</v>
      </c>
      <c r="T1072">
        <f t="shared" si="53"/>
        <v>0</v>
      </c>
    </row>
    <row r="1073" spans="1:20" x14ac:dyDescent="0.3">
      <c r="A1073" s="1">
        <v>45597</v>
      </c>
      <c r="B1073" s="1" t="str">
        <f t="shared" si="51"/>
        <v>Reliance_Bangalore_Product_13_45597</v>
      </c>
      <c r="C1073" s="2" t="s">
        <v>93</v>
      </c>
      <c r="D1073" s="2" t="s">
        <v>94</v>
      </c>
      <c r="E1073" s="2" t="s">
        <v>34</v>
      </c>
      <c r="F1073" s="2" t="s">
        <v>51</v>
      </c>
      <c r="G1073" s="2" t="s">
        <v>79</v>
      </c>
      <c r="H1073" s="2" t="s">
        <v>67</v>
      </c>
      <c r="I1073" s="2" t="s">
        <v>95</v>
      </c>
      <c r="J1073" t="s">
        <v>166</v>
      </c>
      <c r="L1073" s="3">
        <v>2.14</v>
      </c>
      <c r="M1073" s="3">
        <v>1.8404000000000003</v>
      </c>
      <c r="N1073" s="3">
        <f t="shared" ca="1" si="54"/>
        <v>2.3968000000000003</v>
      </c>
      <c r="O1073" s="3">
        <f t="shared" si="52"/>
        <v>2.14</v>
      </c>
      <c r="P1073">
        <v>383.52</v>
      </c>
      <c r="T1073">
        <f t="shared" si="53"/>
        <v>0</v>
      </c>
    </row>
    <row r="1074" spans="1:20" x14ac:dyDescent="0.3">
      <c r="A1074" s="1">
        <v>45597</v>
      </c>
      <c r="B1074" s="1" t="str">
        <f t="shared" si="51"/>
        <v>Zepto_Bhiwandi_Product_24_45597</v>
      </c>
      <c r="C1074" s="2" t="s">
        <v>163</v>
      </c>
      <c r="D1074" s="2" t="s">
        <v>164</v>
      </c>
      <c r="E1074" s="2" t="s">
        <v>34</v>
      </c>
      <c r="F1074" s="2" t="s">
        <v>46</v>
      </c>
      <c r="G1074" s="2" t="s">
        <v>66</v>
      </c>
      <c r="H1074" s="2" t="s">
        <v>47</v>
      </c>
      <c r="I1074" s="2" t="s">
        <v>165</v>
      </c>
      <c r="J1074" t="s">
        <v>166</v>
      </c>
      <c r="L1074" s="3">
        <v>8.1199999999999992</v>
      </c>
      <c r="M1074" s="3">
        <v>7.0643999999999991</v>
      </c>
      <c r="N1074" s="3">
        <f t="shared" ca="1" si="54"/>
        <v>8.6883999999999997</v>
      </c>
      <c r="O1074" s="3">
        <f t="shared" si="52"/>
        <v>8.1199999999999992</v>
      </c>
      <c r="P1074">
        <v>383.52</v>
      </c>
      <c r="T1074">
        <f t="shared" si="53"/>
        <v>0</v>
      </c>
    </row>
    <row r="1075" spans="1:20" x14ac:dyDescent="0.3">
      <c r="A1075" s="1">
        <v>45597</v>
      </c>
      <c r="B1075" s="1" t="str">
        <f t="shared" si="51"/>
        <v>Reliance_Ahmedabad_Product_9_45597</v>
      </c>
      <c r="C1075" s="2" t="s">
        <v>151</v>
      </c>
      <c r="D1075" s="2" t="s">
        <v>152</v>
      </c>
      <c r="E1075" s="2" t="s">
        <v>34</v>
      </c>
      <c r="F1075" s="2" t="s">
        <v>51</v>
      </c>
      <c r="G1075" s="2" t="s">
        <v>52</v>
      </c>
      <c r="H1075" s="2" t="s">
        <v>37</v>
      </c>
      <c r="I1075" s="2" t="s">
        <v>71</v>
      </c>
      <c r="J1075" t="s">
        <v>166</v>
      </c>
      <c r="L1075" s="3">
        <v>3.81</v>
      </c>
      <c r="M1075" s="3">
        <v>3.1623000000000001</v>
      </c>
      <c r="N1075" s="3">
        <f t="shared" ca="1" si="54"/>
        <v>4.0766999999999998</v>
      </c>
      <c r="O1075" s="3">
        <f t="shared" si="52"/>
        <v>3.81</v>
      </c>
      <c r="P1075">
        <v>383.52</v>
      </c>
      <c r="T1075">
        <f t="shared" si="53"/>
        <v>0</v>
      </c>
    </row>
    <row r="1076" spans="1:20" x14ac:dyDescent="0.3">
      <c r="A1076" s="1">
        <v>45597</v>
      </c>
      <c r="B1076" s="1" t="str">
        <f t="shared" si="51"/>
        <v>Reliance_Bangalore_Product_3_45597</v>
      </c>
      <c r="C1076" s="2" t="s">
        <v>80</v>
      </c>
      <c r="D1076" s="2" t="s">
        <v>81</v>
      </c>
      <c r="E1076" s="2" t="s">
        <v>34</v>
      </c>
      <c r="F1076" s="2" t="s">
        <v>51</v>
      </c>
      <c r="G1076" s="2" t="s">
        <v>79</v>
      </c>
      <c r="H1076" s="2" t="s">
        <v>37</v>
      </c>
      <c r="I1076" s="2" t="s">
        <v>43</v>
      </c>
      <c r="J1076" t="s">
        <v>166</v>
      </c>
      <c r="L1076" s="3">
        <v>3.3600000000000003</v>
      </c>
      <c r="M1076" s="3">
        <v>3.1584000000000003</v>
      </c>
      <c r="N1076" s="3">
        <f t="shared" ca="1" si="54"/>
        <v>3.528</v>
      </c>
      <c r="O1076" s="3">
        <f t="shared" si="52"/>
        <v>3.3600000000000003</v>
      </c>
      <c r="P1076">
        <v>672</v>
      </c>
      <c r="T1076">
        <f t="shared" si="53"/>
        <v>2.8848000000000003</v>
      </c>
    </row>
    <row r="1077" spans="1:20" x14ac:dyDescent="0.3">
      <c r="A1077" s="1">
        <v>45597</v>
      </c>
      <c r="B1077" s="1" t="str">
        <f t="shared" si="51"/>
        <v>Reliance_Chennai_Product_9_45597</v>
      </c>
      <c r="C1077" s="2" t="s">
        <v>147</v>
      </c>
      <c r="D1077" s="2" t="s">
        <v>148</v>
      </c>
      <c r="E1077" s="2" t="s">
        <v>34</v>
      </c>
      <c r="F1077" s="2" t="s">
        <v>51</v>
      </c>
      <c r="G1077" s="2" t="s">
        <v>84</v>
      </c>
      <c r="H1077" s="2" t="s">
        <v>37</v>
      </c>
      <c r="I1077" s="2" t="s">
        <v>71</v>
      </c>
      <c r="J1077" t="s">
        <v>166</v>
      </c>
      <c r="L1077" s="3">
        <v>2.36</v>
      </c>
      <c r="M1077" s="3">
        <v>2.0768</v>
      </c>
      <c r="N1077" s="3">
        <f t="shared" ca="1" si="54"/>
        <v>2.6195999999999997</v>
      </c>
      <c r="O1077" s="3">
        <f t="shared" si="52"/>
        <v>2.36</v>
      </c>
      <c r="P1077">
        <v>672</v>
      </c>
      <c r="T1077">
        <f t="shared" si="53"/>
        <v>0</v>
      </c>
    </row>
    <row r="1078" spans="1:20" x14ac:dyDescent="0.3">
      <c r="A1078" s="1">
        <v>45597</v>
      </c>
      <c r="B1078" s="1" t="str">
        <f t="shared" si="51"/>
        <v>Zepto_Mundka_Product_3_45597</v>
      </c>
      <c r="C1078" s="2" t="s">
        <v>72</v>
      </c>
      <c r="D1078" s="2" t="s">
        <v>73</v>
      </c>
      <c r="E1078" s="2" t="s">
        <v>34</v>
      </c>
      <c r="F1078" s="2" t="s">
        <v>46</v>
      </c>
      <c r="G1078" s="2" t="s">
        <v>36</v>
      </c>
      <c r="H1078" s="2" t="s">
        <v>37</v>
      </c>
      <c r="I1078" s="2" t="s">
        <v>43</v>
      </c>
      <c r="J1078" t="s">
        <v>166</v>
      </c>
      <c r="L1078" s="3">
        <v>17.7</v>
      </c>
      <c r="M1078" s="3">
        <v>16.637999999999998</v>
      </c>
      <c r="N1078" s="3">
        <f t="shared" ca="1" si="54"/>
        <v>19.646999999999998</v>
      </c>
      <c r="O1078" s="3">
        <f t="shared" si="52"/>
        <v>17.7</v>
      </c>
      <c r="P1078">
        <v>421.92</v>
      </c>
      <c r="T1078">
        <f t="shared" si="53"/>
        <v>-2.5007999999999999</v>
      </c>
    </row>
    <row r="1079" spans="1:20" x14ac:dyDescent="0.3">
      <c r="A1079" s="1">
        <v>45597</v>
      </c>
      <c r="B1079" s="1" t="str">
        <f t="shared" si="51"/>
        <v>Swiggy_Chennai_Product_3_45597</v>
      </c>
      <c r="C1079" s="2" t="s">
        <v>82</v>
      </c>
      <c r="D1079" s="2" t="s">
        <v>83</v>
      </c>
      <c r="E1079" s="2" t="s">
        <v>34</v>
      </c>
      <c r="F1079" s="2" t="s">
        <v>35</v>
      </c>
      <c r="G1079" s="2" t="s">
        <v>84</v>
      </c>
      <c r="H1079" s="2" t="s">
        <v>37</v>
      </c>
      <c r="I1079" s="2" t="s">
        <v>43</v>
      </c>
      <c r="J1079" t="s">
        <v>166</v>
      </c>
      <c r="L1079" s="3">
        <v>3.7800000000000002</v>
      </c>
      <c r="M1079" s="3">
        <v>3.4398</v>
      </c>
      <c r="N1079" s="3">
        <f t="shared" ca="1" si="54"/>
        <v>4.2714000000000008</v>
      </c>
      <c r="O1079" s="3">
        <f t="shared" si="52"/>
        <v>3.7800000000000002</v>
      </c>
      <c r="P1079">
        <v>421.92</v>
      </c>
      <c r="T1079">
        <f t="shared" si="53"/>
        <v>0</v>
      </c>
    </row>
    <row r="1080" spans="1:20" x14ac:dyDescent="0.3">
      <c r="A1080" s="1">
        <v>45597</v>
      </c>
      <c r="B1080" s="1" t="str">
        <f t="shared" si="51"/>
        <v>Grofers_Kolkata CFA_Product_20_45597</v>
      </c>
      <c r="C1080" s="2" t="s">
        <v>153</v>
      </c>
      <c r="D1080" s="2" t="s">
        <v>154</v>
      </c>
      <c r="E1080" s="2" t="s">
        <v>34</v>
      </c>
      <c r="F1080" s="2" t="s">
        <v>114</v>
      </c>
      <c r="G1080" s="2" t="s">
        <v>63</v>
      </c>
      <c r="H1080" s="2" t="s">
        <v>47</v>
      </c>
      <c r="I1080" s="2" t="s">
        <v>130</v>
      </c>
      <c r="J1080" t="s">
        <v>166</v>
      </c>
      <c r="L1080" s="3">
        <v>5.04</v>
      </c>
      <c r="M1080" s="3">
        <v>4.2839999999999998</v>
      </c>
      <c r="N1080" s="3">
        <f t="shared" ca="1" si="54"/>
        <v>5.7960000000000003</v>
      </c>
      <c r="O1080" s="3">
        <f t="shared" si="52"/>
        <v>5.04</v>
      </c>
      <c r="P1080">
        <v>748.8</v>
      </c>
      <c r="T1080">
        <f t="shared" si="53"/>
        <v>3.2687999999999993</v>
      </c>
    </row>
    <row r="1081" spans="1:20" x14ac:dyDescent="0.3">
      <c r="A1081" s="1">
        <v>45597</v>
      </c>
      <c r="B1081" s="1" t="str">
        <f t="shared" si="51"/>
        <v>Zepto_Bhiwandi_Product_25_45597</v>
      </c>
      <c r="C1081" s="2" t="s">
        <v>167</v>
      </c>
      <c r="D1081" s="2" t="s">
        <v>168</v>
      </c>
      <c r="E1081" s="2" t="s">
        <v>34</v>
      </c>
      <c r="F1081" s="2" t="s">
        <v>46</v>
      </c>
      <c r="G1081" s="2" t="s">
        <v>66</v>
      </c>
      <c r="H1081" s="2" t="s">
        <v>47</v>
      </c>
      <c r="I1081" s="2" t="s">
        <v>169</v>
      </c>
      <c r="J1081" t="s">
        <v>166</v>
      </c>
      <c r="L1081" s="3">
        <v>1</v>
      </c>
      <c r="M1081" s="3">
        <v>1</v>
      </c>
      <c r="N1081" s="3">
        <f t="shared" ca="1" si="54"/>
        <v>1.06</v>
      </c>
      <c r="O1081" s="3">
        <f t="shared" si="52"/>
        <v>1</v>
      </c>
      <c r="P1081">
        <v>748.8</v>
      </c>
      <c r="T1081">
        <f t="shared" si="53"/>
        <v>0</v>
      </c>
    </row>
    <row r="1082" spans="1:20" x14ac:dyDescent="0.3">
      <c r="A1082" s="1">
        <v>45597</v>
      </c>
      <c r="B1082" s="1" t="str">
        <f t="shared" si="51"/>
        <v>Swiggy_Kolkata CFA_Product_3_45597</v>
      </c>
      <c r="C1082" s="2" t="s">
        <v>61</v>
      </c>
      <c r="D1082" s="2" t="s">
        <v>62</v>
      </c>
      <c r="E1082" s="2" t="s">
        <v>34</v>
      </c>
      <c r="F1082" s="2" t="s">
        <v>35</v>
      </c>
      <c r="G1082" s="2" t="s">
        <v>63</v>
      </c>
      <c r="H1082" s="2" t="s">
        <v>37</v>
      </c>
      <c r="I1082" s="2" t="s">
        <v>43</v>
      </c>
      <c r="J1082" t="s">
        <v>166</v>
      </c>
      <c r="L1082" s="3">
        <v>8.6999999999999993</v>
      </c>
      <c r="M1082" s="3">
        <v>7.2209999999999992</v>
      </c>
      <c r="N1082" s="3">
        <f t="shared" ca="1" si="54"/>
        <v>10.004999999999999</v>
      </c>
      <c r="O1082" s="3">
        <f t="shared" si="52"/>
        <v>8.6999999999999993</v>
      </c>
      <c r="P1082">
        <v>84</v>
      </c>
      <c r="T1082">
        <f t="shared" si="53"/>
        <v>-6.6479999999999997</v>
      </c>
    </row>
    <row r="1083" spans="1:20" x14ac:dyDescent="0.3">
      <c r="A1083" s="1">
        <v>45597</v>
      </c>
      <c r="B1083" s="1" t="str">
        <f t="shared" si="51"/>
        <v>Grofers_Hyderabad_Product_21_45597</v>
      </c>
      <c r="C1083" s="2" t="s">
        <v>135</v>
      </c>
      <c r="D1083" s="2" t="s">
        <v>136</v>
      </c>
      <c r="E1083" s="2" t="s">
        <v>34</v>
      </c>
      <c r="F1083" s="2" t="s">
        <v>114</v>
      </c>
      <c r="G1083" s="2" t="s">
        <v>137</v>
      </c>
      <c r="H1083" s="2" t="s">
        <v>133</v>
      </c>
      <c r="I1083" s="2" t="s">
        <v>134</v>
      </c>
      <c r="J1083" t="s">
        <v>166</v>
      </c>
      <c r="L1083" s="3">
        <v>24.6</v>
      </c>
      <c r="M1083" s="3">
        <v>22.878</v>
      </c>
      <c r="N1083" s="3">
        <f t="shared" ca="1" si="54"/>
        <v>29.52</v>
      </c>
      <c r="O1083" s="3">
        <f t="shared" si="52"/>
        <v>24.6</v>
      </c>
      <c r="P1083">
        <v>48</v>
      </c>
      <c r="T1083">
        <f t="shared" si="53"/>
        <v>-0.36</v>
      </c>
    </row>
    <row r="1084" spans="1:20" x14ac:dyDescent="0.3">
      <c r="A1084" s="1">
        <v>45597</v>
      </c>
      <c r="B1084" s="1" t="str">
        <f t="shared" si="51"/>
        <v>Grofers_Mundka_Product_21_45597</v>
      </c>
      <c r="C1084" s="2" t="s">
        <v>131</v>
      </c>
      <c r="D1084" s="2" t="s">
        <v>132</v>
      </c>
      <c r="E1084" s="2" t="s">
        <v>34</v>
      </c>
      <c r="F1084" s="2" t="s">
        <v>114</v>
      </c>
      <c r="G1084" s="2" t="s">
        <v>36</v>
      </c>
      <c r="H1084" s="2" t="s">
        <v>133</v>
      </c>
      <c r="I1084" s="2" t="s">
        <v>134</v>
      </c>
      <c r="J1084" t="s">
        <v>166</v>
      </c>
      <c r="L1084" s="3">
        <v>25</v>
      </c>
      <c r="M1084" s="3">
        <v>20.75</v>
      </c>
      <c r="N1084" s="3">
        <f t="shared" ca="1" si="54"/>
        <v>28</v>
      </c>
      <c r="O1084" s="3">
        <f t="shared" si="52"/>
        <v>25</v>
      </c>
      <c r="P1084">
        <v>383.52</v>
      </c>
      <c r="T1084">
        <f t="shared" si="53"/>
        <v>3.3552</v>
      </c>
    </row>
    <row r="1085" spans="1:20" x14ac:dyDescent="0.3">
      <c r="A1085" s="1">
        <v>45597</v>
      </c>
      <c r="B1085" s="1" t="str">
        <f t="shared" si="51"/>
        <v>Zepto_Bhiwandi_Product_10_45597</v>
      </c>
      <c r="C1085" s="2" t="s">
        <v>74</v>
      </c>
      <c r="D1085" s="2" t="s">
        <v>75</v>
      </c>
      <c r="E1085" s="2" t="s">
        <v>34</v>
      </c>
      <c r="F1085" s="2" t="s">
        <v>46</v>
      </c>
      <c r="G1085" s="2" t="s">
        <v>66</v>
      </c>
      <c r="H1085" s="2" t="s">
        <v>67</v>
      </c>
      <c r="I1085" s="2" t="s">
        <v>76</v>
      </c>
      <c r="J1085" t="s">
        <v>166</v>
      </c>
      <c r="L1085" s="3">
        <v>5.08</v>
      </c>
      <c r="M1085" s="3">
        <v>4.6736000000000004</v>
      </c>
      <c r="N1085" s="3">
        <f t="shared" ca="1" si="54"/>
        <v>5.6387999999999998</v>
      </c>
      <c r="O1085" s="3">
        <f t="shared" si="52"/>
        <v>5.08</v>
      </c>
      <c r="P1085">
        <v>383.52</v>
      </c>
      <c r="T1085">
        <f t="shared" si="53"/>
        <v>0</v>
      </c>
    </row>
    <row r="1086" spans="1:20" x14ac:dyDescent="0.3">
      <c r="A1086" s="1">
        <v>45627</v>
      </c>
      <c r="B1086" s="1" t="str">
        <f t="shared" si="51"/>
        <v>Zepto_Bangalore_Product_12_45627</v>
      </c>
      <c r="C1086" s="2" t="s">
        <v>90</v>
      </c>
      <c r="D1086" s="2" t="s">
        <v>91</v>
      </c>
      <c r="E1086" s="2" t="s">
        <v>34</v>
      </c>
      <c r="F1086" s="2" t="s">
        <v>46</v>
      </c>
      <c r="G1086" s="2" t="s">
        <v>79</v>
      </c>
      <c r="H1086" s="2" t="s">
        <v>67</v>
      </c>
      <c r="I1086" s="2" t="s">
        <v>92</v>
      </c>
      <c r="J1086" t="s">
        <v>166</v>
      </c>
      <c r="L1086" s="3">
        <v>11.07</v>
      </c>
      <c r="M1086" s="3">
        <v>10.073700000000001</v>
      </c>
      <c r="N1086" s="3">
        <f t="shared" ca="1" si="54"/>
        <v>13.173299999999999</v>
      </c>
      <c r="O1086" s="3">
        <f t="shared" si="52"/>
        <v>11.07</v>
      </c>
      <c r="P1086">
        <v>672</v>
      </c>
      <c r="T1086">
        <f t="shared" si="53"/>
        <v>2.8848000000000003</v>
      </c>
    </row>
    <row r="1087" spans="1:20" x14ac:dyDescent="0.3">
      <c r="A1087" s="1">
        <v>45627</v>
      </c>
      <c r="B1087" s="1" t="str">
        <f t="shared" si="51"/>
        <v>Grofers_Ahmedabad_Product_25_45627</v>
      </c>
      <c r="C1087" s="2" t="s">
        <v>177</v>
      </c>
      <c r="D1087" s="2" t="s">
        <v>178</v>
      </c>
      <c r="E1087" s="2" t="s">
        <v>34</v>
      </c>
      <c r="F1087" s="2" t="s">
        <v>114</v>
      </c>
      <c r="G1087" s="2" t="s">
        <v>52</v>
      </c>
      <c r="H1087" s="2" t="s">
        <v>47</v>
      </c>
      <c r="I1087" s="2" t="s">
        <v>169</v>
      </c>
      <c r="J1087" t="s">
        <v>166</v>
      </c>
      <c r="L1087" s="3">
        <v>2.48</v>
      </c>
      <c r="M1087" s="3">
        <v>2.48</v>
      </c>
      <c r="N1087" s="3">
        <f t="shared" ca="1" si="54"/>
        <v>2.7280000000000002</v>
      </c>
      <c r="O1087" s="3">
        <f t="shared" si="52"/>
        <v>2.48</v>
      </c>
      <c r="P1087">
        <v>672</v>
      </c>
      <c r="T1087">
        <f t="shared" si="53"/>
        <v>0</v>
      </c>
    </row>
    <row r="1088" spans="1:20" x14ac:dyDescent="0.3">
      <c r="A1088" s="1">
        <v>45627</v>
      </c>
      <c r="B1088" s="1" t="str">
        <f t="shared" si="51"/>
        <v>Zepto_Bhiwandi_Product_10_45627</v>
      </c>
      <c r="C1088" s="2" t="s">
        <v>74</v>
      </c>
      <c r="D1088" s="2" t="s">
        <v>75</v>
      </c>
      <c r="E1088" s="2" t="s">
        <v>34</v>
      </c>
      <c r="F1088" s="2" t="s">
        <v>46</v>
      </c>
      <c r="G1088" s="2" t="s">
        <v>66</v>
      </c>
      <c r="H1088" s="2" t="s">
        <v>67</v>
      </c>
      <c r="I1088" s="2" t="s">
        <v>76</v>
      </c>
      <c r="J1088" t="s">
        <v>166</v>
      </c>
      <c r="L1088" s="3">
        <v>37.72</v>
      </c>
      <c r="M1088" s="3">
        <v>31.684799999999999</v>
      </c>
      <c r="N1088" s="3">
        <f t="shared" ca="1" si="54"/>
        <v>39.606000000000002</v>
      </c>
      <c r="O1088" s="3">
        <f t="shared" si="52"/>
        <v>37.72</v>
      </c>
      <c r="P1088">
        <v>421.92</v>
      </c>
      <c r="T1088">
        <f t="shared" si="53"/>
        <v>-2.5007999999999999</v>
      </c>
    </row>
    <row r="1089" spans="1:20" x14ac:dyDescent="0.3">
      <c r="A1089" s="1">
        <v>45627</v>
      </c>
      <c r="B1089" s="1" t="str">
        <f t="shared" si="51"/>
        <v>Maharashtra_MH-Aggregated_Product_23_45627</v>
      </c>
      <c r="C1089" s="2" t="s">
        <v>142</v>
      </c>
      <c r="D1089" s="2" t="s">
        <v>143</v>
      </c>
      <c r="E1089" s="2" t="s">
        <v>26</v>
      </c>
      <c r="F1089" s="2" t="s">
        <v>41</v>
      </c>
      <c r="G1089" s="2" t="s">
        <v>42</v>
      </c>
      <c r="H1089" s="2" t="s">
        <v>140</v>
      </c>
      <c r="I1089" s="2" t="s">
        <v>144</v>
      </c>
      <c r="J1089" t="s">
        <v>166</v>
      </c>
      <c r="L1089" s="3">
        <v>11.25</v>
      </c>
      <c r="M1089" s="3">
        <v>9.6750000000000007</v>
      </c>
      <c r="N1089" s="3">
        <f t="shared" ca="1" si="54"/>
        <v>13.05</v>
      </c>
      <c r="O1089" s="3">
        <f t="shared" si="52"/>
        <v>11.25</v>
      </c>
      <c r="P1089">
        <v>421.92</v>
      </c>
      <c r="T1089">
        <f t="shared" si="53"/>
        <v>0</v>
      </c>
    </row>
    <row r="1090" spans="1:20" x14ac:dyDescent="0.3">
      <c r="A1090" s="1">
        <v>45627</v>
      </c>
      <c r="B1090" s="1" t="str">
        <f t="shared" si="51"/>
        <v>Maharashtra_MH-Aggregated_Product_22_45627</v>
      </c>
      <c r="C1090" s="2" t="s">
        <v>138</v>
      </c>
      <c r="D1090" s="2" t="s">
        <v>139</v>
      </c>
      <c r="E1090" s="2" t="s">
        <v>26</v>
      </c>
      <c r="F1090" s="2" t="s">
        <v>41</v>
      </c>
      <c r="G1090" s="2" t="s">
        <v>42</v>
      </c>
      <c r="H1090" s="2" t="s">
        <v>140</v>
      </c>
      <c r="I1090" s="2" t="s">
        <v>141</v>
      </c>
      <c r="J1090" t="s">
        <v>166</v>
      </c>
      <c r="L1090" s="3">
        <v>16.149999999999999</v>
      </c>
      <c r="M1090" s="3">
        <v>14.696499999999999</v>
      </c>
      <c r="N1090" s="3">
        <f t="shared" ca="1" si="54"/>
        <v>17.119</v>
      </c>
      <c r="O1090" s="3">
        <f t="shared" si="52"/>
        <v>16.149999999999999</v>
      </c>
      <c r="P1090">
        <v>748.8</v>
      </c>
      <c r="T1090">
        <f t="shared" si="53"/>
        <v>3.2687999999999993</v>
      </c>
    </row>
    <row r="1091" spans="1:20" x14ac:dyDescent="0.3">
      <c r="A1091" s="1">
        <v>45627</v>
      </c>
      <c r="B1091" s="1" t="str">
        <f t="shared" ref="B1091:B1130" si="55">C1091&amp;"_"&amp;A1091</f>
        <v>Zepto_Bhiwandi_Product_24_45627</v>
      </c>
      <c r="C1091" s="2" t="s">
        <v>163</v>
      </c>
      <c r="D1091" s="2" t="s">
        <v>164</v>
      </c>
      <c r="E1091" s="2" t="s">
        <v>34</v>
      </c>
      <c r="F1091" s="2" t="s">
        <v>46</v>
      </c>
      <c r="G1091" s="2" t="s">
        <v>66</v>
      </c>
      <c r="H1091" s="2" t="s">
        <v>47</v>
      </c>
      <c r="I1091" s="2" t="s">
        <v>165</v>
      </c>
      <c r="J1091" t="s">
        <v>166</v>
      </c>
      <c r="L1091" s="3">
        <v>2.7600000000000002</v>
      </c>
      <c r="M1091" s="3">
        <v>2.7048000000000001</v>
      </c>
      <c r="N1091" s="3">
        <f t="shared" ca="1" si="54"/>
        <v>3.2016000000000004</v>
      </c>
      <c r="O1091" s="3">
        <f t="shared" ref="O1091:O1130" si="56">L1091</f>
        <v>2.7600000000000002</v>
      </c>
      <c r="P1091">
        <v>748.8</v>
      </c>
      <c r="T1091">
        <f t="shared" si="53"/>
        <v>0</v>
      </c>
    </row>
    <row r="1092" spans="1:20" x14ac:dyDescent="0.3">
      <c r="A1092" s="1">
        <v>45627</v>
      </c>
      <c r="B1092" s="1" t="str">
        <f t="shared" si="55"/>
        <v>Zepto_Bhiwandi_Product_25_45627</v>
      </c>
      <c r="C1092" s="2" t="s">
        <v>167</v>
      </c>
      <c r="D1092" s="2" t="s">
        <v>168</v>
      </c>
      <c r="E1092" s="2" t="s">
        <v>34</v>
      </c>
      <c r="F1092" s="2" t="s">
        <v>46</v>
      </c>
      <c r="G1092" s="2" t="s">
        <v>66</v>
      </c>
      <c r="H1092" s="2" t="s">
        <v>47</v>
      </c>
      <c r="I1092" s="2" t="s">
        <v>169</v>
      </c>
      <c r="J1092" t="s">
        <v>166</v>
      </c>
      <c r="L1092" s="3">
        <v>30.509999999999998</v>
      </c>
      <c r="M1092" s="3">
        <v>25.933499999999999</v>
      </c>
      <c r="N1092" s="3">
        <f t="shared" ca="1" si="54"/>
        <v>32.645699999999998</v>
      </c>
      <c r="O1092" s="3">
        <f t="shared" si="56"/>
        <v>30.509999999999998</v>
      </c>
      <c r="P1092">
        <v>84</v>
      </c>
      <c r="T1092">
        <f t="shared" ref="T1092:T1130" si="57">(P1092-P1091)/100</f>
        <v>-6.6479999999999997</v>
      </c>
    </row>
    <row r="1093" spans="1:20" x14ac:dyDescent="0.3">
      <c r="A1093" s="1">
        <v>45627</v>
      </c>
      <c r="B1093" s="1" t="str">
        <f t="shared" si="55"/>
        <v>Maharashtra_MH-Aggregated_Product_9_45627</v>
      </c>
      <c r="C1093" s="2" t="s">
        <v>69</v>
      </c>
      <c r="D1093" s="2" t="s">
        <v>70</v>
      </c>
      <c r="E1093" s="2" t="s">
        <v>26</v>
      </c>
      <c r="F1093" s="2" t="s">
        <v>41</v>
      </c>
      <c r="G1093" s="2" t="s">
        <v>42</v>
      </c>
      <c r="H1093" s="2" t="s">
        <v>37</v>
      </c>
      <c r="I1093" s="2" t="s">
        <v>71</v>
      </c>
      <c r="J1093" t="s">
        <v>166</v>
      </c>
      <c r="L1093" s="3">
        <v>55.510000000000005</v>
      </c>
      <c r="M1093" s="3">
        <v>44.408000000000001</v>
      </c>
      <c r="N1093" s="3">
        <f t="shared" ca="1" si="54"/>
        <v>64.946700000000007</v>
      </c>
      <c r="O1093" s="3">
        <f t="shared" si="56"/>
        <v>55.510000000000005</v>
      </c>
      <c r="P1093">
        <v>48</v>
      </c>
      <c r="T1093">
        <f t="shared" si="57"/>
        <v>-0.36</v>
      </c>
    </row>
    <row r="1094" spans="1:20" x14ac:dyDescent="0.3">
      <c r="A1094" s="1">
        <v>45627</v>
      </c>
      <c r="B1094" s="1" t="str">
        <f t="shared" si="55"/>
        <v>Reliance_Ahmedabad_Product_5_45627</v>
      </c>
      <c r="C1094" s="2" t="s">
        <v>49</v>
      </c>
      <c r="D1094" s="2" t="s">
        <v>50</v>
      </c>
      <c r="E1094" s="2" t="s">
        <v>34</v>
      </c>
      <c r="F1094" s="2" t="s">
        <v>51</v>
      </c>
      <c r="G1094" s="2" t="s">
        <v>52</v>
      </c>
      <c r="H1094" s="2" t="s">
        <v>53</v>
      </c>
      <c r="I1094" s="2" t="s">
        <v>54</v>
      </c>
      <c r="J1094" t="s">
        <v>166</v>
      </c>
      <c r="L1094" s="3">
        <v>7.26</v>
      </c>
      <c r="M1094" s="3">
        <v>6.0984000000000007</v>
      </c>
      <c r="N1094" s="3">
        <f t="shared" ca="1" si="54"/>
        <v>8.4215999999999998</v>
      </c>
      <c r="O1094" s="3">
        <f t="shared" si="56"/>
        <v>7.26</v>
      </c>
      <c r="P1094">
        <v>383.52</v>
      </c>
      <c r="T1094">
        <f t="shared" si="57"/>
        <v>3.3552</v>
      </c>
    </row>
    <row r="1095" spans="1:20" x14ac:dyDescent="0.3">
      <c r="A1095" s="1">
        <v>45627</v>
      </c>
      <c r="B1095" s="1" t="str">
        <f t="shared" si="55"/>
        <v>Grofers_Kolkata CFA_Product_14_45627</v>
      </c>
      <c r="C1095" s="2" t="s">
        <v>161</v>
      </c>
      <c r="D1095" s="2" t="s">
        <v>162</v>
      </c>
      <c r="E1095" s="2" t="s">
        <v>34</v>
      </c>
      <c r="F1095" s="2" t="s">
        <v>114</v>
      </c>
      <c r="G1095" s="2" t="s">
        <v>63</v>
      </c>
      <c r="H1095" s="2" t="s">
        <v>47</v>
      </c>
      <c r="I1095" s="2" t="s">
        <v>98</v>
      </c>
      <c r="J1095" t="s">
        <v>166</v>
      </c>
      <c r="L1095" s="3">
        <v>1.27</v>
      </c>
      <c r="M1095" s="3">
        <v>1.1684000000000001</v>
      </c>
      <c r="N1095" s="3">
        <f t="shared" ca="1" si="54"/>
        <v>1.3715999999999999</v>
      </c>
      <c r="O1095" s="3">
        <f t="shared" si="56"/>
        <v>1.27</v>
      </c>
      <c r="P1095">
        <v>383.52</v>
      </c>
      <c r="T1095">
        <f t="shared" si="57"/>
        <v>0</v>
      </c>
    </row>
    <row r="1096" spans="1:20" x14ac:dyDescent="0.3">
      <c r="A1096" s="1">
        <v>45627</v>
      </c>
      <c r="B1096" s="1" t="str">
        <f t="shared" si="55"/>
        <v>Swiggy_Mundka_Product_14_45627</v>
      </c>
      <c r="C1096" s="2" t="s">
        <v>96</v>
      </c>
      <c r="D1096" s="2" t="s">
        <v>97</v>
      </c>
      <c r="E1096" s="2" t="s">
        <v>34</v>
      </c>
      <c r="F1096" s="2" t="s">
        <v>35</v>
      </c>
      <c r="G1096" s="2" t="s">
        <v>36</v>
      </c>
      <c r="H1096" s="2" t="s">
        <v>47</v>
      </c>
      <c r="I1096" s="2" t="s">
        <v>98</v>
      </c>
      <c r="J1096" t="s">
        <v>166</v>
      </c>
      <c r="L1096" s="3">
        <v>2.61</v>
      </c>
      <c r="M1096" s="3">
        <v>2.1923999999999997</v>
      </c>
      <c r="N1096" s="3">
        <f t="shared" ca="1" si="54"/>
        <v>2.8188</v>
      </c>
      <c r="O1096" s="3">
        <f t="shared" si="56"/>
        <v>2.61</v>
      </c>
      <c r="P1096">
        <v>672</v>
      </c>
      <c r="T1096">
        <f t="shared" si="57"/>
        <v>2.8848000000000003</v>
      </c>
    </row>
    <row r="1097" spans="1:20" x14ac:dyDescent="0.3">
      <c r="A1097" s="1">
        <v>45627</v>
      </c>
      <c r="B1097" s="1" t="str">
        <f t="shared" si="55"/>
        <v>Reliance_Mundka_Product_9_45627</v>
      </c>
      <c r="C1097" s="2" t="s">
        <v>145</v>
      </c>
      <c r="D1097" s="2" t="s">
        <v>146</v>
      </c>
      <c r="E1097" s="2" t="s">
        <v>34</v>
      </c>
      <c r="F1097" s="2" t="s">
        <v>51</v>
      </c>
      <c r="G1097" s="2" t="s">
        <v>36</v>
      </c>
      <c r="H1097" s="2" t="s">
        <v>37</v>
      </c>
      <c r="I1097" s="2" t="s">
        <v>71</v>
      </c>
      <c r="J1097" t="s">
        <v>166</v>
      </c>
      <c r="L1097" s="3">
        <v>1.02</v>
      </c>
      <c r="M1097" s="3">
        <v>0.83640000000000003</v>
      </c>
      <c r="N1097" s="3">
        <f t="shared" ca="1" si="54"/>
        <v>1.0811999999999999</v>
      </c>
      <c r="O1097" s="3">
        <f t="shared" si="56"/>
        <v>1.02</v>
      </c>
      <c r="P1097">
        <v>672</v>
      </c>
      <c r="T1097">
        <f t="shared" si="57"/>
        <v>0</v>
      </c>
    </row>
    <row r="1098" spans="1:20" x14ac:dyDescent="0.3">
      <c r="A1098" s="1">
        <v>45627</v>
      </c>
      <c r="B1098" s="1" t="str">
        <f t="shared" si="55"/>
        <v>Jharkhand_JH-Aggregated_Product_15_45627</v>
      </c>
      <c r="C1098" s="2" t="s">
        <v>103</v>
      </c>
      <c r="D1098" s="2" t="s">
        <v>104</v>
      </c>
      <c r="E1098" s="2" t="s">
        <v>26</v>
      </c>
      <c r="F1098" s="2" t="s">
        <v>27</v>
      </c>
      <c r="G1098" s="2" t="s">
        <v>28</v>
      </c>
      <c r="H1098" s="2" t="s">
        <v>105</v>
      </c>
      <c r="I1098" s="2" t="s">
        <v>106</v>
      </c>
      <c r="J1098" t="s">
        <v>166</v>
      </c>
      <c r="L1098" s="3">
        <v>9.6</v>
      </c>
      <c r="M1098" s="3">
        <v>7.68</v>
      </c>
      <c r="N1098" s="3">
        <f t="shared" ca="1" si="54"/>
        <v>11.423999999999999</v>
      </c>
      <c r="O1098" s="3">
        <f t="shared" si="56"/>
        <v>9.6</v>
      </c>
      <c r="P1098">
        <v>421.92</v>
      </c>
      <c r="T1098">
        <f t="shared" si="57"/>
        <v>-2.5007999999999999</v>
      </c>
    </row>
    <row r="1099" spans="1:20" x14ac:dyDescent="0.3">
      <c r="A1099" s="1">
        <v>45627</v>
      </c>
      <c r="B1099" s="1" t="str">
        <f t="shared" si="55"/>
        <v>Swiggy_Kolkata CFA_Product_11_45627</v>
      </c>
      <c r="C1099" s="2" t="s">
        <v>119</v>
      </c>
      <c r="D1099" s="2" t="s">
        <v>120</v>
      </c>
      <c r="E1099" s="2" t="s">
        <v>34</v>
      </c>
      <c r="F1099" s="2" t="s">
        <v>35</v>
      </c>
      <c r="G1099" s="2" t="s">
        <v>63</v>
      </c>
      <c r="H1099" s="2" t="s">
        <v>67</v>
      </c>
      <c r="I1099" s="2" t="s">
        <v>89</v>
      </c>
      <c r="J1099" t="s">
        <v>166</v>
      </c>
      <c r="L1099" s="3">
        <v>3.12</v>
      </c>
      <c r="M1099" s="3">
        <v>2.4960000000000004</v>
      </c>
      <c r="N1099" s="3">
        <f t="shared" ca="1" si="54"/>
        <v>3.6192000000000002</v>
      </c>
      <c r="O1099" s="3">
        <f t="shared" si="56"/>
        <v>3.12</v>
      </c>
      <c r="P1099">
        <v>421.92</v>
      </c>
      <c r="T1099">
        <f t="shared" si="57"/>
        <v>0</v>
      </c>
    </row>
    <row r="1100" spans="1:20" x14ac:dyDescent="0.3">
      <c r="A1100" s="1">
        <v>45627</v>
      </c>
      <c r="B1100" s="1" t="str">
        <f t="shared" si="55"/>
        <v>Reliance_Ahmedabad_Product_18_45627</v>
      </c>
      <c r="C1100" s="2" t="s">
        <v>121</v>
      </c>
      <c r="D1100" s="2" t="s">
        <v>122</v>
      </c>
      <c r="E1100" s="2" t="s">
        <v>34</v>
      </c>
      <c r="F1100" s="2" t="s">
        <v>51</v>
      </c>
      <c r="G1100" s="2" t="s">
        <v>52</v>
      </c>
      <c r="H1100" s="2" t="s">
        <v>29</v>
      </c>
      <c r="I1100" s="2" t="s">
        <v>123</v>
      </c>
      <c r="J1100" t="s">
        <v>166</v>
      </c>
      <c r="L1100" s="3">
        <v>5.8999999999999995</v>
      </c>
      <c r="M1100" s="3">
        <v>5.6050000000000004</v>
      </c>
      <c r="N1100" s="3">
        <f t="shared" ca="1" si="54"/>
        <v>7.020999999999999</v>
      </c>
      <c r="O1100" s="3">
        <f t="shared" si="56"/>
        <v>5.8999999999999995</v>
      </c>
      <c r="P1100">
        <v>748.8</v>
      </c>
      <c r="T1100">
        <f t="shared" si="57"/>
        <v>3.2687999999999993</v>
      </c>
    </row>
    <row r="1101" spans="1:20" x14ac:dyDescent="0.3">
      <c r="A1101" s="1">
        <v>45627</v>
      </c>
      <c r="B1101" s="1" t="str">
        <f t="shared" si="55"/>
        <v>Reliance_Kolkata CFA_Product_12_45627</v>
      </c>
      <c r="C1101" s="2" t="s">
        <v>101</v>
      </c>
      <c r="D1101" s="2" t="s">
        <v>102</v>
      </c>
      <c r="E1101" s="2" t="s">
        <v>34</v>
      </c>
      <c r="F1101" s="2" t="s">
        <v>51</v>
      </c>
      <c r="G1101" s="2" t="s">
        <v>63</v>
      </c>
      <c r="H1101" s="2" t="s">
        <v>67</v>
      </c>
      <c r="I1101" s="2" t="s">
        <v>92</v>
      </c>
      <c r="J1101" t="s">
        <v>166</v>
      </c>
      <c r="L1101" s="3">
        <v>1.86</v>
      </c>
      <c r="M1101" s="3">
        <v>1.6926000000000001</v>
      </c>
      <c r="N1101" s="3">
        <f t="shared" ca="1" si="54"/>
        <v>2.0088000000000004</v>
      </c>
      <c r="O1101" s="3">
        <f t="shared" si="56"/>
        <v>1.86</v>
      </c>
      <c r="P1101">
        <v>748.8</v>
      </c>
      <c r="T1101">
        <f t="shared" si="57"/>
        <v>0</v>
      </c>
    </row>
    <row r="1102" spans="1:20" x14ac:dyDescent="0.3">
      <c r="A1102" s="1">
        <v>45627</v>
      </c>
      <c r="B1102" s="1" t="str">
        <f t="shared" si="55"/>
        <v>Grofers_Ahmedabad_Product_9_45627</v>
      </c>
      <c r="C1102" s="2" t="s">
        <v>112</v>
      </c>
      <c r="D1102" s="2" t="s">
        <v>113</v>
      </c>
      <c r="E1102" s="2" t="s">
        <v>34</v>
      </c>
      <c r="F1102" s="2" t="s">
        <v>114</v>
      </c>
      <c r="G1102" s="2" t="s">
        <v>52</v>
      </c>
      <c r="H1102" s="2" t="s">
        <v>37</v>
      </c>
      <c r="I1102" s="2" t="s">
        <v>71</v>
      </c>
      <c r="J1102" t="s">
        <v>166</v>
      </c>
      <c r="L1102" s="3">
        <v>5.28</v>
      </c>
      <c r="M1102" s="3">
        <v>5.0687999999999995</v>
      </c>
      <c r="N1102" s="3">
        <f t="shared" ca="1" si="54"/>
        <v>5.8608000000000002</v>
      </c>
      <c r="O1102" s="3">
        <f t="shared" si="56"/>
        <v>5.28</v>
      </c>
      <c r="P1102">
        <v>84</v>
      </c>
      <c r="T1102">
        <f t="shared" si="57"/>
        <v>-6.6479999999999997</v>
      </c>
    </row>
    <row r="1103" spans="1:20" x14ac:dyDescent="0.3">
      <c r="A1103" s="1">
        <v>45627</v>
      </c>
      <c r="B1103" s="1" t="str">
        <f t="shared" si="55"/>
        <v>Reliance_Bangalore_Product_8_45627</v>
      </c>
      <c r="C1103" s="2" t="s">
        <v>77</v>
      </c>
      <c r="D1103" s="2" t="s">
        <v>78</v>
      </c>
      <c r="E1103" s="2" t="s">
        <v>34</v>
      </c>
      <c r="F1103" s="2" t="s">
        <v>51</v>
      </c>
      <c r="G1103" s="2" t="s">
        <v>79</v>
      </c>
      <c r="H1103" s="2" t="s">
        <v>67</v>
      </c>
      <c r="I1103" s="2" t="s">
        <v>68</v>
      </c>
      <c r="J1103" t="s">
        <v>166</v>
      </c>
      <c r="L1103" s="3">
        <v>14.42</v>
      </c>
      <c r="M1103" s="3">
        <v>12.401199999999999</v>
      </c>
      <c r="N1103" s="3">
        <f t="shared" ca="1" si="54"/>
        <v>16.0062</v>
      </c>
      <c r="O1103" s="3">
        <f t="shared" si="56"/>
        <v>14.42</v>
      </c>
      <c r="P1103">
        <v>48</v>
      </c>
      <c r="T1103">
        <f t="shared" si="57"/>
        <v>-0.36</v>
      </c>
    </row>
    <row r="1104" spans="1:20" x14ac:dyDescent="0.3">
      <c r="A1104" s="1">
        <v>45627</v>
      </c>
      <c r="B1104" s="1" t="str">
        <f t="shared" si="55"/>
        <v>Grofers_Mundka_Product_21_45627</v>
      </c>
      <c r="C1104" s="2" t="s">
        <v>131</v>
      </c>
      <c r="D1104" s="2" t="s">
        <v>132</v>
      </c>
      <c r="E1104" s="2" t="s">
        <v>34</v>
      </c>
      <c r="F1104" s="2" t="s">
        <v>114</v>
      </c>
      <c r="G1104" s="2" t="s">
        <v>36</v>
      </c>
      <c r="H1104" s="2" t="s">
        <v>133</v>
      </c>
      <c r="I1104" s="2" t="s">
        <v>134</v>
      </c>
      <c r="J1104" t="s">
        <v>166</v>
      </c>
      <c r="L1104" s="3">
        <v>13.6</v>
      </c>
      <c r="M1104" s="3">
        <v>12.512</v>
      </c>
      <c r="N1104" s="3">
        <f t="shared" ca="1" si="54"/>
        <v>15.503999999999998</v>
      </c>
      <c r="O1104" s="3">
        <f t="shared" si="56"/>
        <v>13.6</v>
      </c>
      <c r="P1104">
        <v>383.52</v>
      </c>
      <c r="T1104">
        <f t="shared" si="57"/>
        <v>3.3552</v>
      </c>
    </row>
    <row r="1105" spans="1:20" x14ac:dyDescent="0.3">
      <c r="A1105" s="1">
        <v>45627</v>
      </c>
      <c r="B1105" s="1" t="str">
        <f t="shared" si="55"/>
        <v>Grofers_Hyderabad_Product_21_45627</v>
      </c>
      <c r="C1105" s="2" t="s">
        <v>135</v>
      </c>
      <c r="D1105" s="2" t="s">
        <v>136</v>
      </c>
      <c r="E1105" s="2" t="s">
        <v>34</v>
      </c>
      <c r="F1105" s="2" t="s">
        <v>114</v>
      </c>
      <c r="G1105" s="2" t="s">
        <v>137</v>
      </c>
      <c r="H1105" s="2" t="s">
        <v>133</v>
      </c>
      <c r="I1105" s="2" t="s">
        <v>134</v>
      </c>
      <c r="J1105" t="s">
        <v>166</v>
      </c>
      <c r="L1105" s="3">
        <v>2.91</v>
      </c>
      <c r="M1105" s="3">
        <v>2.7063000000000001</v>
      </c>
      <c r="N1105" s="3">
        <f t="shared" ca="1" si="54"/>
        <v>3.3174000000000001</v>
      </c>
      <c r="O1105" s="3">
        <f t="shared" si="56"/>
        <v>2.91</v>
      </c>
      <c r="P1105">
        <v>383.52</v>
      </c>
      <c r="T1105">
        <f t="shared" si="57"/>
        <v>0</v>
      </c>
    </row>
    <row r="1106" spans="1:20" x14ac:dyDescent="0.3">
      <c r="A1106" s="1">
        <v>45627</v>
      </c>
      <c r="B1106" s="1" t="str">
        <f t="shared" si="55"/>
        <v>Reliance_Bhiwandi_Product_10_45627</v>
      </c>
      <c r="C1106" s="2" t="s">
        <v>85</v>
      </c>
      <c r="D1106" s="2" t="s">
        <v>86</v>
      </c>
      <c r="E1106" s="2" t="s">
        <v>34</v>
      </c>
      <c r="F1106" s="2" t="s">
        <v>51</v>
      </c>
      <c r="G1106" s="2" t="s">
        <v>66</v>
      </c>
      <c r="H1106" s="2" t="s">
        <v>67</v>
      </c>
      <c r="I1106" s="2" t="s">
        <v>76</v>
      </c>
      <c r="J1106" t="s">
        <v>166</v>
      </c>
      <c r="L1106" s="3">
        <v>9.0300000000000011</v>
      </c>
      <c r="M1106" s="3">
        <v>8.3978999999999999</v>
      </c>
      <c r="N1106" s="3">
        <f t="shared" ca="1" si="54"/>
        <v>9.6621000000000024</v>
      </c>
      <c r="O1106" s="3">
        <f t="shared" si="56"/>
        <v>9.0300000000000011</v>
      </c>
      <c r="P1106">
        <v>672</v>
      </c>
      <c r="T1106">
        <f t="shared" si="57"/>
        <v>2.8848000000000003</v>
      </c>
    </row>
    <row r="1107" spans="1:20" x14ac:dyDescent="0.3">
      <c r="A1107" s="1">
        <v>45627</v>
      </c>
      <c r="B1107" s="1" t="str">
        <f t="shared" si="55"/>
        <v>Reliance_Ahmedabad_Product_7_45627</v>
      </c>
      <c r="C1107" s="2" t="s">
        <v>99</v>
      </c>
      <c r="D1107" s="2" t="s">
        <v>100</v>
      </c>
      <c r="E1107" s="2" t="s">
        <v>34</v>
      </c>
      <c r="F1107" s="2" t="s">
        <v>51</v>
      </c>
      <c r="G1107" s="2" t="s">
        <v>52</v>
      </c>
      <c r="H1107" s="2" t="s">
        <v>37</v>
      </c>
      <c r="I1107" s="2" t="s">
        <v>60</v>
      </c>
      <c r="J1107" t="s">
        <v>166</v>
      </c>
      <c r="L1107" s="3">
        <v>1.68</v>
      </c>
      <c r="M1107" s="3">
        <v>1.6128</v>
      </c>
      <c r="N1107" s="3">
        <f t="shared" ca="1" si="54"/>
        <v>1.9151999999999998</v>
      </c>
      <c r="O1107" s="3">
        <f t="shared" si="56"/>
        <v>1.68</v>
      </c>
      <c r="P1107">
        <v>672</v>
      </c>
      <c r="T1107">
        <f t="shared" si="57"/>
        <v>0</v>
      </c>
    </row>
    <row r="1108" spans="1:20" x14ac:dyDescent="0.3">
      <c r="A1108" s="1">
        <v>45627</v>
      </c>
      <c r="B1108" s="1" t="str">
        <f t="shared" si="55"/>
        <v>Zepto_Mundka_Product_4_45627</v>
      </c>
      <c r="C1108" s="2" t="s">
        <v>44</v>
      </c>
      <c r="D1108" s="2" t="s">
        <v>45</v>
      </c>
      <c r="E1108" s="2" t="s">
        <v>34</v>
      </c>
      <c r="F1108" s="2" t="s">
        <v>46</v>
      </c>
      <c r="G1108" s="2" t="s">
        <v>36</v>
      </c>
      <c r="H1108" s="2" t="s">
        <v>47</v>
      </c>
      <c r="I1108" s="2" t="s">
        <v>48</v>
      </c>
      <c r="J1108" t="s">
        <v>166</v>
      </c>
      <c r="L1108" s="3">
        <v>44.800000000000004</v>
      </c>
      <c r="M1108" s="3">
        <v>43.904000000000003</v>
      </c>
      <c r="N1108" s="3">
        <f t="shared" ca="1" si="54"/>
        <v>52.864000000000004</v>
      </c>
      <c r="O1108" s="3">
        <f t="shared" si="56"/>
        <v>44.800000000000004</v>
      </c>
      <c r="P1108">
        <v>421.92</v>
      </c>
      <c r="T1108">
        <f t="shared" si="57"/>
        <v>-2.5007999999999999</v>
      </c>
    </row>
    <row r="1109" spans="1:20" x14ac:dyDescent="0.3">
      <c r="A1109" s="1">
        <v>45627</v>
      </c>
      <c r="B1109" s="1" t="str">
        <f t="shared" si="55"/>
        <v>Reliance_Chennai_Product_11_45627</v>
      </c>
      <c r="C1109" s="2" t="s">
        <v>110</v>
      </c>
      <c r="D1109" s="2" t="s">
        <v>111</v>
      </c>
      <c r="E1109" s="2" t="s">
        <v>34</v>
      </c>
      <c r="F1109" s="2" t="s">
        <v>51</v>
      </c>
      <c r="G1109" s="2" t="s">
        <v>84</v>
      </c>
      <c r="H1109" s="2" t="s">
        <v>67</v>
      </c>
      <c r="I1109" s="2" t="s">
        <v>89</v>
      </c>
      <c r="J1109" t="s">
        <v>166</v>
      </c>
      <c r="L1109" s="3">
        <v>6.8599999999999994</v>
      </c>
      <c r="M1109" s="3">
        <v>5.6937999999999995</v>
      </c>
      <c r="N1109" s="3">
        <f t="shared" ca="1" si="54"/>
        <v>8.0261999999999993</v>
      </c>
      <c r="O1109" s="3">
        <f t="shared" si="56"/>
        <v>6.8599999999999994</v>
      </c>
      <c r="P1109">
        <v>421.92</v>
      </c>
      <c r="T1109">
        <f t="shared" si="57"/>
        <v>0</v>
      </c>
    </row>
    <row r="1110" spans="1:20" x14ac:dyDescent="0.3">
      <c r="A1110" s="1">
        <v>45627</v>
      </c>
      <c r="B1110" s="1" t="str">
        <f t="shared" si="55"/>
        <v>Reliance_Bhiwandi_Product_8_45627</v>
      </c>
      <c r="C1110" s="2" t="s">
        <v>64</v>
      </c>
      <c r="D1110" s="2" t="s">
        <v>65</v>
      </c>
      <c r="E1110" s="2" t="s">
        <v>34</v>
      </c>
      <c r="F1110" s="2" t="s">
        <v>51</v>
      </c>
      <c r="G1110" s="2" t="s">
        <v>66</v>
      </c>
      <c r="H1110" s="2" t="s">
        <v>67</v>
      </c>
      <c r="I1110" s="2" t="s">
        <v>68</v>
      </c>
      <c r="J1110" t="s">
        <v>166</v>
      </c>
      <c r="L1110" s="3">
        <v>10.79</v>
      </c>
      <c r="M1110" s="3">
        <v>9.4952000000000005</v>
      </c>
      <c r="N1110" s="3">
        <f t="shared" ca="1" si="54"/>
        <v>11.4374</v>
      </c>
      <c r="O1110" s="3">
        <f t="shared" si="56"/>
        <v>10.79</v>
      </c>
      <c r="P1110">
        <v>748.8</v>
      </c>
      <c r="T1110">
        <f t="shared" si="57"/>
        <v>3.2687999999999993</v>
      </c>
    </row>
    <row r="1111" spans="1:20" x14ac:dyDescent="0.3">
      <c r="A1111" s="1">
        <v>45627</v>
      </c>
      <c r="B1111" s="1" t="str">
        <f t="shared" si="55"/>
        <v>Swiggy_Bangalore_Product_16_45627</v>
      </c>
      <c r="C1111" s="2" t="s">
        <v>107</v>
      </c>
      <c r="D1111" s="2" t="s">
        <v>108</v>
      </c>
      <c r="E1111" s="2" t="s">
        <v>34</v>
      </c>
      <c r="F1111" s="2" t="s">
        <v>35</v>
      </c>
      <c r="G1111" s="2" t="s">
        <v>79</v>
      </c>
      <c r="H1111" s="2" t="s">
        <v>47</v>
      </c>
      <c r="I1111" s="2" t="s">
        <v>109</v>
      </c>
      <c r="J1111" t="s">
        <v>166</v>
      </c>
      <c r="L1111" s="3">
        <v>2.82</v>
      </c>
      <c r="M1111" s="3">
        <v>2.7353999999999998</v>
      </c>
      <c r="N1111" s="3">
        <f t="shared" ca="1" si="54"/>
        <v>3.1019999999999999</v>
      </c>
      <c r="O1111" s="3">
        <f t="shared" si="56"/>
        <v>2.82</v>
      </c>
      <c r="P1111">
        <v>748.8</v>
      </c>
      <c r="T1111">
        <f t="shared" si="57"/>
        <v>0</v>
      </c>
    </row>
    <row r="1112" spans="1:20" x14ac:dyDescent="0.3">
      <c r="A1112" s="1">
        <v>45627</v>
      </c>
      <c r="B1112" s="1" t="str">
        <f t="shared" si="55"/>
        <v>Reliance_Bangalore_Product_13_45627</v>
      </c>
      <c r="C1112" s="2" t="s">
        <v>93</v>
      </c>
      <c r="D1112" s="2" t="s">
        <v>94</v>
      </c>
      <c r="E1112" s="2" t="s">
        <v>34</v>
      </c>
      <c r="F1112" s="2" t="s">
        <v>51</v>
      </c>
      <c r="G1112" s="2" t="s">
        <v>79</v>
      </c>
      <c r="H1112" s="2" t="s">
        <v>67</v>
      </c>
      <c r="I1112" s="2" t="s">
        <v>95</v>
      </c>
      <c r="J1112" t="s">
        <v>166</v>
      </c>
      <c r="L1112" s="3">
        <v>24.779999999999998</v>
      </c>
      <c r="M1112" s="3">
        <v>19.823999999999998</v>
      </c>
      <c r="N1112" s="3">
        <f t="shared" ca="1" si="54"/>
        <v>26.7624</v>
      </c>
      <c r="O1112" s="3">
        <f t="shared" si="56"/>
        <v>24.779999999999998</v>
      </c>
      <c r="P1112">
        <v>84</v>
      </c>
      <c r="T1112">
        <f t="shared" si="57"/>
        <v>-6.6479999999999997</v>
      </c>
    </row>
    <row r="1113" spans="1:20" x14ac:dyDescent="0.3">
      <c r="A1113" s="1">
        <v>45627</v>
      </c>
      <c r="B1113" s="1" t="str">
        <f t="shared" si="55"/>
        <v>Swiggy_Hyderabad_Product_25_45627</v>
      </c>
      <c r="C1113" s="2" t="s">
        <v>173</v>
      </c>
      <c r="D1113" s="2" t="s">
        <v>174</v>
      </c>
      <c r="E1113" s="2" t="s">
        <v>34</v>
      </c>
      <c r="F1113" s="2" t="s">
        <v>35</v>
      </c>
      <c r="G1113" s="2" t="s">
        <v>137</v>
      </c>
      <c r="H1113" s="2" t="s">
        <v>47</v>
      </c>
      <c r="I1113" s="2" t="s">
        <v>169</v>
      </c>
      <c r="J1113" t="s">
        <v>166</v>
      </c>
      <c r="L1113" s="3">
        <v>36.800000000000004</v>
      </c>
      <c r="M1113" s="3">
        <v>36.064000000000007</v>
      </c>
      <c r="N1113" s="3">
        <f t="shared" ca="1" si="54"/>
        <v>39.376000000000005</v>
      </c>
      <c r="O1113" s="3">
        <f t="shared" si="56"/>
        <v>36.800000000000004</v>
      </c>
      <c r="P1113">
        <v>48</v>
      </c>
      <c r="T1113">
        <f t="shared" si="57"/>
        <v>-0.36</v>
      </c>
    </row>
    <row r="1114" spans="1:20" x14ac:dyDescent="0.3">
      <c r="A1114" s="1">
        <v>45627</v>
      </c>
      <c r="B1114" s="1" t="str">
        <f t="shared" si="55"/>
        <v>Swiggy_Mundka_Product_26_45627</v>
      </c>
      <c r="C1114" s="2" t="s">
        <v>170</v>
      </c>
      <c r="D1114" s="2" t="s">
        <v>171</v>
      </c>
      <c r="E1114" s="2" t="s">
        <v>34</v>
      </c>
      <c r="F1114" s="2" t="s">
        <v>35</v>
      </c>
      <c r="G1114" s="2" t="s">
        <v>36</v>
      </c>
      <c r="H1114" s="2" t="s">
        <v>47</v>
      </c>
      <c r="I1114" s="2" t="s">
        <v>172</v>
      </c>
      <c r="J1114" t="s">
        <v>166</v>
      </c>
      <c r="L1114" s="3">
        <v>4.28</v>
      </c>
      <c r="M1114" s="3">
        <v>3.7664000000000004</v>
      </c>
      <c r="N1114" s="3">
        <f t="shared" ca="1" si="54"/>
        <v>4.9648000000000003</v>
      </c>
      <c r="O1114" s="3">
        <f t="shared" si="56"/>
        <v>4.28</v>
      </c>
      <c r="P1114">
        <v>383.52</v>
      </c>
      <c r="T1114">
        <f t="shared" si="57"/>
        <v>3.3552</v>
      </c>
    </row>
    <row r="1115" spans="1:20" x14ac:dyDescent="0.3">
      <c r="A1115" s="1">
        <v>45627</v>
      </c>
      <c r="B1115" s="1" t="str">
        <f t="shared" si="55"/>
        <v>Grofers_Ahmedabad_Product_8_45627</v>
      </c>
      <c r="C1115" s="2" t="s">
        <v>157</v>
      </c>
      <c r="D1115" s="2" t="s">
        <v>158</v>
      </c>
      <c r="E1115" s="2" t="s">
        <v>34</v>
      </c>
      <c r="F1115" s="2" t="s">
        <v>114</v>
      </c>
      <c r="G1115" s="2" t="s">
        <v>52</v>
      </c>
      <c r="H1115" s="2" t="s">
        <v>67</v>
      </c>
      <c r="I1115" s="2" t="s">
        <v>68</v>
      </c>
      <c r="J1115" t="s">
        <v>166</v>
      </c>
      <c r="L1115" s="3">
        <v>1.26</v>
      </c>
      <c r="M1115" s="3">
        <v>1.1718000000000002</v>
      </c>
      <c r="N1115" s="3">
        <f t="shared" ca="1" si="54"/>
        <v>1.4616</v>
      </c>
      <c r="O1115" s="3">
        <f t="shared" si="56"/>
        <v>1.26</v>
      </c>
      <c r="P1115">
        <v>383.52</v>
      </c>
      <c r="T1115">
        <f t="shared" si="57"/>
        <v>0</v>
      </c>
    </row>
    <row r="1116" spans="1:20" x14ac:dyDescent="0.3">
      <c r="A1116" s="1">
        <v>45627</v>
      </c>
      <c r="B1116" s="1" t="str">
        <f t="shared" si="55"/>
        <v>Swiggy_Chennai_Product_3_45627</v>
      </c>
      <c r="C1116" s="2" t="s">
        <v>82</v>
      </c>
      <c r="D1116" s="2" t="s">
        <v>83</v>
      </c>
      <c r="E1116" s="2" t="s">
        <v>34</v>
      </c>
      <c r="F1116" s="2" t="s">
        <v>35</v>
      </c>
      <c r="G1116" s="2" t="s">
        <v>84</v>
      </c>
      <c r="H1116" s="2" t="s">
        <v>37</v>
      </c>
      <c r="I1116" s="2" t="s">
        <v>43</v>
      </c>
      <c r="J1116" t="s">
        <v>166</v>
      </c>
      <c r="L1116" s="3">
        <v>2.73</v>
      </c>
      <c r="M1116" s="3">
        <v>2.5116000000000001</v>
      </c>
      <c r="N1116" s="3">
        <f t="shared" ca="1" si="54"/>
        <v>3.1395</v>
      </c>
      <c r="O1116" s="3">
        <f t="shared" si="56"/>
        <v>2.73</v>
      </c>
      <c r="P1116">
        <v>672</v>
      </c>
      <c r="T1116">
        <f t="shared" si="57"/>
        <v>2.8848000000000003</v>
      </c>
    </row>
    <row r="1117" spans="1:20" x14ac:dyDescent="0.3">
      <c r="A1117" s="1">
        <v>45627</v>
      </c>
      <c r="B1117" s="1" t="str">
        <f t="shared" si="55"/>
        <v>Reliance_Bhiwandi_Product_11_45627</v>
      </c>
      <c r="C1117" s="2" t="s">
        <v>87</v>
      </c>
      <c r="D1117" s="2" t="s">
        <v>88</v>
      </c>
      <c r="E1117" s="2" t="s">
        <v>34</v>
      </c>
      <c r="F1117" s="2" t="s">
        <v>51</v>
      </c>
      <c r="G1117" s="2" t="s">
        <v>66</v>
      </c>
      <c r="H1117" s="2" t="s">
        <v>67</v>
      </c>
      <c r="I1117" s="2" t="s">
        <v>89</v>
      </c>
      <c r="J1117" t="s">
        <v>166</v>
      </c>
      <c r="L1117" s="3">
        <v>0.99</v>
      </c>
      <c r="M1117" s="3">
        <v>0.98010000000000008</v>
      </c>
      <c r="N1117" s="3">
        <f t="shared" ca="1" si="54"/>
        <v>1.1484000000000001</v>
      </c>
      <c r="O1117" s="3">
        <f t="shared" si="56"/>
        <v>0.99</v>
      </c>
      <c r="P1117">
        <v>672</v>
      </c>
      <c r="T1117">
        <f t="shared" si="57"/>
        <v>0</v>
      </c>
    </row>
    <row r="1118" spans="1:20" x14ac:dyDescent="0.3">
      <c r="A1118" s="1">
        <v>45627</v>
      </c>
      <c r="B1118" s="1" t="str">
        <f t="shared" si="55"/>
        <v>Reliance_Bangalore_Product_3_45627</v>
      </c>
      <c r="C1118" s="2" t="s">
        <v>80</v>
      </c>
      <c r="D1118" s="2" t="s">
        <v>81</v>
      </c>
      <c r="E1118" s="2" t="s">
        <v>34</v>
      </c>
      <c r="F1118" s="2" t="s">
        <v>51</v>
      </c>
      <c r="G1118" s="2" t="s">
        <v>79</v>
      </c>
      <c r="H1118" s="2" t="s">
        <v>37</v>
      </c>
      <c r="I1118" s="2" t="s">
        <v>43</v>
      </c>
      <c r="J1118" t="s">
        <v>166</v>
      </c>
      <c r="L1118" s="3">
        <v>7.04</v>
      </c>
      <c r="M1118" s="3">
        <v>6.5472000000000001</v>
      </c>
      <c r="N1118" s="3">
        <f t="shared" ca="1" si="54"/>
        <v>7.8144000000000009</v>
      </c>
      <c r="O1118" s="3">
        <f t="shared" si="56"/>
        <v>7.04</v>
      </c>
      <c r="P1118">
        <v>421.92</v>
      </c>
      <c r="T1118">
        <f t="shared" si="57"/>
        <v>-2.5007999999999999</v>
      </c>
    </row>
    <row r="1119" spans="1:20" x14ac:dyDescent="0.3">
      <c r="A1119" s="1">
        <v>45627</v>
      </c>
      <c r="B1119" s="1" t="str">
        <f t="shared" si="55"/>
        <v>Jharkhand_JH-Aggregated_Product_19_45627</v>
      </c>
      <c r="C1119" s="2" t="s">
        <v>124</v>
      </c>
      <c r="D1119" s="2" t="s">
        <v>125</v>
      </c>
      <c r="E1119" s="2" t="s">
        <v>26</v>
      </c>
      <c r="F1119" s="2" t="s">
        <v>27</v>
      </c>
      <c r="G1119" s="2" t="s">
        <v>28</v>
      </c>
      <c r="H1119" s="2" t="s">
        <v>126</v>
      </c>
      <c r="I1119" s="2" t="s">
        <v>127</v>
      </c>
      <c r="J1119" t="s">
        <v>166</v>
      </c>
      <c r="L1119" s="3">
        <v>3.18</v>
      </c>
      <c r="M1119" s="3">
        <v>2.544</v>
      </c>
      <c r="N1119" s="3">
        <f t="shared" ca="1" si="54"/>
        <v>3.7524000000000002</v>
      </c>
      <c r="O1119" s="3">
        <f t="shared" si="56"/>
        <v>3.18</v>
      </c>
      <c r="P1119">
        <v>421.92</v>
      </c>
      <c r="T1119">
        <f t="shared" si="57"/>
        <v>0</v>
      </c>
    </row>
    <row r="1120" spans="1:20" x14ac:dyDescent="0.3">
      <c r="A1120" s="1">
        <v>45627</v>
      </c>
      <c r="B1120" s="1" t="str">
        <f t="shared" si="55"/>
        <v>Zepto_Mundka_Product_3_45627</v>
      </c>
      <c r="C1120" s="2" t="s">
        <v>72</v>
      </c>
      <c r="D1120" s="2" t="s">
        <v>73</v>
      </c>
      <c r="E1120" s="2" t="s">
        <v>34</v>
      </c>
      <c r="F1120" s="2" t="s">
        <v>46</v>
      </c>
      <c r="G1120" s="2" t="s">
        <v>36</v>
      </c>
      <c r="H1120" s="2" t="s">
        <v>37</v>
      </c>
      <c r="I1120" s="2" t="s">
        <v>43</v>
      </c>
      <c r="J1120" t="s">
        <v>166</v>
      </c>
      <c r="L1120" s="3">
        <v>4.3600000000000003</v>
      </c>
      <c r="M1120" s="3">
        <v>3.8804000000000003</v>
      </c>
      <c r="N1120" s="3">
        <f t="shared" ca="1" si="54"/>
        <v>4.8396000000000008</v>
      </c>
      <c r="O1120" s="3">
        <f t="shared" si="56"/>
        <v>4.3600000000000003</v>
      </c>
      <c r="P1120">
        <v>748.8</v>
      </c>
      <c r="T1120">
        <f t="shared" si="57"/>
        <v>3.2687999999999993</v>
      </c>
    </row>
    <row r="1121" spans="1:20" x14ac:dyDescent="0.3">
      <c r="A1121" s="1">
        <v>45627</v>
      </c>
      <c r="B1121" s="1" t="str">
        <f t="shared" si="55"/>
        <v>Swiggy_Kolkata CFA_Product_20_45627</v>
      </c>
      <c r="C1121" s="2" t="s">
        <v>128</v>
      </c>
      <c r="D1121" s="2" t="s">
        <v>129</v>
      </c>
      <c r="E1121" s="2" t="s">
        <v>34</v>
      </c>
      <c r="F1121" s="2" t="s">
        <v>35</v>
      </c>
      <c r="G1121" s="2" t="s">
        <v>63</v>
      </c>
      <c r="H1121" s="2" t="s">
        <v>47</v>
      </c>
      <c r="I1121" s="2" t="s">
        <v>130</v>
      </c>
      <c r="J1121" t="s">
        <v>166</v>
      </c>
      <c r="L1121" s="3">
        <v>2.42</v>
      </c>
      <c r="M1121" s="3">
        <v>2.2989999999999999</v>
      </c>
      <c r="N1121" s="3">
        <f t="shared" ca="1" si="54"/>
        <v>2.8313999999999999</v>
      </c>
      <c r="O1121" s="3">
        <f t="shared" si="56"/>
        <v>2.42</v>
      </c>
      <c r="P1121">
        <v>748.8</v>
      </c>
      <c r="T1121">
        <f t="shared" si="57"/>
        <v>0</v>
      </c>
    </row>
    <row r="1122" spans="1:20" x14ac:dyDescent="0.3">
      <c r="A1122" s="1">
        <v>45627</v>
      </c>
      <c r="B1122" s="1" t="str">
        <f t="shared" si="55"/>
        <v>Reliance_Mundka_Product_6_45627</v>
      </c>
      <c r="C1122" s="2" t="s">
        <v>55</v>
      </c>
      <c r="D1122" s="2" t="s">
        <v>56</v>
      </c>
      <c r="E1122" s="2" t="s">
        <v>34</v>
      </c>
      <c r="F1122" s="2" t="s">
        <v>51</v>
      </c>
      <c r="G1122" s="2" t="s">
        <v>36</v>
      </c>
      <c r="H1122" s="2" t="s">
        <v>37</v>
      </c>
      <c r="I1122" s="2" t="s">
        <v>57</v>
      </c>
      <c r="J1122" t="s">
        <v>166</v>
      </c>
      <c r="L1122" s="3">
        <v>4.75</v>
      </c>
      <c r="M1122" s="3">
        <v>3.99</v>
      </c>
      <c r="N1122" s="3">
        <f t="shared" ca="1" si="54"/>
        <v>5.0824999999999996</v>
      </c>
      <c r="O1122" s="3">
        <f t="shared" si="56"/>
        <v>4.75</v>
      </c>
      <c r="P1122">
        <v>84</v>
      </c>
      <c r="T1122">
        <f t="shared" si="57"/>
        <v>-6.6479999999999997</v>
      </c>
    </row>
    <row r="1123" spans="1:20" x14ac:dyDescent="0.3">
      <c r="A1123" s="1">
        <v>45627</v>
      </c>
      <c r="B1123" s="1" t="str">
        <f t="shared" si="55"/>
        <v>Grofers_Kolkata CFA_Product_20_45627</v>
      </c>
      <c r="C1123" s="2" t="s">
        <v>153</v>
      </c>
      <c r="D1123" s="2" t="s">
        <v>154</v>
      </c>
      <c r="E1123" s="2" t="s">
        <v>34</v>
      </c>
      <c r="F1123" s="2" t="s">
        <v>114</v>
      </c>
      <c r="G1123" s="2" t="s">
        <v>63</v>
      </c>
      <c r="H1123" s="2" t="s">
        <v>47</v>
      </c>
      <c r="I1123" s="2" t="s">
        <v>130</v>
      </c>
      <c r="J1123" t="s">
        <v>166</v>
      </c>
      <c r="L1123" s="3">
        <v>12.4</v>
      </c>
      <c r="M1123" s="3">
        <v>12.4</v>
      </c>
      <c r="N1123" s="3">
        <f t="shared" ca="1" si="54"/>
        <v>13.144</v>
      </c>
      <c r="O1123" s="3">
        <f t="shared" si="56"/>
        <v>12.4</v>
      </c>
      <c r="P1123">
        <v>48</v>
      </c>
      <c r="T1123">
        <f t="shared" si="57"/>
        <v>-0.36</v>
      </c>
    </row>
    <row r="1124" spans="1:20" x14ac:dyDescent="0.3">
      <c r="A1124" s="1">
        <v>45627</v>
      </c>
      <c r="B1124" s="1" t="str">
        <f t="shared" si="55"/>
        <v>Reliance_Bangalore_Product_14_45627</v>
      </c>
      <c r="C1124" s="2" t="s">
        <v>155</v>
      </c>
      <c r="D1124" s="2" t="s">
        <v>156</v>
      </c>
      <c r="E1124" s="2" t="s">
        <v>34</v>
      </c>
      <c r="F1124" s="2" t="s">
        <v>51</v>
      </c>
      <c r="G1124" s="2" t="s">
        <v>79</v>
      </c>
      <c r="H1124" s="2" t="s">
        <v>47</v>
      </c>
      <c r="I1124" s="2" t="s">
        <v>98</v>
      </c>
      <c r="J1124" t="s">
        <v>166</v>
      </c>
      <c r="L1124" s="3">
        <v>14.72</v>
      </c>
      <c r="M1124" s="3">
        <v>14.572799999999999</v>
      </c>
      <c r="N1124" s="3">
        <f t="shared" ca="1" si="54"/>
        <v>15.897600000000001</v>
      </c>
      <c r="O1124" s="3">
        <f t="shared" si="56"/>
        <v>14.72</v>
      </c>
      <c r="P1124">
        <v>383.52</v>
      </c>
      <c r="T1124">
        <f t="shared" si="57"/>
        <v>3.3552</v>
      </c>
    </row>
    <row r="1125" spans="1:20" x14ac:dyDescent="0.3">
      <c r="A1125" s="1">
        <v>45627</v>
      </c>
      <c r="B1125" s="1" t="str">
        <f t="shared" si="55"/>
        <v>Swiggy_Mundka_Product_2_45627</v>
      </c>
      <c r="C1125" s="2" t="s">
        <v>32</v>
      </c>
      <c r="D1125" s="2" t="s">
        <v>33</v>
      </c>
      <c r="E1125" s="2" t="s">
        <v>34</v>
      </c>
      <c r="F1125" s="2" t="s">
        <v>35</v>
      </c>
      <c r="G1125" s="2" t="s">
        <v>36</v>
      </c>
      <c r="H1125" s="2" t="s">
        <v>37</v>
      </c>
      <c r="I1125" s="2" t="s">
        <v>38</v>
      </c>
      <c r="J1125" t="s">
        <v>166</v>
      </c>
      <c r="L1125" s="3">
        <v>3.24</v>
      </c>
      <c r="M1125" s="3">
        <v>2.7216000000000005</v>
      </c>
      <c r="N1125" s="3">
        <f t="shared" ca="1" si="54"/>
        <v>3.7908000000000004</v>
      </c>
      <c r="O1125" s="3">
        <f t="shared" si="56"/>
        <v>3.24</v>
      </c>
      <c r="P1125">
        <v>383.52</v>
      </c>
      <c r="T1125">
        <f t="shared" si="57"/>
        <v>0</v>
      </c>
    </row>
    <row r="1126" spans="1:20" x14ac:dyDescent="0.3">
      <c r="A1126" s="1">
        <v>45627</v>
      </c>
      <c r="B1126" s="1" t="str">
        <f t="shared" si="55"/>
        <v>Maharashtra_MH-Aggregated_Product_3_45627</v>
      </c>
      <c r="C1126" s="2" t="s">
        <v>39</v>
      </c>
      <c r="D1126" s="2" t="s">
        <v>40</v>
      </c>
      <c r="E1126" s="2" t="s">
        <v>26</v>
      </c>
      <c r="F1126" s="2" t="s">
        <v>41</v>
      </c>
      <c r="G1126" s="2" t="s">
        <v>42</v>
      </c>
      <c r="H1126" s="2" t="s">
        <v>37</v>
      </c>
      <c r="I1126" s="2" t="s">
        <v>43</v>
      </c>
      <c r="J1126" t="s">
        <v>166</v>
      </c>
      <c r="L1126" s="3">
        <v>7.21</v>
      </c>
      <c r="M1126" s="3">
        <v>5.8400999999999996</v>
      </c>
      <c r="N1126" s="3">
        <f t="shared" ref="N1126:N1130" ca="1" si="58">L1126*RANDBETWEEN(105,120)/100</f>
        <v>8.652000000000001</v>
      </c>
      <c r="O1126" s="3">
        <f t="shared" si="56"/>
        <v>7.21</v>
      </c>
      <c r="P1126">
        <v>672</v>
      </c>
      <c r="T1126">
        <f t="shared" si="57"/>
        <v>2.8848000000000003</v>
      </c>
    </row>
    <row r="1127" spans="1:20" x14ac:dyDescent="0.3">
      <c r="A1127" s="1">
        <v>45627</v>
      </c>
      <c r="B1127" s="1" t="str">
        <f t="shared" si="55"/>
        <v>Grofers_Ahmedabad_Product_14_45627</v>
      </c>
      <c r="C1127" s="2" t="s">
        <v>159</v>
      </c>
      <c r="D1127" s="2" t="s">
        <v>160</v>
      </c>
      <c r="E1127" s="2" t="s">
        <v>34</v>
      </c>
      <c r="F1127" s="2" t="s">
        <v>114</v>
      </c>
      <c r="G1127" s="2" t="s">
        <v>52</v>
      </c>
      <c r="H1127" s="2" t="s">
        <v>47</v>
      </c>
      <c r="I1127" s="2" t="s">
        <v>98</v>
      </c>
      <c r="J1127" t="s">
        <v>166</v>
      </c>
      <c r="L1127" s="3">
        <v>2.14</v>
      </c>
      <c r="M1127" s="3">
        <v>1.7334000000000001</v>
      </c>
      <c r="N1127" s="3">
        <f t="shared" ca="1" si="58"/>
        <v>2.3540000000000001</v>
      </c>
      <c r="O1127" s="3">
        <f t="shared" si="56"/>
        <v>2.14</v>
      </c>
      <c r="P1127">
        <v>672</v>
      </c>
      <c r="T1127">
        <f t="shared" si="57"/>
        <v>0</v>
      </c>
    </row>
    <row r="1128" spans="1:20" x14ac:dyDescent="0.3">
      <c r="A1128" s="1">
        <v>45627</v>
      </c>
      <c r="B1128" s="1" t="str">
        <f t="shared" si="55"/>
        <v>Reliance_Chennai_Product_9_45627</v>
      </c>
      <c r="C1128" s="2" t="s">
        <v>147</v>
      </c>
      <c r="D1128" s="2" t="s">
        <v>148</v>
      </c>
      <c r="E1128" s="2" t="s">
        <v>34</v>
      </c>
      <c r="F1128" s="2" t="s">
        <v>51</v>
      </c>
      <c r="G1128" s="2" t="s">
        <v>84</v>
      </c>
      <c r="H1128" s="2" t="s">
        <v>37</v>
      </c>
      <c r="I1128" s="2" t="s">
        <v>71</v>
      </c>
      <c r="J1128" t="s">
        <v>166</v>
      </c>
      <c r="L1128" s="3">
        <v>38.150000000000006</v>
      </c>
      <c r="M1128" s="3">
        <v>31.664500000000004</v>
      </c>
      <c r="N1128" s="3">
        <f t="shared" ca="1" si="58"/>
        <v>41.583500000000001</v>
      </c>
      <c r="O1128" s="3">
        <f t="shared" si="56"/>
        <v>38.150000000000006</v>
      </c>
      <c r="P1128">
        <v>421.92</v>
      </c>
      <c r="T1128">
        <f t="shared" si="57"/>
        <v>-2.5007999999999999</v>
      </c>
    </row>
    <row r="1129" spans="1:20" x14ac:dyDescent="0.3">
      <c r="A1129" s="1">
        <v>45627</v>
      </c>
      <c r="B1129" s="1" t="str">
        <f t="shared" si="55"/>
        <v>Reliance_Ahmedabad_Product_9_45627</v>
      </c>
      <c r="C1129" s="2" t="s">
        <v>151</v>
      </c>
      <c r="D1129" s="2" t="s">
        <v>152</v>
      </c>
      <c r="E1129" s="2" t="s">
        <v>34</v>
      </c>
      <c r="F1129" s="2" t="s">
        <v>51</v>
      </c>
      <c r="G1129" s="2" t="s">
        <v>52</v>
      </c>
      <c r="H1129" s="2" t="s">
        <v>37</v>
      </c>
      <c r="I1129" s="2" t="s">
        <v>71</v>
      </c>
      <c r="J1129" t="s">
        <v>166</v>
      </c>
      <c r="L1129" s="3">
        <v>8.1199999999999992</v>
      </c>
      <c r="M1129" s="3">
        <v>8.1199999999999992</v>
      </c>
      <c r="N1129" s="3">
        <f t="shared" ca="1" si="58"/>
        <v>8.9319999999999986</v>
      </c>
      <c r="O1129" s="3">
        <f t="shared" si="56"/>
        <v>8.1199999999999992</v>
      </c>
      <c r="P1129">
        <v>421.92</v>
      </c>
      <c r="T1129">
        <f t="shared" si="57"/>
        <v>0</v>
      </c>
    </row>
    <row r="1130" spans="1:20" x14ac:dyDescent="0.3">
      <c r="A1130" s="1">
        <v>45627</v>
      </c>
      <c r="B1130" s="1" t="str">
        <f t="shared" si="55"/>
        <v>Reliance_Mundka_Product_7_45627</v>
      </c>
      <c r="C1130" s="2" t="s">
        <v>58</v>
      </c>
      <c r="D1130" s="2" t="s">
        <v>59</v>
      </c>
      <c r="E1130" s="2" t="s">
        <v>34</v>
      </c>
      <c r="F1130" s="2" t="s">
        <v>51</v>
      </c>
      <c r="G1130" s="2" t="s">
        <v>36</v>
      </c>
      <c r="H1130" s="2" t="s">
        <v>37</v>
      </c>
      <c r="I1130" s="2" t="s">
        <v>60</v>
      </c>
      <c r="J1130" t="s">
        <v>166</v>
      </c>
      <c r="K1130" s="3"/>
      <c r="L1130" s="3">
        <v>15.6</v>
      </c>
      <c r="M1130" s="3">
        <v>13.572000000000001</v>
      </c>
      <c r="N1130" s="3">
        <f t="shared" ca="1" si="58"/>
        <v>17.16</v>
      </c>
      <c r="O1130" s="3">
        <f t="shared" si="56"/>
        <v>15.6</v>
      </c>
      <c r="P1130">
        <v>748.8</v>
      </c>
      <c r="T1130">
        <f t="shared" si="57"/>
        <v>3.2687999999999993</v>
      </c>
    </row>
    <row r="1133" spans="1:20" x14ac:dyDescent="0.3">
      <c r="L1133" s="5"/>
    </row>
    <row r="1135" spans="1:20" x14ac:dyDescent="0.3">
      <c r="L1135" s="6"/>
    </row>
  </sheetData>
  <autoFilter ref="A1:AG1130" xr:uid="{195BA3FD-897C-4C00-AD8A-3AFDDDED29B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0E97-0CD5-4D0A-9EF3-AF2A247248CF}">
  <dimension ref="A1:J51"/>
  <sheetViews>
    <sheetView workbookViewId="0">
      <selection activeCell="E1" sqref="E1"/>
    </sheetView>
  </sheetViews>
  <sheetFormatPr defaultRowHeight="14.4" x14ac:dyDescent="0.3"/>
  <cols>
    <col min="2" max="2" width="36.6640625" bestFit="1" customWidth="1"/>
    <col min="10" max="10" width="112.77734375" bestFit="1" customWidth="1"/>
  </cols>
  <sheetData>
    <row r="1" spans="1:10" ht="15" thickBot="1" x14ac:dyDescent="0.35">
      <c r="A1" t="s">
        <v>183</v>
      </c>
      <c r="B1" s="7" t="s">
        <v>1</v>
      </c>
      <c r="C1" s="7" t="s">
        <v>3</v>
      </c>
      <c r="D1" s="8" t="s">
        <v>4</v>
      </c>
      <c r="E1" s="8" t="s">
        <v>5</v>
      </c>
      <c r="F1" s="8" t="s">
        <v>6</v>
      </c>
      <c r="G1" s="8" t="s">
        <v>184</v>
      </c>
      <c r="H1" s="8" t="s">
        <v>185</v>
      </c>
      <c r="I1" s="8" t="s">
        <v>186</v>
      </c>
      <c r="J1" s="8" t="s">
        <v>187</v>
      </c>
    </row>
    <row r="2" spans="1:10" ht="15" thickBot="1" x14ac:dyDescent="0.35">
      <c r="A2" t="s">
        <v>113</v>
      </c>
      <c r="B2" s="9" t="s">
        <v>112</v>
      </c>
      <c r="C2" s="10" t="s">
        <v>188</v>
      </c>
      <c r="D2" s="11" t="s">
        <v>189</v>
      </c>
      <c r="E2" s="11" t="s">
        <v>37</v>
      </c>
      <c r="F2" s="11" t="s">
        <v>190</v>
      </c>
      <c r="G2" s="12" t="s">
        <v>191</v>
      </c>
      <c r="H2" s="12" t="s">
        <v>192</v>
      </c>
      <c r="I2" s="12" t="s">
        <v>193</v>
      </c>
      <c r="J2" s="12" t="s">
        <v>194</v>
      </c>
    </row>
    <row r="3" spans="1:10" ht="15" thickBot="1" x14ac:dyDescent="0.35">
      <c r="A3" t="s">
        <v>132</v>
      </c>
      <c r="B3" s="9" t="s">
        <v>131</v>
      </c>
      <c r="C3" s="10" t="s">
        <v>188</v>
      </c>
      <c r="D3" s="11" t="s">
        <v>195</v>
      </c>
      <c r="E3" s="11" t="s">
        <v>133</v>
      </c>
      <c r="F3" s="11" t="s">
        <v>196</v>
      </c>
      <c r="G3" s="13" t="s">
        <v>191</v>
      </c>
      <c r="H3" s="13" t="s">
        <v>192</v>
      </c>
      <c r="I3" s="13" t="s">
        <v>186</v>
      </c>
      <c r="J3" s="13" t="s">
        <v>197</v>
      </c>
    </row>
    <row r="4" spans="1:10" ht="15" thickBot="1" x14ac:dyDescent="0.35">
      <c r="A4" t="s">
        <v>136</v>
      </c>
      <c r="B4" s="9" t="s">
        <v>135</v>
      </c>
      <c r="C4" s="10" t="s">
        <v>188</v>
      </c>
      <c r="D4" s="11" t="s">
        <v>198</v>
      </c>
      <c r="E4" s="11" t="s">
        <v>133</v>
      </c>
      <c r="F4" s="11" t="s">
        <v>196</v>
      </c>
      <c r="G4" s="13" t="s">
        <v>191</v>
      </c>
      <c r="H4" s="13" t="s">
        <v>192</v>
      </c>
      <c r="I4" s="13" t="s">
        <v>186</v>
      </c>
      <c r="J4" s="13" t="s">
        <v>199</v>
      </c>
    </row>
    <row r="5" spans="1:10" ht="15" thickBot="1" x14ac:dyDescent="0.35">
      <c r="A5" t="s">
        <v>154</v>
      </c>
      <c r="B5" s="9" t="s">
        <v>153</v>
      </c>
      <c r="C5" s="10" t="s">
        <v>188</v>
      </c>
      <c r="D5" s="11" t="s">
        <v>200</v>
      </c>
      <c r="E5" s="11" t="s">
        <v>47</v>
      </c>
      <c r="F5" s="11" t="s">
        <v>201</v>
      </c>
      <c r="G5" s="12" t="s">
        <v>202</v>
      </c>
      <c r="H5" s="12" t="s">
        <v>192</v>
      </c>
      <c r="I5" s="12" t="s">
        <v>193</v>
      </c>
      <c r="J5" s="12" t="s">
        <v>203</v>
      </c>
    </row>
    <row r="6" spans="1:10" ht="15" thickBot="1" x14ac:dyDescent="0.35">
      <c r="A6" t="s">
        <v>158</v>
      </c>
      <c r="B6" s="9" t="s">
        <v>157</v>
      </c>
      <c r="C6" s="10" t="s">
        <v>188</v>
      </c>
      <c r="D6" s="11" t="s">
        <v>189</v>
      </c>
      <c r="E6" s="11" t="s">
        <v>67</v>
      </c>
      <c r="F6" s="11" t="s">
        <v>204</v>
      </c>
      <c r="G6" s="13" t="s">
        <v>202</v>
      </c>
      <c r="H6" s="13" t="s">
        <v>192</v>
      </c>
      <c r="I6" s="13" t="s">
        <v>186</v>
      </c>
      <c r="J6" s="13" t="s">
        <v>205</v>
      </c>
    </row>
    <row r="7" spans="1:10" ht="15" thickBot="1" x14ac:dyDescent="0.35">
      <c r="A7" t="s">
        <v>160</v>
      </c>
      <c r="B7" s="9" t="s">
        <v>159</v>
      </c>
      <c r="C7" s="10" t="s">
        <v>188</v>
      </c>
      <c r="D7" s="11" t="s">
        <v>189</v>
      </c>
      <c r="E7" s="11" t="s">
        <v>47</v>
      </c>
      <c r="F7" s="11" t="s">
        <v>206</v>
      </c>
      <c r="G7" s="13" t="s">
        <v>191</v>
      </c>
      <c r="H7" s="13" t="s">
        <v>192</v>
      </c>
      <c r="I7" s="13" t="s">
        <v>186</v>
      </c>
      <c r="J7" s="13" t="s">
        <v>207</v>
      </c>
    </row>
    <row r="8" spans="1:10" ht="15" thickBot="1" x14ac:dyDescent="0.35">
      <c r="A8" t="s">
        <v>162</v>
      </c>
      <c r="B8" s="9" t="s">
        <v>161</v>
      </c>
      <c r="C8" s="10" t="s">
        <v>188</v>
      </c>
      <c r="D8" s="11" t="s">
        <v>200</v>
      </c>
      <c r="E8" s="11" t="s">
        <v>47</v>
      </c>
      <c r="F8" s="11" t="s">
        <v>206</v>
      </c>
      <c r="G8" s="13" t="s">
        <v>191</v>
      </c>
      <c r="H8" s="13" t="s">
        <v>192</v>
      </c>
      <c r="I8" s="13" t="s">
        <v>186</v>
      </c>
      <c r="J8" s="13" t="s">
        <v>208</v>
      </c>
    </row>
    <row r="9" spans="1:10" ht="15" thickBot="1" x14ac:dyDescent="0.35">
      <c r="A9" t="s">
        <v>176</v>
      </c>
      <c r="B9" s="9" t="s">
        <v>175</v>
      </c>
      <c r="C9" s="10" t="s">
        <v>188</v>
      </c>
      <c r="D9" s="11" t="s">
        <v>200</v>
      </c>
      <c r="E9" s="11" t="s">
        <v>47</v>
      </c>
      <c r="F9" s="11" t="s">
        <v>209</v>
      </c>
      <c r="G9" s="13" t="s">
        <v>192</v>
      </c>
      <c r="H9" s="13" t="s">
        <v>192</v>
      </c>
      <c r="I9" s="13" t="s">
        <v>186</v>
      </c>
      <c r="J9" s="13" t="s">
        <v>210</v>
      </c>
    </row>
    <row r="10" spans="1:10" ht="15" thickBot="1" x14ac:dyDescent="0.35">
      <c r="A10" t="s">
        <v>178</v>
      </c>
      <c r="B10" s="9" t="s">
        <v>177</v>
      </c>
      <c r="C10" s="10" t="s">
        <v>188</v>
      </c>
      <c r="D10" s="11" t="s">
        <v>189</v>
      </c>
      <c r="E10" s="11" t="s">
        <v>47</v>
      </c>
      <c r="F10" s="11" t="s">
        <v>211</v>
      </c>
      <c r="G10" s="13" t="s">
        <v>192</v>
      </c>
      <c r="H10" s="13" t="s">
        <v>192</v>
      </c>
      <c r="I10" s="13" t="s">
        <v>186</v>
      </c>
      <c r="J10" s="13" t="s">
        <v>212</v>
      </c>
    </row>
    <row r="11" spans="1:10" ht="15" thickBot="1" x14ac:dyDescent="0.35">
      <c r="A11" t="s">
        <v>25</v>
      </c>
      <c r="B11" s="9" t="s">
        <v>24</v>
      </c>
      <c r="C11" s="10" t="s">
        <v>213</v>
      </c>
      <c r="D11" s="11" t="s">
        <v>214</v>
      </c>
      <c r="E11" s="11" t="s">
        <v>29</v>
      </c>
      <c r="F11" s="11" t="s">
        <v>215</v>
      </c>
      <c r="G11" s="12" t="s">
        <v>192</v>
      </c>
      <c r="H11" s="12" t="s">
        <v>202</v>
      </c>
      <c r="I11" s="12" t="s">
        <v>193</v>
      </c>
      <c r="J11" s="12" t="s">
        <v>216</v>
      </c>
    </row>
    <row r="12" spans="1:10" ht="15" thickBot="1" x14ac:dyDescent="0.35">
      <c r="A12" t="s">
        <v>104</v>
      </c>
      <c r="B12" s="9" t="s">
        <v>103</v>
      </c>
      <c r="C12" s="10" t="s">
        <v>213</v>
      </c>
      <c r="D12" s="11" t="s">
        <v>214</v>
      </c>
      <c r="E12" s="11" t="s">
        <v>105</v>
      </c>
      <c r="F12" s="11" t="s">
        <v>217</v>
      </c>
      <c r="G12" s="12" t="s">
        <v>202</v>
      </c>
      <c r="H12" s="12" t="s">
        <v>202</v>
      </c>
      <c r="I12" s="12" t="s">
        <v>193</v>
      </c>
      <c r="J12" s="12" t="s">
        <v>218</v>
      </c>
    </row>
    <row r="13" spans="1:10" ht="15" thickBot="1" x14ac:dyDescent="0.35">
      <c r="A13" t="s">
        <v>125</v>
      </c>
      <c r="B13" s="9" t="s">
        <v>124</v>
      </c>
      <c r="C13" s="10" t="s">
        <v>213</v>
      </c>
      <c r="D13" s="11" t="s">
        <v>214</v>
      </c>
      <c r="E13" s="11" t="s">
        <v>126</v>
      </c>
      <c r="F13" s="11" t="s">
        <v>219</v>
      </c>
      <c r="G13" s="12" t="s">
        <v>202</v>
      </c>
      <c r="H13" s="12" t="s">
        <v>192</v>
      </c>
      <c r="I13" s="12" t="s">
        <v>193</v>
      </c>
      <c r="J13" s="12" t="s">
        <v>220</v>
      </c>
    </row>
    <row r="14" spans="1:10" ht="15" thickBot="1" x14ac:dyDescent="0.35">
      <c r="A14" t="s">
        <v>40</v>
      </c>
      <c r="B14" s="9" t="s">
        <v>39</v>
      </c>
      <c r="C14" s="10" t="s">
        <v>221</v>
      </c>
      <c r="D14" s="11" t="s">
        <v>222</v>
      </c>
      <c r="E14" s="11" t="s">
        <v>37</v>
      </c>
      <c r="F14" s="11" t="s">
        <v>223</v>
      </c>
      <c r="G14" s="12" t="s">
        <v>202</v>
      </c>
      <c r="H14" s="12" t="s">
        <v>202</v>
      </c>
      <c r="I14" s="12" t="s">
        <v>193</v>
      </c>
      <c r="J14" s="12" t="s">
        <v>224</v>
      </c>
    </row>
    <row r="15" spans="1:10" ht="15" thickBot="1" x14ac:dyDescent="0.35">
      <c r="A15" t="s">
        <v>70</v>
      </c>
      <c r="B15" s="9" t="s">
        <v>69</v>
      </c>
      <c r="C15" s="10" t="s">
        <v>221</v>
      </c>
      <c r="D15" s="11" t="s">
        <v>222</v>
      </c>
      <c r="E15" s="11" t="s">
        <v>37</v>
      </c>
      <c r="F15" s="11" t="s">
        <v>190</v>
      </c>
      <c r="G15" s="12" t="s">
        <v>192</v>
      </c>
      <c r="H15" s="12" t="s">
        <v>202</v>
      </c>
      <c r="I15" s="12" t="s">
        <v>193</v>
      </c>
      <c r="J15" s="12" t="s">
        <v>225</v>
      </c>
    </row>
    <row r="16" spans="1:10" ht="15" thickBot="1" x14ac:dyDescent="0.35">
      <c r="A16" t="s">
        <v>139</v>
      </c>
      <c r="B16" s="9" t="s">
        <v>138</v>
      </c>
      <c r="C16" s="10" t="s">
        <v>221</v>
      </c>
      <c r="D16" s="11" t="s">
        <v>222</v>
      </c>
      <c r="E16" s="11" t="s">
        <v>140</v>
      </c>
      <c r="F16" s="11" t="s">
        <v>226</v>
      </c>
      <c r="G16" s="13" t="s">
        <v>191</v>
      </c>
      <c r="H16" s="13" t="s">
        <v>192</v>
      </c>
      <c r="I16" s="13" t="s">
        <v>186</v>
      </c>
      <c r="J16" s="13" t="s">
        <v>227</v>
      </c>
    </row>
    <row r="17" spans="1:10" ht="15" thickBot="1" x14ac:dyDescent="0.35">
      <c r="A17" t="s">
        <v>143</v>
      </c>
      <c r="B17" s="9" t="s">
        <v>142</v>
      </c>
      <c r="C17" s="10" t="s">
        <v>221</v>
      </c>
      <c r="D17" s="11" t="s">
        <v>222</v>
      </c>
      <c r="E17" s="11" t="s">
        <v>140</v>
      </c>
      <c r="F17" s="11" t="s">
        <v>228</v>
      </c>
      <c r="G17" s="13" t="s">
        <v>191</v>
      </c>
      <c r="H17" s="13" t="s">
        <v>192</v>
      </c>
      <c r="I17" s="13" t="s">
        <v>186</v>
      </c>
      <c r="J17" s="13" t="s">
        <v>229</v>
      </c>
    </row>
    <row r="18" spans="1:10" ht="15" thickBot="1" x14ac:dyDescent="0.35">
      <c r="A18" t="s">
        <v>50</v>
      </c>
      <c r="B18" s="9" t="s">
        <v>49</v>
      </c>
      <c r="C18" s="10" t="s">
        <v>230</v>
      </c>
      <c r="D18" s="11" t="s">
        <v>189</v>
      </c>
      <c r="E18" s="11" t="s">
        <v>53</v>
      </c>
      <c r="F18" s="11" t="s">
        <v>231</v>
      </c>
      <c r="G18" s="12" t="s">
        <v>202</v>
      </c>
      <c r="H18" s="12" t="s">
        <v>202</v>
      </c>
      <c r="I18" s="12" t="s">
        <v>193</v>
      </c>
      <c r="J18" s="12" t="s">
        <v>232</v>
      </c>
    </row>
    <row r="19" spans="1:10" ht="15" thickBot="1" x14ac:dyDescent="0.35">
      <c r="A19" t="s">
        <v>56</v>
      </c>
      <c r="B19" s="9" t="s">
        <v>55</v>
      </c>
      <c r="C19" s="10" t="s">
        <v>230</v>
      </c>
      <c r="D19" s="11" t="s">
        <v>195</v>
      </c>
      <c r="E19" s="11" t="s">
        <v>37</v>
      </c>
      <c r="F19" s="11" t="s">
        <v>233</v>
      </c>
      <c r="G19" s="12" t="s">
        <v>202</v>
      </c>
      <c r="H19" s="12" t="s">
        <v>202</v>
      </c>
      <c r="I19" s="12" t="s">
        <v>193</v>
      </c>
      <c r="J19" s="12" t="s">
        <v>234</v>
      </c>
    </row>
    <row r="20" spans="1:10" ht="15" thickBot="1" x14ac:dyDescent="0.35">
      <c r="A20" t="s">
        <v>59</v>
      </c>
      <c r="B20" s="9" t="s">
        <v>58</v>
      </c>
      <c r="C20" s="10" t="s">
        <v>230</v>
      </c>
      <c r="D20" s="11" t="s">
        <v>195</v>
      </c>
      <c r="E20" s="11" t="s">
        <v>37</v>
      </c>
      <c r="F20" s="11" t="s">
        <v>235</v>
      </c>
      <c r="G20" s="12" t="s">
        <v>202</v>
      </c>
      <c r="H20" s="12" t="s">
        <v>202</v>
      </c>
      <c r="I20" s="12" t="s">
        <v>193</v>
      </c>
      <c r="J20" s="12" t="s">
        <v>236</v>
      </c>
    </row>
    <row r="21" spans="1:10" ht="15" thickBot="1" x14ac:dyDescent="0.35">
      <c r="A21" t="s">
        <v>65</v>
      </c>
      <c r="B21" s="9" t="s">
        <v>64</v>
      </c>
      <c r="C21" s="10" t="s">
        <v>230</v>
      </c>
      <c r="D21" s="11" t="s">
        <v>237</v>
      </c>
      <c r="E21" s="11" t="s">
        <v>67</v>
      </c>
      <c r="F21" s="11" t="s">
        <v>204</v>
      </c>
      <c r="G21" s="13" t="s">
        <v>202</v>
      </c>
      <c r="H21" s="13" t="s">
        <v>191</v>
      </c>
      <c r="I21" s="13" t="s">
        <v>186</v>
      </c>
      <c r="J21" s="13" t="s">
        <v>238</v>
      </c>
    </row>
    <row r="22" spans="1:10" ht="15" thickBot="1" x14ac:dyDescent="0.35">
      <c r="A22" t="s">
        <v>78</v>
      </c>
      <c r="B22" s="9" t="s">
        <v>77</v>
      </c>
      <c r="C22" s="10" t="s">
        <v>230</v>
      </c>
      <c r="D22" s="11" t="s">
        <v>239</v>
      </c>
      <c r="E22" s="11" t="s">
        <v>67</v>
      </c>
      <c r="F22" s="11" t="s">
        <v>204</v>
      </c>
      <c r="G22" s="12" t="s">
        <v>202</v>
      </c>
      <c r="H22" s="12" t="s">
        <v>191</v>
      </c>
      <c r="I22" s="12" t="s">
        <v>193</v>
      </c>
      <c r="J22" s="12" t="s">
        <v>240</v>
      </c>
    </row>
    <row r="23" spans="1:10" ht="15" thickBot="1" x14ac:dyDescent="0.35">
      <c r="A23" t="s">
        <v>81</v>
      </c>
      <c r="B23" s="9" t="s">
        <v>80</v>
      </c>
      <c r="C23" s="10" t="s">
        <v>230</v>
      </c>
      <c r="D23" s="11" t="s">
        <v>239</v>
      </c>
      <c r="E23" s="11" t="s">
        <v>37</v>
      </c>
      <c r="F23" s="11" t="s">
        <v>223</v>
      </c>
      <c r="G23" s="12" t="s">
        <v>202</v>
      </c>
      <c r="H23" s="12" t="s">
        <v>202</v>
      </c>
      <c r="I23" s="12" t="s">
        <v>193</v>
      </c>
      <c r="J23" s="12" t="s">
        <v>241</v>
      </c>
    </row>
    <row r="24" spans="1:10" ht="15" thickBot="1" x14ac:dyDescent="0.35">
      <c r="A24" t="s">
        <v>86</v>
      </c>
      <c r="B24" s="9" t="s">
        <v>85</v>
      </c>
      <c r="C24" s="10" t="s">
        <v>230</v>
      </c>
      <c r="D24" s="11" t="s">
        <v>237</v>
      </c>
      <c r="E24" s="11" t="s">
        <v>67</v>
      </c>
      <c r="F24" s="11" t="s">
        <v>242</v>
      </c>
      <c r="G24" s="12" t="s">
        <v>202</v>
      </c>
      <c r="H24" s="12" t="s">
        <v>191</v>
      </c>
      <c r="I24" s="12" t="s">
        <v>193</v>
      </c>
      <c r="J24" s="12" t="s">
        <v>243</v>
      </c>
    </row>
    <row r="25" spans="1:10" ht="15" thickBot="1" x14ac:dyDescent="0.35">
      <c r="A25" t="s">
        <v>88</v>
      </c>
      <c r="B25" s="9" t="s">
        <v>87</v>
      </c>
      <c r="C25" s="10" t="s">
        <v>230</v>
      </c>
      <c r="D25" s="11" t="s">
        <v>237</v>
      </c>
      <c r="E25" s="11" t="s">
        <v>67</v>
      </c>
      <c r="F25" s="11" t="s">
        <v>244</v>
      </c>
      <c r="G25" s="12" t="s">
        <v>191</v>
      </c>
      <c r="H25" s="12" t="s">
        <v>202</v>
      </c>
      <c r="I25" s="12" t="s">
        <v>193</v>
      </c>
      <c r="J25" s="12" t="s">
        <v>245</v>
      </c>
    </row>
    <row r="26" spans="1:10" ht="15" thickBot="1" x14ac:dyDescent="0.35">
      <c r="A26" t="s">
        <v>94</v>
      </c>
      <c r="B26" s="9" t="s">
        <v>93</v>
      </c>
      <c r="C26" s="10" t="s">
        <v>230</v>
      </c>
      <c r="D26" s="11" t="s">
        <v>239</v>
      </c>
      <c r="E26" s="11" t="s">
        <v>67</v>
      </c>
      <c r="F26" s="11" t="s">
        <v>246</v>
      </c>
      <c r="G26" s="12" t="s">
        <v>202</v>
      </c>
      <c r="H26" s="12" t="s">
        <v>202</v>
      </c>
      <c r="I26" s="12" t="s">
        <v>193</v>
      </c>
      <c r="J26" s="12" t="s">
        <v>247</v>
      </c>
    </row>
    <row r="27" spans="1:10" ht="15" thickBot="1" x14ac:dyDescent="0.35">
      <c r="A27" t="s">
        <v>100</v>
      </c>
      <c r="B27" s="9" t="s">
        <v>99</v>
      </c>
      <c r="C27" s="10" t="s">
        <v>230</v>
      </c>
      <c r="D27" s="11" t="s">
        <v>189</v>
      </c>
      <c r="E27" s="11" t="s">
        <v>37</v>
      </c>
      <c r="F27" s="11" t="s">
        <v>235</v>
      </c>
      <c r="G27" s="12" t="s">
        <v>202</v>
      </c>
      <c r="H27" s="12" t="s">
        <v>202</v>
      </c>
      <c r="I27" s="12" t="s">
        <v>193</v>
      </c>
      <c r="J27" s="12" t="s">
        <v>248</v>
      </c>
    </row>
    <row r="28" spans="1:10" ht="15" thickBot="1" x14ac:dyDescent="0.35">
      <c r="A28" t="s">
        <v>102</v>
      </c>
      <c r="B28" s="9" t="s">
        <v>101</v>
      </c>
      <c r="C28" s="10" t="s">
        <v>230</v>
      </c>
      <c r="D28" s="11" t="s">
        <v>200</v>
      </c>
      <c r="E28" s="11" t="s">
        <v>67</v>
      </c>
      <c r="F28" s="11" t="s">
        <v>249</v>
      </c>
      <c r="G28" s="12" t="s">
        <v>202</v>
      </c>
      <c r="H28" s="12" t="s">
        <v>202</v>
      </c>
      <c r="I28" s="12" t="s">
        <v>193</v>
      </c>
      <c r="J28" s="12" t="s">
        <v>250</v>
      </c>
    </row>
    <row r="29" spans="1:10" ht="15" thickBot="1" x14ac:dyDescent="0.35">
      <c r="A29" t="s">
        <v>111</v>
      </c>
      <c r="B29" s="9" t="s">
        <v>110</v>
      </c>
      <c r="C29" s="10" t="s">
        <v>230</v>
      </c>
      <c r="D29" s="11" t="s">
        <v>251</v>
      </c>
      <c r="E29" s="11" t="s">
        <v>67</v>
      </c>
      <c r="F29" s="11" t="s">
        <v>244</v>
      </c>
      <c r="G29" s="12" t="s">
        <v>202</v>
      </c>
      <c r="H29" s="12" t="s">
        <v>192</v>
      </c>
      <c r="I29" s="12" t="s">
        <v>193</v>
      </c>
      <c r="J29" s="12" t="s">
        <v>252</v>
      </c>
    </row>
    <row r="30" spans="1:10" ht="15" thickBot="1" x14ac:dyDescent="0.35">
      <c r="A30" t="s">
        <v>122</v>
      </c>
      <c r="B30" s="9" t="s">
        <v>121</v>
      </c>
      <c r="C30" s="10" t="s">
        <v>230</v>
      </c>
      <c r="D30" s="11" t="s">
        <v>189</v>
      </c>
      <c r="E30" s="11" t="s">
        <v>29</v>
      </c>
      <c r="F30" s="11" t="s">
        <v>253</v>
      </c>
      <c r="G30" s="12" t="s">
        <v>191</v>
      </c>
      <c r="H30" s="12" t="s">
        <v>192</v>
      </c>
      <c r="I30" s="12" t="s">
        <v>193</v>
      </c>
      <c r="J30" s="12" t="s">
        <v>254</v>
      </c>
    </row>
    <row r="31" spans="1:10" ht="15" thickBot="1" x14ac:dyDescent="0.35">
      <c r="A31" t="s">
        <v>146</v>
      </c>
      <c r="B31" s="9" t="s">
        <v>145</v>
      </c>
      <c r="C31" s="10" t="s">
        <v>230</v>
      </c>
      <c r="D31" s="11" t="s">
        <v>195</v>
      </c>
      <c r="E31" s="11" t="s">
        <v>37</v>
      </c>
      <c r="F31" s="11" t="s">
        <v>190</v>
      </c>
      <c r="G31" s="12" t="s">
        <v>202</v>
      </c>
      <c r="H31" s="12" t="s">
        <v>192</v>
      </c>
      <c r="I31" s="12" t="s">
        <v>193</v>
      </c>
      <c r="J31" s="12" t="s">
        <v>255</v>
      </c>
    </row>
    <row r="32" spans="1:10" ht="15" thickBot="1" x14ac:dyDescent="0.35">
      <c r="A32" t="s">
        <v>148</v>
      </c>
      <c r="B32" s="9" t="s">
        <v>147</v>
      </c>
      <c r="C32" s="10" t="s">
        <v>230</v>
      </c>
      <c r="D32" s="11" t="s">
        <v>251</v>
      </c>
      <c r="E32" s="11" t="s">
        <v>37</v>
      </c>
      <c r="F32" s="11" t="s">
        <v>190</v>
      </c>
      <c r="G32" s="12" t="s">
        <v>202</v>
      </c>
      <c r="H32" s="12" t="s">
        <v>192</v>
      </c>
      <c r="I32" s="12" t="s">
        <v>193</v>
      </c>
      <c r="J32" s="12" t="s">
        <v>256</v>
      </c>
    </row>
    <row r="33" spans="1:10" ht="15" thickBot="1" x14ac:dyDescent="0.35">
      <c r="A33" t="s">
        <v>150</v>
      </c>
      <c r="B33" s="9" t="s">
        <v>149</v>
      </c>
      <c r="C33" s="10" t="s">
        <v>230</v>
      </c>
      <c r="D33" s="11" t="s">
        <v>198</v>
      </c>
      <c r="E33" s="11" t="s">
        <v>37</v>
      </c>
      <c r="F33" s="11" t="s">
        <v>257</v>
      </c>
      <c r="G33" s="12" t="s">
        <v>192</v>
      </c>
      <c r="H33" s="12" t="s">
        <v>192</v>
      </c>
      <c r="I33" s="12" t="s">
        <v>193</v>
      </c>
      <c r="J33" s="12" t="s">
        <v>258</v>
      </c>
    </row>
    <row r="34" spans="1:10" ht="15" thickBot="1" x14ac:dyDescent="0.35">
      <c r="A34" t="s">
        <v>152</v>
      </c>
      <c r="B34" s="9" t="s">
        <v>151</v>
      </c>
      <c r="C34" s="10" t="s">
        <v>230</v>
      </c>
      <c r="D34" s="11" t="s">
        <v>189</v>
      </c>
      <c r="E34" s="11" t="s">
        <v>37</v>
      </c>
      <c r="F34" s="11" t="s">
        <v>190</v>
      </c>
      <c r="G34" s="12" t="s">
        <v>202</v>
      </c>
      <c r="H34" s="12" t="s">
        <v>192</v>
      </c>
      <c r="I34" s="12" t="s">
        <v>193</v>
      </c>
      <c r="J34" s="12" t="s">
        <v>259</v>
      </c>
    </row>
    <row r="35" spans="1:10" ht="15" thickBot="1" x14ac:dyDescent="0.35">
      <c r="A35" t="s">
        <v>156</v>
      </c>
      <c r="B35" s="9" t="s">
        <v>155</v>
      </c>
      <c r="C35" s="10" t="s">
        <v>230</v>
      </c>
      <c r="D35" s="11" t="s">
        <v>239</v>
      </c>
      <c r="E35" s="11" t="s">
        <v>47</v>
      </c>
      <c r="F35" s="11" t="s">
        <v>206</v>
      </c>
      <c r="G35" s="13" t="s">
        <v>202</v>
      </c>
      <c r="H35" s="13" t="s">
        <v>192</v>
      </c>
      <c r="I35" s="13" t="s">
        <v>186</v>
      </c>
      <c r="J35" s="13" t="s">
        <v>260</v>
      </c>
    </row>
    <row r="36" spans="1:10" ht="15" thickBot="1" x14ac:dyDescent="0.35">
      <c r="A36" t="s">
        <v>33</v>
      </c>
      <c r="B36" s="9" t="s">
        <v>32</v>
      </c>
      <c r="C36" s="10" t="s">
        <v>261</v>
      </c>
      <c r="D36" s="11" t="s">
        <v>195</v>
      </c>
      <c r="E36" s="11" t="s">
        <v>37</v>
      </c>
      <c r="F36" s="11" t="s">
        <v>257</v>
      </c>
      <c r="G36" s="12" t="s">
        <v>202</v>
      </c>
      <c r="H36" s="12" t="s">
        <v>202</v>
      </c>
      <c r="I36" s="12" t="s">
        <v>193</v>
      </c>
      <c r="J36" s="12" t="s">
        <v>262</v>
      </c>
    </row>
    <row r="37" spans="1:10" ht="15" thickBot="1" x14ac:dyDescent="0.35">
      <c r="A37" t="s">
        <v>62</v>
      </c>
      <c r="B37" s="9" t="s">
        <v>61</v>
      </c>
      <c r="C37" s="10" t="s">
        <v>261</v>
      </c>
      <c r="D37" s="11" t="s">
        <v>200</v>
      </c>
      <c r="E37" s="11" t="s">
        <v>37</v>
      </c>
      <c r="F37" s="11" t="s">
        <v>223</v>
      </c>
      <c r="G37" s="12" t="s">
        <v>192</v>
      </c>
      <c r="H37" s="12" t="s">
        <v>202</v>
      </c>
      <c r="I37" s="12" t="s">
        <v>193</v>
      </c>
      <c r="J37" s="12" t="s">
        <v>263</v>
      </c>
    </row>
    <row r="38" spans="1:10" ht="15" thickBot="1" x14ac:dyDescent="0.35">
      <c r="A38" t="s">
        <v>83</v>
      </c>
      <c r="B38" s="9" t="s">
        <v>82</v>
      </c>
      <c r="C38" s="10" t="s">
        <v>261</v>
      </c>
      <c r="D38" s="11" t="s">
        <v>251</v>
      </c>
      <c r="E38" s="11" t="s">
        <v>37</v>
      </c>
      <c r="F38" s="11" t="s">
        <v>223</v>
      </c>
      <c r="G38" s="12" t="s">
        <v>202</v>
      </c>
      <c r="H38" s="12" t="s">
        <v>202</v>
      </c>
      <c r="I38" s="12" t="s">
        <v>193</v>
      </c>
      <c r="J38" s="12" t="s">
        <v>264</v>
      </c>
    </row>
    <row r="39" spans="1:10" ht="15" thickBot="1" x14ac:dyDescent="0.35">
      <c r="A39" t="s">
        <v>97</v>
      </c>
      <c r="B39" s="9" t="s">
        <v>96</v>
      </c>
      <c r="C39" s="10" t="s">
        <v>261</v>
      </c>
      <c r="D39" s="11" t="s">
        <v>195</v>
      </c>
      <c r="E39" s="11" t="s">
        <v>47</v>
      </c>
      <c r="F39" s="11" t="s">
        <v>206</v>
      </c>
      <c r="G39" s="12" t="s">
        <v>191</v>
      </c>
      <c r="H39" s="12" t="s">
        <v>202</v>
      </c>
      <c r="I39" s="12" t="s">
        <v>193</v>
      </c>
      <c r="J39" s="12" t="s">
        <v>265</v>
      </c>
    </row>
    <row r="40" spans="1:10" ht="15" thickBot="1" x14ac:dyDescent="0.35">
      <c r="A40" t="s">
        <v>108</v>
      </c>
      <c r="B40" s="9" t="s">
        <v>107</v>
      </c>
      <c r="C40" s="10" t="s">
        <v>261</v>
      </c>
      <c r="D40" s="11" t="s">
        <v>239</v>
      </c>
      <c r="E40" s="11" t="s">
        <v>47</v>
      </c>
      <c r="F40" s="11" t="s">
        <v>266</v>
      </c>
      <c r="G40" s="12" t="s">
        <v>191</v>
      </c>
      <c r="H40" s="12" t="s">
        <v>192</v>
      </c>
      <c r="I40" s="12" t="s">
        <v>193</v>
      </c>
      <c r="J40" s="12" t="s">
        <v>267</v>
      </c>
    </row>
    <row r="41" spans="1:10" ht="15" thickBot="1" x14ac:dyDescent="0.35">
      <c r="A41" t="s">
        <v>116</v>
      </c>
      <c r="B41" s="9" t="s">
        <v>115</v>
      </c>
      <c r="C41" s="10" t="s">
        <v>261</v>
      </c>
      <c r="D41" s="11" t="s">
        <v>195</v>
      </c>
      <c r="E41" s="11" t="s">
        <v>117</v>
      </c>
      <c r="F41" s="11" t="s">
        <v>268</v>
      </c>
      <c r="G41" s="12" t="s">
        <v>192</v>
      </c>
      <c r="H41" s="12" t="s">
        <v>192</v>
      </c>
      <c r="I41" s="12" t="s">
        <v>193</v>
      </c>
      <c r="J41" s="12" t="s">
        <v>269</v>
      </c>
    </row>
    <row r="42" spans="1:10" ht="15" thickBot="1" x14ac:dyDescent="0.35">
      <c r="A42" t="s">
        <v>120</v>
      </c>
      <c r="B42" s="9" t="s">
        <v>119</v>
      </c>
      <c r="C42" s="10" t="s">
        <v>261</v>
      </c>
      <c r="D42" s="11" t="s">
        <v>200</v>
      </c>
      <c r="E42" s="11" t="s">
        <v>67</v>
      </c>
      <c r="F42" s="11" t="s">
        <v>244</v>
      </c>
      <c r="G42" s="12" t="s">
        <v>202</v>
      </c>
      <c r="H42" s="12" t="s">
        <v>192</v>
      </c>
      <c r="I42" s="12" t="s">
        <v>193</v>
      </c>
      <c r="J42" s="12" t="s">
        <v>270</v>
      </c>
    </row>
    <row r="43" spans="1:10" ht="15" thickBot="1" x14ac:dyDescent="0.35">
      <c r="A43" t="s">
        <v>129</v>
      </c>
      <c r="B43" s="9" t="s">
        <v>128</v>
      </c>
      <c r="C43" s="10" t="s">
        <v>261</v>
      </c>
      <c r="D43" s="11" t="s">
        <v>200</v>
      </c>
      <c r="E43" s="11" t="s">
        <v>47</v>
      </c>
      <c r="F43" s="11" t="s">
        <v>201</v>
      </c>
      <c r="G43" s="13" t="s">
        <v>191</v>
      </c>
      <c r="H43" s="13" t="s">
        <v>192</v>
      </c>
      <c r="I43" s="13" t="s">
        <v>186</v>
      </c>
      <c r="J43" s="13" t="s">
        <v>271</v>
      </c>
    </row>
    <row r="44" spans="1:10" ht="15" thickBot="1" x14ac:dyDescent="0.35">
      <c r="A44" t="s">
        <v>171</v>
      </c>
      <c r="B44" s="9" t="s">
        <v>170</v>
      </c>
      <c r="C44" s="10" t="s">
        <v>261</v>
      </c>
      <c r="D44" s="11" t="s">
        <v>195</v>
      </c>
      <c r="E44" s="11" t="s">
        <v>47</v>
      </c>
      <c r="F44" s="11" t="s">
        <v>209</v>
      </c>
      <c r="G44" s="13" t="s">
        <v>192</v>
      </c>
      <c r="H44" s="13" t="s">
        <v>192</v>
      </c>
      <c r="I44" s="13" t="s">
        <v>186</v>
      </c>
      <c r="J44" s="13" t="s">
        <v>272</v>
      </c>
    </row>
    <row r="45" spans="1:10" ht="15" thickBot="1" x14ac:dyDescent="0.35">
      <c r="A45" t="s">
        <v>174</v>
      </c>
      <c r="B45" s="9" t="s">
        <v>173</v>
      </c>
      <c r="C45" s="10" t="s">
        <v>261</v>
      </c>
      <c r="D45" s="11" t="s">
        <v>198</v>
      </c>
      <c r="E45" s="11" t="s">
        <v>47</v>
      </c>
      <c r="F45" s="11" t="s">
        <v>211</v>
      </c>
      <c r="G45" s="13" t="s">
        <v>192</v>
      </c>
      <c r="H45" s="13" t="s">
        <v>192</v>
      </c>
      <c r="I45" s="13" t="s">
        <v>186</v>
      </c>
      <c r="J45" s="13" t="s">
        <v>273</v>
      </c>
    </row>
    <row r="46" spans="1:10" ht="15" thickBot="1" x14ac:dyDescent="0.35">
      <c r="A46" t="s">
        <v>45</v>
      </c>
      <c r="B46" s="9" t="s">
        <v>44</v>
      </c>
      <c r="C46" s="10" t="s">
        <v>274</v>
      </c>
      <c r="D46" s="11" t="s">
        <v>195</v>
      </c>
      <c r="E46" s="11" t="s">
        <v>47</v>
      </c>
      <c r="F46" s="11" t="s">
        <v>275</v>
      </c>
      <c r="G46" s="13" t="s">
        <v>191</v>
      </c>
      <c r="H46" s="13" t="s">
        <v>191</v>
      </c>
      <c r="I46" s="13" t="s">
        <v>186</v>
      </c>
      <c r="J46" s="13" t="s">
        <v>276</v>
      </c>
    </row>
    <row r="47" spans="1:10" ht="15" thickBot="1" x14ac:dyDescent="0.35">
      <c r="A47" t="s">
        <v>73</v>
      </c>
      <c r="B47" s="9" t="s">
        <v>72</v>
      </c>
      <c r="C47" s="10" t="s">
        <v>274</v>
      </c>
      <c r="D47" s="11" t="s">
        <v>195</v>
      </c>
      <c r="E47" s="11" t="s">
        <v>37</v>
      </c>
      <c r="F47" s="11" t="s">
        <v>223</v>
      </c>
      <c r="G47" s="13" t="s">
        <v>191</v>
      </c>
      <c r="H47" s="13" t="s">
        <v>202</v>
      </c>
      <c r="I47" s="13" t="s">
        <v>186</v>
      </c>
      <c r="J47" s="13" t="s">
        <v>277</v>
      </c>
    </row>
    <row r="48" spans="1:10" ht="15" thickBot="1" x14ac:dyDescent="0.35">
      <c r="A48" t="s">
        <v>75</v>
      </c>
      <c r="B48" s="9" t="s">
        <v>74</v>
      </c>
      <c r="C48" s="10" t="s">
        <v>274</v>
      </c>
      <c r="D48" s="11" t="s">
        <v>237</v>
      </c>
      <c r="E48" s="11" t="s">
        <v>67</v>
      </c>
      <c r="F48" s="11" t="s">
        <v>242</v>
      </c>
      <c r="G48" s="13" t="s">
        <v>191</v>
      </c>
      <c r="H48" s="13" t="s">
        <v>191</v>
      </c>
      <c r="I48" s="13" t="s">
        <v>186</v>
      </c>
      <c r="J48" s="13" t="s">
        <v>278</v>
      </c>
    </row>
    <row r="49" spans="1:10" ht="15" thickBot="1" x14ac:dyDescent="0.35">
      <c r="A49" t="s">
        <v>91</v>
      </c>
      <c r="B49" s="9" t="s">
        <v>90</v>
      </c>
      <c r="C49" s="10" t="s">
        <v>274</v>
      </c>
      <c r="D49" s="11" t="s">
        <v>239</v>
      </c>
      <c r="E49" s="11" t="s">
        <v>67</v>
      </c>
      <c r="F49" s="11" t="s">
        <v>249</v>
      </c>
      <c r="G49" s="12" t="s">
        <v>191</v>
      </c>
      <c r="H49" s="12" t="s">
        <v>202</v>
      </c>
      <c r="I49" s="12" t="s">
        <v>193</v>
      </c>
      <c r="J49" s="12" t="s">
        <v>279</v>
      </c>
    </row>
    <row r="50" spans="1:10" ht="15" thickBot="1" x14ac:dyDescent="0.35">
      <c r="A50" t="s">
        <v>164</v>
      </c>
      <c r="B50" s="9" t="s">
        <v>163</v>
      </c>
      <c r="C50" s="10" t="s">
        <v>274</v>
      </c>
      <c r="D50" s="11" t="s">
        <v>237</v>
      </c>
      <c r="E50" s="11" t="s">
        <v>47</v>
      </c>
      <c r="F50" s="11" t="s">
        <v>280</v>
      </c>
      <c r="G50" s="13" t="s">
        <v>191</v>
      </c>
      <c r="H50" s="13" t="s">
        <v>192</v>
      </c>
      <c r="I50" s="13" t="s">
        <v>186</v>
      </c>
      <c r="J50" s="13" t="s">
        <v>281</v>
      </c>
    </row>
    <row r="51" spans="1:10" ht="15" thickBot="1" x14ac:dyDescent="0.35">
      <c r="A51" t="s">
        <v>168</v>
      </c>
      <c r="B51" s="9" t="s">
        <v>167</v>
      </c>
      <c r="C51" s="10" t="s">
        <v>274</v>
      </c>
      <c r="D51" s="11" t="s">
        <v>237</v>
      </c>
      <c r="E51" s="11" t="s">
        <v>47</v>
      </c>
      <c r="F51" s="11" t="s">
        <v>211</v>
      </c>
      <c r="G51" s="13" t="s">
        <v>192</v>
      </c>
      <c r="H51" s="13" t="s">
        <v>192</v>
      </c>
      <c r="I51" s="13" t="s">
        <v>186</v>
      </c>
      <c r="J51" s="13" t="s">
        <v>282</v>
      </c>
    </row>
  </sheetData>
  <autoFilter ref="A1:J51" xr:uid="{31B516B9-7ADE-4A3A-8E17-F8A586BF58F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114FD6198BE84B81A5E5F578E3D1AF" ma:contentTypeVersion="10" ma:contentTypeDescription="Create a new document." ma:contentTypeScope="" ma:versionID="ca0cd9589206b8371617be3ef374c7a2">
  <xsd:schema xmlns:xsd="http://www.w3.org/2001/XMLSchema" xmlns:xs="http://www.w3.org/2001/XMLSchema" xmlns:p="http://schemas.microsoft.com/office/2006/metadata/properties" xmlns:ns2="aa5594d2-f193-4718-a61c-12d2aae263cc" targetNamespace="http://schemas.microsoft.com/office/2006/metadata/properties" ma:root="true" ma:fieldsID="712ccd7666d14a8cca52a18a2f7cf633" ns2:_="">
    <xsd:import namespace="aa5594d2-f193-4718-a61c-12d2aae26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5594d2-f193-4718-a61c-12d2aae26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c6d659e-13c9-48e3-9a29-e081cf94c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5594d2-f193-4718-a61c-12d2aae263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9BEFE4-B298-43F4-AFFE-17EC7116F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5594d2-f193-4718-a61c-12d2aae26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C409F7-154D-42A9-8B78-D1EA8A18BAAB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aa5594d2-f193-4718-a61c-12d2aae263cc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6F381F2-4329-4237-9392-3148A16E09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Kiran Kumar Reddy</cp:lastModifiedBy>
  <dcterms:created xsi:type="dcterms:W3CDTF">2015-06-05T18:17:20Z</dcterms:created>
  <dcterms:modified xsi:type="dcterms:W3CDTF">2025-12-04T07:17:08Z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0x010100B6114FD6198BE84B81A5E5F578E3D1AF</vt:lpwstr>
  </property>
  <property fmtid="{D5CDD505-2E9C-101B-9397-08002B2CF9AE}" pid="3" name="MediaServiceImageTags">
    <vt:lpwstr/>
  </property>
</Properties>
</file>