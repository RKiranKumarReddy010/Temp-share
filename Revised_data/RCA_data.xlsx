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user\Intellimark Analytics Private Limited\Intellimark Analytics Private Limited - Forecasting - Forecasting\Teresa\Product design\Product_input\"/>
    </mc:Choice>
  </mc:AlternateContent>
  <xr:revisionPtr revIDLastSave="29" documentId="113_{CBF726FD-5D44-4EC9-8569-C7CCCBFF886F}" xr6:coauthVersionLast="47" xr6:coauthVersionMax="47" xr10:uidLastSave="{1E38C5A7-B6D8-4136-8CC0-61D13028D97A}"/>
  <bookViews>
    <workbookView xWindow="0" yWindow="0" windowWidth="22260" windowHeight="12650" firstSheet="1" activeTab="1" xr2:uid="{00000000-000D-0000-FFFF-FFFF00000000}"/>
  </bookViews>
  <sheets>
    <sheet name="RCA, Summary output" sheetId="5" r:id="rId1"/>
    <sheet name="RCA_Prompt" sheetId="6" r:id="rId2"/>
    <sheet name="Sheet1" sheetId="3" r:id="rId3"/>
    <sheet name="base" sheetId="1" r:id="rId4"/>
    <sheet name="RCA" sheetId="2" r:id="rId5"/>
  </sheets>
  <definedNames>
    <definedName name="_xlnm._FilterDatabase" localSheetId="3" hidden="1">base!$A$1:$X$1131</definedName>
    <definedName name="_xlnm._FilterDatabase" localSheetId="4" hidden="1">RCA!$A$1:$I$51</definedName>
    <definedName name="_xlnm._FilterDatabase" localSheetId="0" hidden="1">'RCA, Summary output'!$G$1:$J$40</definedName>
    <definedName name="Slicer_Chain">#N/A</definedName>
    <definedName name="Slicer_Channel">#N/A</definedName>
    <definedName name="Slicer_Depot">#N/A</definedName>
    <definedName name="Slicer_SKU">#N/A</definedName>
    <definedName name="Slicer_SubCat">#N/A</definedName>
  </definedNames>
  <calcPr calcId="191028"/>
  <pivotCaches>
    <pivotCache cacheId="68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5" i="5" l="1"/>
  <c r="B101" i="5"/>
  <c r="B79" i="5"/>
  <c r="B75" i="5"/>
  <c r="B53" i="5"/>
  <c r="B49" i="5"/>
  <c r="B27" i="5"/>
  <c r="B23" i="5"/>
  <c r="N15" i="3" l="1"/>
  <c r="N16" i="3"/>
  <c r="N10" i="3"/>
  <c r="N13" i="3"/>
  <c r="N17" i="3" l="1"/>
  <c r="N14" i="3"/>
  <c r="N12" i="3"/>
  <c r="N11" i="3"/>
  <c r="N9" i="3"/>
</calcChain>
</file>

<file path=xl/sharedStrings.xml><?xml version="1.0" encoding="utf-8"?>
<sst xmlns="http://schemas.openxmlformats.org/spreadsheetml/2006/main" count="10273" uniqueCount="1518">
  <si>
    <t>Key</t>
  </si>
  <si>
    <t>Seasonality</t>
  </si>
  <si>
    <t>SKU</t>
  </si>
  <si>
    <t>Summary</t>
  </si>
  <si>
    <t>Description</t>
  </si>
  <si>
    <t>Segment</t>
  </si>
  <si>
    <t>Chain 2_Depot 2_SKU 2</t>
  </si>
  <si>
    <t>Y</t>
  </si>
  <si>
    <t>Seasonality Shift</t>
  </si>
  <si>
    <t>Demand pattern appears to have advanced by one month, inferred from the unusual spike in Sep’24 vs. typical season peak.</t>
  </si>
  <si>
    <t>RCA</t>
  </si>
  <si>
    <t>Chain 3_Depot 3_SKU 9</t>
  </si>
  <si>
    <t>Inventory Anomaly</t>
  </si>
  <si>
    <t>Inventory dropped below safety norms in Aug’25, indicating the need for stronger demand sensing and replenishment discipline.</t>
  </si>
  <si>
    <t>Chain 4_Depot 7_SKU 12</t>
  </si>
  <si>
    <t>Stockout Impact:</t>
  </si>
  <si>
    <t>4 days of OOS in Aug’25 likely resulted in lost demand and potential share migration to competitors.</t>
  </si>
  <si>
    <t>Chain 5_Depot 2_SKU 6</t>
  </si>
  <si>
    <t>Trend Stability:</t>
  </si>
  <si>
    <t>No major structural trend change observed in the recent period; baseline demand trajectory remains consistent.</t>
  </si>
  <si>
    <t>Promotional Influence:</t>
  </si>
  <si>
    <t>Discount levels nearly doubled in Sep’25, which may have directly contributed to the elevated sales spike.</t>
  </si>
  <si>
    <t>Core Season</t>
  </si>
  <si>
    <t>Mar–May | Seasonal performance declined 13% YoY (₹47.6 L → ₹41.6 L), suggesting weaker seasonal pull this year.</t>
  </si>
  <si>
    <t>Business Momentum</t>
  </si>
  <si>
    <t>Trend remains stable with no structural demand shift. | YTD demand slipped 3.4% YoY (₹88.7 L → ₹85.6 L), indicating mild softening in overall demand.</t>
  </si>
  <si>
    <t>Recent Performance</t>
  </si>
  <si>
    <t>Demand shows sequential recovery, L12M: ₹9.1 L | L6M: ₹8.0 L | L3M: ₹5.0 L | L3M Growth: +4.9%, suggesting near-term pickup despite yearly drop.</t>
  </si>
  <si>
    <t>General</t>
  </si>
  <si>
    <t>Volatility &amp; Predictability</t>
  </si>
  <si>
    <t>YoY volatility (Std6) reduced by 15%, making the SKU more predictable.</t>
  </si>
  <si>
    <t>Forecast Period</t>
  </si>
  <si>
    <t>Oct-Nov-Dec'24</t>
  </si>
  <si>
    <t>Demand is strongly influenced by Seasonality, MA3, Lag1, Lag12, indicating historical cyclicity and near-term momentum are reliable drivers.</t>
  </si>
  <si>
    <t>Seasonal</t>
  </si>
  <si>
    <t>Seasonal Deviation</t>
  </si>
  <si>
    <t>A strong spike in Sep’24, despite this SKU typically peaking earlier in summer, indicates a shifted/irregular seasonal pull rather than genuine trend growth.</t>
  </si>
  <si>
    <t>Seasonal Anomaly</t>
  </si>
  <si>
    <t>Seasonality Shift: Demand pattern appears to have advanced by one month, inferred from the unusual spike in Sep’24 vs. typical season peak.</t>
  </si>
  <si>
    <t>Underperformance</t>
  </si>
  <si>
    <t>In Jul–Aug’24 Demand was unusually low vs. baseline; similar dips have occurred historically, reinforcing recurring seasonal weakness.</t>
  </si>
  <si>
    <t>Anomaly / Outlier</t>
  </si>
  <si>
    <t>No anomaly detected for this SKU</t>
  </si>
  <si>
    <t>Inventory remained below safety levels for two consecutive months, restricting availability.</t>
  </si>
  <si>
    <t>Inventory Issue</t>
  </si>
  <si>
    <t>Inventory Behavior: Inventory dropped below safety norms in Aug’25, indicating the need for stronger demand sensing and replenishment discipline.</t>
  </si>
  <si>
    <t>12 days of stockouts during Jul–Aug’24 likely resulted in lost sales and suppressed visibility of true demand.
Product Dynamics &amp; Cannibalization</t>
  </si>
  <si>
    <t>OOS Days</t>
  </si>
  <si>
    <t>Stockout Impact: 4 days of OOS in Aug’25 likely resulted in lost demand and potential share migration to competitors.</t>
  </si>
  <si>
    <t>New Launch</t>
  </si>
  <si>
    <t>Three new launches within the same product family were identified in this period, suggesting possible cannibalization of demand for this SKU.</t>
  </si>
  <si>
    <t>Trend Change</t>
  </si>
  <si>
    <t>Trend Stability: No major structural trend change observed in the recent period; baseline demand trajectory remains consistent.</t>
  </si>
  <si>
    <t>Dual Seasonal Peaks observed in Mar–Apr and Sep–Oct, with seasonal sales up +18% YoY (₹10.9K → ₹12.9K), indicating stronger seasonal pull this year.</t>
  </si>
  <si>
    <t>Discount</t>
  </si>
  <si>
    <t>Discount levels nearly doubled in Sep’25, which may have directly contributed to the elevated sales spike, rather than underlying demand growth.</t>
  </si>
  <si>
    <t>Trend is clearly upward, supported by strong overall demand expansion.</t>
  </si>
  <si>
    <t>No New Launch in this semgnet of product</t>
  </si>
  <si>
    <t>Growth</t>
  </si>
  <si>
    <t>YTD sales grew sharply by +51% YoY (₹22.3K → ₹33.7K), confirming sustained performance beyond seasonality.</t>
  </si>
  <si>
    <t>Seasonal Month</t>
  </si>
  <si>
    <t>Mar-May</t>
  </si>
  <si>
    <t>L3M growth vs LY is +46%, showing consistent recent surge, not a one-off spike.</t>
  </si>
  <si>
    <t>LY Seasonal Sales</t>
  </si>
  <si>
    <t>Demand is strongly driven by Seasonality, MA3, MA6, and recent volatility (STD3), reinforcing both cyclic demand and short-term momentum sensitivity.</t>
  </si>
  <si>
    <t>TY Seasonal Sales</t>
  </si>
  <si>
    <t>Year-end season demand was weaker vs last year, Lower expected uplift.</t>
  </si>
  <si>
    <t>Seasonal Sales %</t>
  </si>
  <si>
    <t>Anomaly</t>
  </si>
  <si>
    <t>Aug'24 Sales were unusually low, indicating a possible execution or demand issue</t>
  </si>
  <si>
    <t>Trend</t>
  </si>
  <si>
    <t>Stable</t>
  </si>
  <si>
    <t>Inventory has been consistently high for the last 6 months, ruling out supply constraints but increasing holding cost.</t>
  </si>
  <si>
    <t>YTD</t>
  </si>
  <si>
    <t>Trend Shift Identified</t>
  </si>
  <si>
    <t>From Jun’24, the trend has turned downward; L3M is -14% vs LY, signaling sustained slowdown.</t>
  </si>
  <si>
    <t>LYTD</t>
  </si>
  <si>
    <t>Pricing Impact</t>
  </si>
  <si>
    <t>Discount was reduced in Aug’25, potentially hurting price-sensitive demand.</t>
  </si>
  <si>
    <t>YTD Growth %</t>
  </si>
  <si>
    <t>A new launch in the same sub-category is likely eating into this SKU’s share, accelerating the downtrend</t>
  </si>
  <si>
    <t>L12M</t>
  </si>
  <si>
    <t>Seasonal Pattern</t>
  </si>
  <si>
    <t>Demand peaks in Mar-Apr, Oct–Dec. This season continues to drive strong volume.</t>
  </si>
  <si>
    <t>L6M</t>
  </si>
  <si>
    <t>Sales in key seasonal months grew 27% vs LY, indicating healthier seasonal demand.</t>
  </si>
  <si>
    <t>L3M</t>
  </si>
  <si>
    <t>Trend Insight</t>
  </si>
  <si>
    <t>Long-term trend is positive, showing consistent multi-year growth.</t>
  </si>
  <si>
    <t xml:space="preserve">L3M Growth </t>
  </si>
  <si>
    <t>Short-term trend is concerning, with recent volumes weakening.</t>
  </si>
  <si>
    <t>YoY Std6 Change</t>
  </si>
  <si>
    <t>YTD sales at 41,445, up 42.8% vs LY, driven mainly by stronger early-year performance.</t>
  </si>
  <si>
    <t>Correlated features</t>
  </si>
  <si>
    <t>Seasonality, MA3, Lag1, Lag12</t>
  </si>
  <si>
    <t>Sales in the last 3 months show a -13.7% drop vs LY, suggesting a slowdown despite a strong year overall.</t>
  </si>
  <si>
    <t>Seasonality months are consistent, but this year’s peak season performed weaker than LY, indicating a softer demand likely extending toward year-end.</t>
  </si>
  <si>
    <t>Inventory levels remained higher than required for the last 6 months, indicating over-stocking and potential planning inefficiencies.</t>
  </si>
  <si>
    <t>No major shift in pricing or discounting was observed. However, promotional push or stronger discounts may help recover volumes.</t>
  </si>
  <si>
    <t>Seasonal Performance</t>
  </si>
  <si>
    <t>Peak season (Feb–May) underperformed sharply with -30% YoY seasonal sales drop, showing weaker seasonal pull compared to last year might as well reflect in year end sales.</t>
  </si>
  <si>
    <t>Trend Analysis</t>
  </si>
  <si>
    <t>Overall trend remains flat, but seasonal weakness is affecting overall performance.</t>
  </si>
  <si>
    <t>Year-to-date sales stand at ₹76,080 vs ₹93,222 LY, resulting in a -18.4% decline, indicating sustained demand pressure.</t>
  </si>
  <si>
    <t>Jul-Aug'24 unusually low sales compared to baseline, major dip seen in past as well</t>
  </si>
  <si>
    <t>Last 3 months showed marginal improvement (2.1% growth vs LY), hinting at a small recovery, though still below past peaks.</t>
  </si>
  <si>
    <t>Upon analysing further,  low inventory identified at this for consecutive 2 months</t>
  </si>
  <si>
    <t>in Jul-Aug'24 it was OOS for 12 days, that's concerning</t>
  </si>
  <si>
    <t>No Trend Change Observed</t>
  </si>
  <si>
    <t>No major change in discount observed</t>
  </si>
  <si>
    <t>I Identified 3 New Launch in its product family, This might have resulted in Cannibalization</t>
  </si>
  <si>
    <t>Mar-Apr, Sep-Oct</t>
  </si>
  <si>
    <t>Increasing</t>
  </si>
  <si>
    <t>L3M Growth  vs LY</t>
  </si>
  <si>
    <t>Seasonality, MA3, MA6, STD3</t>
  </si>
  <si>
    <t>Year end season was  subdued compared to last year</t>
  </si>
  <si>
    <t>Aug'24 month was unusually low this year</t>
  </si>
  <si>
    <t>Higher Inventory Identified consistently over last 6 Months</t>
  </si>
  <si>
    <t>We are well stocked for this product</t>
  </si>
  <si>
    <t>Trend seem to have changed from Jun'24 month to down side, L3M showing -14% drop compared to LY</t>
  </si>
  <si>
    <t>Discount was dropped during Aug'25 month, that might be the factor for lower sales</t>
  </si>
  <si>
    <t xml:space="preserve"> 1 New Launch Identified in this SubCat, That might be eating this products sales &amp; resulted in downtrend</t>
  </si>
  <si>
    <t>Apr, Oct-Dec</t>
  </si>
  <si>
    <t>Long term tredn is Increasing, Short term trend in showing concerns</t>
  </si>
  <si>
    <t>Seasonality, MA3, MA6, STD12, STD9</t>
  </si>
  <si>
    <t>Seasonality period are consistent, but this year seasonal period was weak compared to LY, this might as well reflect in year end</t>
  </si>
  <si>
    <t>During July'24 this SKU was out of stock for 4 days</t>
  </si>
  <si>
    <t>No major change in pricing detected for this SKU though, we might want to try giving higher discounts to boost  sales</t>
  </si>
  <si>
    <t>1 New Launch Identified in this SubCat, That might be eating this products sales &amp; resulted in downtrend</t>
  </si>
  <si>
    <t>Feb - May</t>
  </si>
  <si>
    <t>Overall Flat trend but lower seasonal sales YoY</t>
  </si>
  <si>
    <t>Seasonality, MA3, MA6, Lag1, Lag11</t>
  </si>
  <si>
    <t>key_new</t>
  </si>
  <si>
    <t>SubCat 1</t>
  </si>
  <si>
    <t>Seasonal Period</t>
  </si>
  <si>
    <t>Lags</t>
  </si>
  <si>
    <t>MA</t>
  </si>
  <si>
    <t>std_dev</t>
  </si>
  <si>
    <t>Price</t>
  </si>
  <si>
    <t>Count of SKUs in same category</t>
  </si>
  <si>
    <t>Out of Stock</t>
  </si>
  <si>
    <t>SubCat 2</t>
  </si>
  <si>
    <t>N</t>
  </si>
  <si>
    <t>Values</t>
  </si>
  <si>
    <t>Sum of actual</t>
  </si>
  <si>
    <t>Years</t>
  </si>
  <si>
    <t>SubCat 5</t>
  </si>
  <si>
    <t>Mar-Apr</t>
  </si>
  <si>
    <t>Date</t>
  </si>
  <si>
    <t>Sum of forecast</t>
  </si>
  <si>
    <t>Sum of Trend</t>
  </si>
  <si>
    <t>2022</t>
  </si>
  <si>
    <t>2023</t>
  </si>
  <si>
    <t>2024</t>
  </si>
  <si>
    <t>Grand Total</t>
  </si>
  <si>
    <t>SubCat 8</t>
  </si>
  <si>
    <t>Apr</t>
  </si>
  <si>
    <t>Jan</t>
  </si>
  <si>
    <t>Jan-May</t>
  </si>
  <si>
    <t>Feb</t>
  </si>
  <si>
    <t>Mar</t>
  </si>
  <si>
    <t>May</t>
  </si>
  <si>
    <t>Jun</t>
  </si>
  <si>
    <t>Jul</t>
  </si>
  <si>
    <t>Aug</t>
  </si>
  <si>
    <t>Sep</t>
  </si>
  <si>
    <t>Oct</t>
  </si>
  <si>
    <t>L3M %</t>
  </si>
  <si>
    <t>Nov</t>
  </si>
  <si>
    <t>Seasonal Sales_LY</t>
  </si>
  <si>
    <t>Dec</t>
  </si>
  <si>
    <t>Seasonal Sales_TY</t>
  </si>
  <si>
    <t>Change in seasonal sale</t>
  </si>
  <si>
    <t>Sum of Open_Inventory</t>
  </si>
  <si>
    <t>key_new_date</t>
  </si>
  <si>
    <t>Channel</t>
  </si>
  <si>
    <t>Chain</t>
  </si>
  <si>
    <t>Depot</t>
  </si>
  <si>
    <t>SubCat</t>
  </si>
  <si>
    <t>Period</t>
  </si>
  <si>
    <t>actual</t>
  </si>
  <si>
    <t>forecast</t>
  </si>
  <si>
    <t>Lower_CL</t>
  </si>
  <si>
    <t>Upper_CL</t>
  </si>
  <si>
    <t>Trend_Change_Flag</t>
  </si>
  <si>
    <t>Seasonality_Break</t>
  </si>
  <si>
    <t>Active_SKU</t>
  </si>
  <si>
    <t>Inventory_Alert</t>
  </si>
  <si>
    <t>Open_Inventory</t>
  </si>
  <si>
    <t>OOS_Days</t>
  </si>
  <si>
    <t>Safety_Stock</t>
  </si>
  <si>
    <t>Discount%</t>
  </si>
  <si>
    <t>Chain 1_Depot 1_SKU 1_44562</t>
  </si>
  <si>
    <t>Chain 1_Depot 1_SKU 1</t>
  </si>
  <si>
    <t>Channel 1</t>
  </si>
  <si>
    <t>Chain 1</t>
  </si>
  <si>
    <t>Depot 1</t>
  </si>
  <si>
    <t>SKU 1</t>
  </si>
  <si>
    <t>History</t>
  </si>
  <si>
    <t>Chain 1_Depot 1_SKU 1_44593</t>
  </si>
  <si>
    <t>Chain 1_Depot 1_SKU 1_44621</t>
  </si>
  <si>
    <t>Chain 1_Depot 1_SKU 1_44652</t>
  </si>
  <si>
    <t>Chain 1_Depot 1_SKU 1_44682</t>
  </si>
  <si>
    <t>Chain 1_Depot 1_SKU 1_44713</t>
  </si>
  <si>
    <t>Chain 1_Depot 1_SKU 1_44743</t>
  </si>
  <si>
    <t>Chain 1_Depot 1_SKU 1_44774</t>
  </si>
  <si>
    <t>Chain 1_Depot 1_SKU 1_44866</t>
  </si>
  <si>
    <t>Chain 1_Depot 1_SKU 1_44896</t>
  </si>
  <si>
    <t>Chain 1_Depot 1_SKU 1_44927</t>
  </si>
  <si>
    <t>Chain 1_Depot 1_SKU 1_44958</t>
  </si>
  <si>
    <t>Chain 1_Depot 1_SKU 1_44986</t>
  </si>
  <si>
    <t>Chain 1_Depot 1_SKU 1_45017</t>
  </si>
  <si>
    <t>Chain 1_Depot 1_SKU 1_45047</t>
  </si>
  <si>
    <t>Chain 1_Depot 1_SKU 1_45078</t>
  </si>
  <si>
    <t>Chain 1_Depot 1_SKU 1_45108</t>
  </si>
  <si>
    <t>Chain 1_Depot 1_SKU 1_45292</t>
  </si>
  <si>
    <t>Chain 1_Depot 1_SKU 1_45323</t>
  </si>
  <si>
    <t>Chain 1_Depot 1_SKU 1_45352</t>
  </si>
  <si>
    <t>Chain 1_Depot 1_SKU 1_45383</t>
  </si>
  <si>
    <t>Chain 1_Depot 1_SKU 1_45413</t>
  </si>
  <si>
    <t>Chain 1_Depot 1_SKU 1_45444</t>
  </si>
  <si>
    <t>Chain 1_Depot 1_SKU 1_45505</t>
  </si>
  <si>
    <t>Chain 1_Depot 1_SKU 1_45536</t>
  </si>
  <si>
    <t>Chain 1_Depot 1_SKU 1_45597</t>
  </si>
  <si>
    <t>Forecast</t>
  </si>
  <si>
    <t>Chain 1_Depot 1_SKU 15_44562</t>
  </si>
  <si>
    <t>Chain 1_Depot 1_SKU 15</t>
  </si>
  <si>
    <t>SubCat 6</t>
  </si>
  <si>
    <t>SKU 15</t>
  </si>
  <si>
    <t>Chain 1_Depot 1_SKU 15_44593</t>
  </si>
  <si>
    <t>Chain 1_Depot 1_SKU 15_45017</t>
  </si>
  <si>
    <t>Chain 1_Depot 1_SKU 15_45047</t>
  </si>
  <si>
    <t>Chain 1_Depot 1_SKU 15_45078</t>
  </si>
  <si>
    <t>Chain 1_Depot 1_SKU 15_45108</t>
  </si>
  <si>
    <t>Chain 1_Depot 1_SKU 15_45139</t>
  </si>
  <si>
    <t>Chain 1_Depot 1_SKU 15_45170</t>
  </si>
  <si>
    <t>Chain 1_Depot 1_SKU 15_45231</t>
  </si>
  <si>
    <t>Chain 1_Depot 1_SKU 15_45261</t>
  </si>
  <si>
    <t>Chain 1_Depot 1_SKU 15_45292</t>
  </si>
  <si>
    <t>Chain 1_Depot 1_SKU 15_45323</t>
  </si>
  <si>
    <t>Chain 1_Depot 1_SKU 15_45352</t>
  </si>
  <si>
    <t>Chain 1_Depot 1_SKU 15_45383</t>
  </si>
  <si>
    <t>Chain 1_Depot 1_SKU 15_45413</t>
  </si>
  <si>
    <t>Chain 1_Depot 1_SKU 15_45444</t>
  </si>
  <si>
    <t>Chain 1_Depot 1_SKU 15_45474</t>
  </si>
  <si>
    <t>Chain 1_Depot 1_SKU 15_45505</t>
  </si>
  <si>
    <t>Chain 1_Depot 1_SKU 15_45536</t>
  </si>
  <si>
    <t>Chain 1_Depot 1_SKU 15_45566</t>
  </si>
  <si>
    <t>Chain 1_Depot 1_SKU 15_45597</t>
  </si>
  <si>
    <t>Chain 1_Depot 1_SKU 15_45627</t>
  </si>
  <si>
    <t>Chain 1_Depot 1_SKU 19_44835</t>
  </si>
  <si>
    <t>Chain 1_Depot 1_SKU 19</t>
  </si>
  <si>
    <t>SKU 19</t>
  </si>
  <si>
    <t>Chain 1_Depot 1_SKU 19_44866</t>
  </si>
  <si>
    <t>Chain 1_Depot 1_SKU 19_44896</t>
  </si>
  <si>
    <t>Chain 1_Depot 1_SKU 19_44927</t>
  </si>
  <si>
    <t>Chain 1_Depot 1_SKU 19_44958</t>
  </si>
  <si>
    <t>Chain 1_Depot 1_SKU 19_44986</t>
  </si>
  <si>
    <t>Chain 1_Depot 1_SKU 19_45017</t>
  </si>
  <si>
    <t>Chain 1_Depot 1_SKU 19_45047</t>
  </si>
  <si>
    <t>Chain 1_Depot 1_SKU 19_45078</t>
  </si>
  <si>
    <t>Chain 1_Depot 1_SKU 19_45108</t>
  </si>
  <si>
    <t>Chain 1_Depot 1_SKU 19_45200</t>
  </si>
  <si>
    <t>Chain 1_Depot 1_SKU 19_45231</t>
  </si>
  <si>
    <t>Chain 1_Depot 1_SKU 19_45261</t>
  </si>
  <si>
    <t>Chain 1_Depot 1_SKU 19_45292</t>
  </si>
  <si>
    <t>Chain 1_Depot 1_SKU 19_45323</t>
  </si>
  <si>
    <t>Chain 1_Depot 1_SKU 19_45352</t>
  </si>
  <si>
    <t>Chain 1_Depot 1_SKU 19_45383</t>
  </si>
  <si>
    <t>Chain 1_Depot 1_SKU 19_45413</t>
  </si>
  <si>
    <t>Chain 1_Depot 1_SKU 19_45444</t>
  </si>
  <si>
    <t>Chain 1_Depot 1_SKU 19_45474</t>
  </si>
  <si>
    <t>Chain 1_Depot 1_SKU 19_45505</t>
  </si>
  <si>
    <t>Chain 1_Depot 1_SKU 19_45536</t>
  </si>
  <si>
    <t>Chain 1_Depot 1_SKU 19_45566</t>
  </si>
  <si>
    <t>Chain 1_Depot 1_SKU 19_45597</t>
  </si>
  <si>
    <t>Chain 1_Depot 1_SKU 19_45627</t>
  </si>
  <si>
    <t>Chain 2_Depot 2_SKU 14_44562</t>
  </si>
  <si>
    <t>Chain 2_Depot 2_SKU 14</t>
  </si>
  <si>
    <t>Channel 2</t>
  </si>
  <si>
    <t>Chain 2</t>
  </si>
  <si>
    <t>Depot 2</t>
  </si>
  <si>
    <t>SubCat 3</t>
  </si>
  <si>
    <t>SKU 14</t>
  </si>
  <si>
    <t>Chain 2_Depot 2_SKU 14_44713</t>
  </si>
  <si>
    <t>Chain 2_Depot 2_SKU 14_44743</t>
  </si>
  <si>
    <t>Chain 2_Depot 2_SKU 14_44774</t>
  </si>
  <si>
    <t>Chain 2_Depot 2_SKU 14_44805</t>
  </si>
  <si>
    <t>Chain 2_Depot 2_SKU 14_44835</t>
  </si>
  <si>
    <t>Chain 2_Depot 2_SKU 14_44866</t>
  </si>
  <si>
    <t>Chain 2_Depot 2_SKU 14_44896</t>
  </si>
  <si>
    <t>Chain 2_Depot 2_SKU 14_44927</t>
  </si>
  <si>
    <t>Chain 2_Depot 2_SKU 14_44958</t>
  </si>
  <si>
    <t>Chain 2_Depot 2_SKU 14_44986</t>
  </si>
  <si>
    <t>Chain 2_Depot 2_SKU 14_45017</t>
  </si>
  <si>
    <t>Chain 2_Depot 2_SKU 14_45047</t>
  </si>
  <si>
    <t>Chain 2_Depot 2_SKU 14_45078</t>
  </si>
  <si>
    <t>Chain 2_Depot 2_SKU 14_45108</t>
  </si>
  <si>
    <t>Chain 2_Depot 2_SKU 14_45352</t>
  </si>
  <si>
    <t>Chain 2_Depot 2_SKU 14_45383</t>
  </si>
  <si>
    <t>Chain 2_Depot 2_SKU 14_45413</t>
  </si>
  <si>
    <t>Chain 2_Depot 2_SKU 14_45444</t>
  </si>
  <si>
    <t>Chain 2_Depot 2_SKU 14_45474</t>
  </si>
  <si>
    <t>Chain 2_Depot 2_SKU 14_45505</t>
  </si>
  <si>
    <t>Chain 2_Depot 2_SKU 14_45536</t>
  </si>
  <si>
    <t>Chain 2_Depot 2_SKU 14_45566</t>
  </si>
  <si>
    <t>Chain 2_Depot 2_SKU 14_45597</t>
  </si>
  <si>
    <t>Chain 2_Depot 2_SKU 14_45627</t>
  </si>
  <si>
    <t>Chain 2_Depot 2_SKU 17_44652</t>
  </si>
  <si>
    <t>Chain 2_Depot 2_SKU 17</t>
  </si>
  <si>
    <t>SubCat 7</t>
  </si>
  <si>
    <t>SKU 17</t>
  </si>
  <si>
    <t>Chain 2_Depot 2_SKU 17_44713</t>
  </si>
  <si>
    <t>Chain 2_Depot 2_SKU 17_44743</t>
  </si>
  <si>
    <t>Chain 2_Depot 2_SKU 2_44562</t>
  </si>
  <si>
    <t>SKU 2</t>
  </si>
  <si>
    <t>Chain 2_Depot 2_SKU 2_44593</t>
  </si>
  <si>
    <t>Chain 2_Depot 2_SKU 2_44621</t>
  </si>
  <si>
    <t>Chain 2_Depot 2_SKU 2_44652</t>
  </si>
  <si>
    <t>Chain 2_Depot 2_SKU 2_44682</t>
  </si>
  <si>
    <t>Chain 2_Depot 2_SKU 2_44713</t>
  </si>
  <si>
    <t>Chain 2_Depot 2_SKU 2_44743</t>
  </si>
  <si>
    <t>Chain 2_Depot 2_SKU 2_44774</t>
  </si>
  <si>
    <t>Chain 2_Depot 2_SKU 2_44805</t>
  </si>
  <si>
    <t>Chain 2_Depot 2_SKU 2_44835</t>
  </si>
  <si>
    <t>Chain 2_Depot 2_SKU 2_44866</t>
  </si>
  <si>
    <t>Chain 2_Depot 2_SKU 2_44896</t>
  </si>
  <si>
    <t>Chain 2_Depot 2_SKU 2_44927</t>
  </si>
  <si>
    <t>Chain 2_Depot 2_SKU 2_44958</t>
  </si>
  <si>
    <t>Chain 2_Depot 2_SKU 2_44986</t>
  </si>
  <si>
    <t>Chain 2_Depot 2_SKU 2_45017</t>
  </si>
  <si>
    <t>Chain 2_Depot 2_SKU 2_45047</t>
  </si>
  <si>
    <t>Chain 2_Depot 2_SKU 2_45078</t>
  </si>
  <si>
    <t>Chain 2_Depot 2_SKU 2_45108</t>
  </si>
  <si>
    <t>Chain 2_Depot 2_SKU 2_45139</t>
  </si>
  <si>
    <t>Chain 2_Depot 2_SKU 2_45170</t>
  </si>
  <si>
    <t>Chain 2_Depot 2_SKU 2_45200</t>
  </si>
  <si>
    <t>Chain 2_Depot 2_SKU 2_45231</t>
  </si>
  <si>
    <t>Chain 2_Depot 2_SKU 2_45261</t>
  </si>
  <si>
    <t>Chain 2_Depot 2_SKU 2_45292</t>
  </si>
  <si>
    <t>Chain 2_Depot 2_SKU 2_45323</t>
  </si>
  <si>
    <t>Chain 2_Depot 2_SKU 2_45352</t>
  </si>
  <si>
    <t>Chain 2_Depot 2_SKU 2_45383</t>
  </si>
  <si>
    <t>Chain 2_Depot 2_SKU 2_45413</t>
  </si>
  <si>
    <t>Chain 2_Depot 2_SKU 2_45444</t>
  </si>
  <si>
    <t>Chain 2_Depot 2_SKU 2_45474</t>
  </si>
  <si>
    <t>Chain 2_Depot 2_SKU 2_45505</t>
  </si>
  <si>
    <t>Chain 2_Depot 2_SKU 2_45536</t>
  </si>
  <si>
    <t>Chain 2_Depot 2_SKU 2_45566</t>
  </si>
  <si>
    <t>Chain 2_Depot 2_SKU 2_45597</t>
  </si>
  <si>
    <t>Chain 2_Depot 2_SKU 2_45627</t>
  </si>
  <si>
    <t>Chain 2_Depot 2_SKU 26_45566</t>
  </si>
  <si>
    <t>Chain 2_Depot 2_SKU 26</t>
  </si>
  <si>
    <t>SKU 26</t>
  </si>
  <si>
    <t>Chain 2_Depot 2_SKU 26_45597</t>
  </si>
  <si>
    <t>Chain 2_Depot 2_SKU 26_45627</t>
  </si>
  <si>
    <t>Chain 2_Depot 5_SKU 11_44743</t>
  </si>
  <si>
    <t>Chain 2_Depot 5_SKU 11</t>
  </si>
  <si>
    <t>Depot 5</t>
  </si>
  <si>
    <t>SKU 11</t>
  </si>
  <si>
    <t>Chain 2_Depot 5_SKU 11_44774</t>
  </si>
  <si>
    <t>Chain 2_Depot 5_SKU 11_44835</t>
  </si>
  <si>
    <t>Chain 2_Depot 5_SKU 11_44866</t>
  </si>
  <si>
    <t>Chain 2_Depot 5_SKU 11_44927</t>
  </si>
  <si>
    <t>Chain 2_Depot 5_SKU 11_44958</t>
  </si>
  <si>
    <t>Chain 2_Depot 5_SKU 11_44986</t>
  </si>
  <si>
    <t>Chain 2_Depot 5_SKU 11_45017</t>
  </si>
  <si>
    <t>Chain 2_Depot 5_SKU 11_45078</t>
  </si>
  <si>
    <t>Chain 2_Depot 5_SKU 11_45108</t>
  </si>
  <si>
    <t>Chain 2_Depot 5_SKU 11_45139</t>
  </si>
  <si>
    <t>Chain 2_Depot 5_SKU 11_45170</t>
  </si>
  <si>
    <t>Chain 2_Depot 5_SKU 11_45200</t>
  </si>
  <si>
    <t>Chain 2_Depot 5_SKU 11_45231</t>
  </si>
  <si>
    <t>Chain 2_Depot 5_SKU 11_45261</t>
  </si>
  <si>
    <t>Chain 2_Depot 5_SKU 11_45292</t>
  </si>
  <si>
    <t>Chain 2_Depot 5_SKU 11_45323</t>
  </si>
  <si>
    <t>Chain 2_Depot 5_SKU 11_45352</t>
  </si>
  <si>
    <t>Chain 2_Depot 5_SKU 11_45383</t>
  </si>
  <si>
    <t>Chain 2_Depot 5_SKU 11_45413</t>
  </si>
  <si>
    <t>Chain 2_Depot 5_SKU 11_45444</t>
  </si>
  <si>
    <t>Chain 2_Depot 5_SKU 11_45474</t>
  </si>
  <si>
    <t>Chain 2_Depot 5_SKU 11_45505</t>
  </si>
  <si>
    <t>Chain 2_Depot 5_SKU 11_45536</t>
  </si>
  <si>
    <t>Chain 2_Depot 5_SKU 11_45566</t>
  </si>
  <si>
    <t>Chain 2_Depot 5_SKU 11_45597</t>
  </si>
  <si>
    <t>Chain 2_Depot 5_SKU 11_45627</t>
  </si>
  <si>
    <t>Chain 2_Depot 5_SKU 20_44835</t>
  </si>
  <si>
    <t>Chain 2_Depot 5_SKU 20</t>
  </si>
  <si>
    <t>SKU 20</t>
  </si>
  <si>
    <t>Chain 2_Depot 5_SKU 20_44866</t>
  </si>
  <si>
    <t>Chain 2_Depot 5_SKU 20_44896</t>
  </si>
  <si>
    <t>Chain 2_Depot 5_SKU 20_44958</t>
  </si>
  <si>
    <t>Chain 2_Depot 5_SKU 20_44986</t>
  </si>
  <si>
    <t>Chain 2_Depot 5_SKU 20_45017</t>
  </si>
  <si>
    <t>Chain 2_Depot 5_SKU 20_45047</t>
  </si>
  <si>
    <t>Chain 2_Depot 5_SKU 20_45078</t>
  </si>
  <si>
    <t>Chain 2_Depot 5_SKU 20_45108</t>
  </si>
  <si>
    <t>Chain 2_Depot 5_SKU 20_45139</t>
  </si>
  <si>
    <t>Chain 2_Depot 5_SKU 20_45170</t>
  </si>
  <si>
    <t>Chain 2_Depot 5_SKU 20_45231</t>
  </si>
  <si>
    <t>Chain 2_Depot 5_SKU 20_45261</t>
  </si>
  <si>
    <t>Chain 2_Depot 5_SKU 20_45292</t>
  </si>
  <si>
    <t>Chain 2_Depot 5_SKU 20_45323</t>
  </si>
  <si>
    <t>Chain 2_Depot 5_SKU 20_45352</t>
  </si>
  <si>
    <t>Chain 2_Depot 5_SKU 20_45383</t>
  </si>
  <si>
    <t>Chain 2_Depot 5_SKU 20_45413</t>
  </si>
  <si>
    <t>Chain 2_Depot 5_SKU 20_45444</t>
  </si>
  <si>
    <t>Chain 2_Depot 5_SKU 20_45474</t>
  </si>
  <si>
    <t>Chain 2_Depot 5_SKU 20_45505</t>
  </si>
  <si>
    <t>Chain 2_Depot 5_SKU 20_45536</t>
  </si>
  <si>
    <t>Chain 2_Depot 5_SKU 20_45566</t>
  </si>
  <si>
    <t>Chain 2_Depot 5_SKU 20_45597</t>
  </si>
  <si>
    <t>Chain 2_Depot 5_SKU 20_45627</t>
  </si>
  <si>
    <t>Chain 2_Depot 5_SKU 3_44562</t>
  </si>
  <si>
    <t>Chain 2_Depot 5_SKU 3</t>
  </si>
  <si>
    <t>SKU 3</t>
  </si>
  <si>
    <t>Chain 2_Depot 5_SKU 3_44593</t>
  </si>
  <si>
    <t>Chain 2_Depot 5_SKU 3_44621</t>
  </si>
  <si>
    <t>Chain 2_Depot 5_SKU 3_44652</t>
  </si>
  <si>
    <t>Chain 2_Depot 5_SKU 3_44682</t>
  </si>
  <si>
    <t>Chain 2_Depot 5_SKU 3_44713</t>
  </si>
  <si>
    <t>Chain 2_Depot 5_SKU 3_44743</t>
  </si>
  <si>
    <t>Chain 2_Depot 5_SKU 3_44774</t>
  </si>
  <si>
    <t>Chain 2_Depot 5_SKU 3_44805</t>
  </si>
  <si>
    <t>Chain 2_Depot 5_SKU 3_44835</t>
  </si>
  <si>
    <t>Chain 2_Depot 5_SKU 3_44866</t>
  </si>
  <si>
    <t>Chain 2_Depot 5_SKU 3_44896</t>
  </si>
  <si>
    <t>Chain 2_Depot 5_SKU 3_44927</t>
  </si>
  <si>
    <t>Chain 2_Depot 5_SKU 3_44958</t>
  </si>
  <si>
    <t>Chain 2_Depot 5_SKU 3_44986</t>
  </si>
  <si>
    <t>Chain 2_Depot 5_SKU 3_45017</t>
  </si>
  <si>
    <t>Chain 2_Depot 5_SKU 3_45047</t>
  </si>
  <si>
    <t>Chain 2_Depot 5_SKU 3_45078</t>
  </si>
  <si>
    <t>Chain 2_Depot 5_SKU 3_45108</t>
  </si>
  <si>
    <t>Chain 2_Depot 5_SKU 3_45139</t>
  </si>
  <si>
    <t>Chain 2_Depot 5_SKU 3_45170</t>
  </si>
  <si>
    <t>Chain 2_Depot 5_SKU 3_45200</t>
  </si>
  <si>
    <t>Chain 2_Depot 5_SKU 3_45231</t>
  </si>
  <si>
    <t>Chain 2_Depot 5_SKU 3_45261</t>
  </si>
  <si>
    <t>Chain 2_Depot 5_SKU 3_45292</t>
  </si>
  <si>
    <t>Chain 2_Depot 5_SKU 3_45323</t>
  </si>
  <si>
    <t>Chain 2_Depot 5_SKU 3_45352</t>
  </si>
  <si>
    <t>Chain 2_Depot 5_SKU 3_45383</t>
  </si>
  <si>
    <t>Chain 2_Depot 5_SKU 3_45413</t>
  </si>
  <si>
    <t>Chain 2_Depot 5_SKU 3_45444</t>
  </si>
  <si>
    <t>Chain 2_Depot 5_SKU 3_45505</t>
  </si>
  <si>
    <t>Chain 2_Depot 5_SKU 3_45536</t>
  </si>
  <si>
    <t>Chain 2_Depot 5_SKU 3_45566</t>
  </si>
  <si>
    <t>Chain 2_Depot 5_SKU 3_45597</t>
  </si>
  <si>
    <t>Chain 2_Depot 7_SKU 16_44593</t>
  </si>
  <si>
    <t>Chain 2_Depot 7_SKU 16</t>
  </si>
  <si>
    <t>Depot 7</t>
  </si>
  <si>
    <t>SKU 16</t>
  </si>
  <si>
    <t>Chain 2_Depot 7_SKU 16_44621</t>
  </si>
  <si>
    <t>Chain 2_Depot 7_SKU 16_44652</t>
  </si>
  <si>
    <t>Chain 2_Depot 7_SKU 16_44682</t>
  </si>
  <si>
    <t>Chain 2_Depot 7_SKU 16_44713</t>
  </si>
  <si>
    <t>Chain 2_Depot 7_SKU 16_44743</t>
  </si>
  <si>
    <t>Chain 2_Depot 7_SKU 16_44774</t>
  </si>
  <si>
    <t>Chain 2_Depot 7_SKU 16_44805</t>
  </si>
  <si>
    <t>Chain 2_Depot 7_SKU 16_44835</t>
  </si>
  <si>
    <t>Chain 2_Depot 7_SKU 16_44866</t>
  </si>
  <si>
    <t>Chain 2_Depot 7_SKU 16_44896</t>
  </si>
  <si>
    <t>Chain 2_Depot 7_SKU 16_44927</t>
  </si>
  <si>
    <t>Chain 2_Depot 7_SKU 16_44958</t>
  </si>
  <si>
    <t>Chain 2_Depot 7_SKU 16_44986</t>
  </si>
  <si>
    <t>Chain 2_Depot 7_SKU 16_45017</t>
  </si>
  <si>
    <t>Chain 2_Depot 7_SKU 16_45047</t>
  </si>
  <si>
    <t>Chain 2_Depot 7_SKU 16_45078</t>
  </si>
  <si>
    <t>Chain 2_Depot 7_SKU 16_45108</t>
  </si>
  <si>
    <t>Chain 2_Depot 7_SKU 16_45139</t>
  </si>
  <si>
    <t>Chain 2_Depot 7_SKU 16_45170</t>
  </si>
  <si>
    <t>Chain 2_Depot 7_SKU 16_45200</t>
  </si>
  <si>
    <t>Chain 2_Depot 7_SKU 16_45231</t>
  </si>
  <si>
    <t>Chain 2_Depot 7_SKU 16_45261</t>
  </si>
  <si>
    <t>Chain 2_Depot 7_SKU 16_45292</t>
  </si>
  <si>
    <t>Chain 2_Depot 7_SKU 16_45323</t>
  </si>
  <si>
    <t>Chain 2_Depot 7_SKU 16_45352</t>
  </si>
  <si>
    <t>Chain 2_Depot 7_SKU 16_45383</t>
  </si>
  <si>
    <t>Chain 2_Depot 7_SKU 16_45413</t>
  </si>
  <si>
    <t>Chain 2_Depot 7_SKU 16_45444</t>
  </si>
  <si>
    <t>Chain 2_Depot 7_SKU 16_45474</t>
  </si>
  <si>
    <t>Chain 2_Depot 7_SKU 16_45505</t>
  </si>
  <si>
    <t>Chain 2_Depot 7_SKU 16_45536</t>
  </si>
  <si>
    <t>Chain 2_Depot 7_SKU 16_45566</t>
  </si>
  <si>
    <t>Chain 2_Depot 7_SKU 16_45597</t>
  </si>
  <si>
    <t>Chain 2_Depot 7_SKU 16_45627</t>
  </si>
  <si>
    <t>Chain 2_Depot 8_SKU 3_44562</t>
  </si>
  <si>
    <t>Chain 2_Depot 8_SKU 3</t>
  </si>
  <si>
    <t>Depot 8</t>
  </si>
  <si>
    <t>Chain 2_Depot 8_SKU 3_44593</t>
  </si>
  <si>
    <t>Chain 2_Depot 8_SKU 3_44621</t>
  </si>
  <si>
    <t>Chain 2_Depot 8_SKU 3_44652</t>
  </si>
  <si>
    <t>Chain 2_Depot 8_SKU 3_44682</t>
  </si>
  <si>
    <t>Chain 2_Depot 8_SKU 3_44713</t>
  </si>
  <si>
    <t>Chain 2_Depot 8_SKU 3_44774</t>
  </si>
  <si>
    <t>Chain 2_Depot 8_SKU 3_44805</t>
  </si>
  <si>
    <t>Chain 2_Depot 8_SKU 3_44866</t>
  </si>
  <si>
    <t>Chain 2_Depot 8_SKU 3_44896</t>
  </si>
  <si>
    <t>Chain 2_Depot 8_SKU 3_44958</t>
  </si>
  <si>
    <t>Chain 2_Depot 8_SKU 3_44986</t>
  </si>
  <si>
    <t>Chain 2_Depot 8_SKU 3_45017</t>
  </si>
  <si>
    <t>Chain 2_Depot 8_SKU 3_45047</t>
  </si>
  <si>
    <t>Chain 2_Depot 8_SKU 3_45078</t>
  </si>
  <si>
    <t>Chain 2_Depot 8_SKU 3_45108</t>
  </si>
  <si>
    <t>Chain 2_Depot 8_SKU 3_45139</t>
  </si>
  <si>
    <t>Chain 2_Depot 8_SKU 3_45170</t>
  </si>
  <si>
    <t>Chain 2_Depot 8_SKU 3_45200</t>
  </si>
  <si>
    <t>Chain 2_Depot 8_SKU 3_45231</t>
  </si>
  <si>
    <t>Chain 2_Depot 8_SKU 3_45323</t>
  </si>
  <si>
    <t>Chain 2_Depot 8_SKU 3_45352</t>
  </si>
  <si>
    <t>Chain 2_Depot 8_SKU 3_45383</t>
  </si>
  <si>
    <t>Chain 2_Depot 8_SKU 3_45413</t>
  </si>
  <si>
    <t>Chain 2_Depot 8_SKU 3_45444</t>
  </si>
  <si>
    <t>Chain 2_Depot 8_SKU 3_45474</t>
  </si>
  <si>
    <t>Chain 2_Depot 8_SKU 3_45505</t>
  </si>
  <si>
    <t>Chain 2_Depot 8_SKU 3_45536</t>
  </si>
  <si>
    <t>Chain 2_Depot 8_SKU 3_45566</t>
  </si>
  <si>
    <t>Chain 2_Depot 8_SKU 3_45597</t>
  </si>
  <si>
    <t>Chain 2_Depot 8_SKU 3_45627</t>
  </si>
  <si>
    <t>Chain 2_Depot 9_SKU 25_45566</t>
  </si>
  <si>
    <t>Chain 2_Depot 9_SKU 25</t>
  </si>
  <si>
    <t>Depot 9</t>
  </si>
  <si>
    <t>SKU 25</t>
  </si>
  <si>
    <t>Chain 2_Depot 9_SKU 25_45597</t>
  </si>
  <si>
    <t>Chain 2_Depot 9_SKU 25_45627</t>
  </si>
  <si>
    <t>Chain 3_Depot 3_SKU 22_44958</t>
  </si>
  <si>
    <t>Chain 3_Depot 3_SKU 22</t>
  </si>
  <si>
    <t>Chain 3</t>
  </si>
  <si>
    <t>Depot 3</t>
  </si>
  <si>
    <t>SubCat 10</t>
  </si>
  <si>
    <t>SKU 22</t>
  </si>
  <si>
    <t>Chain 3_Depot 3_SKU 22_44986</t>
  </si>
  <si>
    <t>Chain 3_Depot 3_SKU 22_45017</t>
  </si>
  <si>
    <t>Chain 3_Depot 3_SKU 22_45047</t>
  </si>
  <si>
    <t>Chain 3_Depot 3_SKU 22_45078</t>
  </si>
  <si>
    <t>Chain 3_Depot 3_SKU 22_45108</t>
  </si>
  <si>
    <t>Chain 3_Depot 3_SKU 22_45139</t>
  </si>
  <si>
    <t>Chain 3_Depot 3_SKU 22_45474</t>
  </si>
  <si>
    <t>Chain 3_Depot 3_SKU 22_45505</t>
  </si>
  <si>
    <t>Chain 3_Depot 3_SKU 22_45536</t>
  </si>
  <si>
    <t>Chain 3_Depot 3_SKU 22_45566</t>
  </si>
  <si>
    <t>Chain 3_Depot 3_SKU 22_45597</t>
  </si>
  <si>
    <t>Chain 3_Depot 3_SKU 22_45627</t>
  </si>
  <si>
    <t>Chain 3_Depot 3_SKU 23_44958</t>
  </si>
  <si>
    <t>Chain 3_Depot 3_SKU 23</t>
  </si>
  <si>
    <t>SKU 23</t>
  </si>
  <si>
    <t>Chain 3_Depot 3_SKU 23_44986</t>
  </si>
  <si>
    <t>Chain 3_Depot 3_SKU 23_45017</t>
  </si>
  <si>
    <t>Chain 3_Depot 3_SKU 23_45047</t>
  </si>
  <si>
    <t>Chain 3_Depot 3_SKU 23_45078</t>
  </si>
  <si>
    <t>Chain 3_Depot 3_SKU 23_45108</t>
  </si>
  <si>
    <t>Chain 3_Depot 3_SKU 23_45139</t>
  </si>
  <si>
    <t>Chain 3_Depot 3_SKU 23_45474</t>
  </si>
  <si>
    <t>Chain 3_Depot 3_SKU 23_45505</t>
  </si>
  <si>
    <t>Chain 3_Depot 3_SKU 23_45536</t>
  </si>
  <si>
    <t>Chain 3_Depot 3_SKU 23_45566</t>
  </si>
  <si>
    <t>Chain 3_Depot 3_SKU 23_45597</t>
  </si>
  <si>
    <t>Chain 3_Depot 3_SKU 23_45627</t>
  </si>
  <si>
    <t>Chain 3_Depot 3_SKU 3_44562</t>
  </si>
  <si>
    <t>Chain 3_Depot 3_SKU 3</t>
  </si>
  <si>
    <t>Chain 3_Depot 3_SKU 3_44593</t>
  </si>
  <si>
    <t>Chain 3_Depot 3_SKU 3_44621</t>
  </si>
  <si>
    <t>Chain 3_Depot 3_SKU 3_44652</t>
  </si>
  <si>
    <t>Chain 3_Depot 3_SKU 3_44682</t>
  </si>
  <si>
    <t>Chain 3_Depot 3_SKU 3_44713</t>
  </si>
  <si>
    <t>Chain 3_Depot 3_SKU 3_44743</t>
  </si>
  <si>
    <t>Chain 3_Depot 3_SKU 3_44774</t>
  </si>
  <si>
    <t>Chain 3_Depot 3_SKU 3_44805</t>
  </si>
  <si>
    <t>Chain 3_Depot 3_SKU 3_44835</t>
  </si>
  <si>
    <t>Chain 3_Depot 3_SKU 3_44866</t>
  </si>
  <si>
    <t>Chain 3_Depot 3_SKU 3_44896</t>
  </si>
  <si>
    <t>Chain 3_Depot 3_SKU 3_44927</t>
  </si>
  <si>
    <t>Chain 3_Depot 3_SKU 3_44958</t>
  </si>
  <si>
    <t>Chain 3_Depot 3_SKU 3_44986</t>
  </si>
  <si>
    <t>Chain 3_Depot 3_SKU 3_45017</t>
  </si>
  <si>
    <t>Chain 3_Depot 3_SKU 3_45047</t>
  </si>
  <si>
    <t>Chain 3_Depot 3_SKU 3_45078</t>
  </si>
  <si>
    <t>Chain 3_Depot 3_SKU 3_45108</t>
  </si>
  <si>
    <t>Chain 3_Depot 3_SKU 3_45139</t>
  </si>
  <si>
    <t>Chain 3_Depot 3_SKU 3_45170</t>
  </si>
  <si>
    <t>Chain 3_Depot 3_SKU 3_45200</t>
  </si>
  <si>
    <t>Chain 3_Depot 3_SKU 3_45231</t>
  </si>
  <si>
    <t>Chain 3_Depot 3_SKU 3_45261</t>
  </si>
  <si>
    <t>Chain 3_Depot 3_SKU 3_45292</t>
  </si>
  <si>
    <t>Chain 3_Depot 3_SKU 3_45323</t>
  </si>
  <si>
    <t>Chain 3_Depot 3_SKU 3_45352</t>
  </si>
  <si>
    <t>Chain 3_Depot 3_SKU 3_45383</t>
  </si>
  <si>
    <t>Chain 3_Depot 3_SKU 3_45413</t>
  </si>
  <si>
    <t>Chain 3_Depot 3_SKU 3_45444</t>
  </si>
  <si>
    <t>Chain 3_Depot 3_SKU 3_45474</t>
  </si>
  <si>
    <t>Chain 3_Depot 3_SKU 3_45505</t>
  </si>
  <si>
    <t>Chain 3_Depot 3_SKU 3_45536</t>
  </si>
  <si>
    <t>Chain 3_Depot 3_SKU 3_45566</t>
  </si>
  <si>
    <t>Chain 3_Depot 3_SKU 3_45597</t>
  </si>
  <si>
    <t>Chain 3_Depot 3_SKU 3_45627</t>
  </si>
  <si>
    <t>Chain 3_Depot 3_SKU 9_44562</t>
  </si>
  <si>
    <t>SKU 9</t>
  </si>
  <si>
    <t>Chain 3_Depot 3_SKU 9_44593</t>
  </si>
  <si>
    <t>Chain 3_Depot 3_SKU 9_44621</t>
  </si>
  <si>
    <t>Chain 3_Depot 3_SKU 9_44652</t>
  </si>
  <si>
    <t>Chain 3_Depot 3_SKU 9_44682</t>
  </si>
  <si>
    <t>Chain 3_Depot 3_SKU 9_44713</t>
  </si>
  <si>
    <t>Chain 3_Depot 3_SKU 9_44743</t>
  </si>
  <si>
    <t>Chain 3_Depot 3_SKU 9_44774</t>
  </si>
  <si>
    <t>Chain 3_Depot 3_SKU 9_44805</t>
  </si>
  <si>
    <t>Chain 3_Depot 3_SKU 9_44835</t>
  </si>
  <si>
    <t>Chain 3_Depot 3_SKU 9_44866</t>
  </si>
  <si>
    <t>Chain 3_Depot 3_SKU 9_44896</t>
  </si>
  <si>
    <t>Chain 3_Depot 3_SKU 9_44927</t>
  </si>
  <si>
    <t>Chain 3_Depot 3_SKU 9_44958</t>
  </si>
  <si>
    <t>Chain 3_Depot 3_SKU 9_44986</t>
  </si>
  <si>
    <t>Chain 3_Depot 3_SKU 9_45017</t>
  </si>
  <si>
    <t>Chain 3_Depot 3_SKU 9_45047</t>
  </si>
  <si>
    <t>Chain 3_Depot 3_SKU 9_45078</t>
  </si>
  <si>
    <t>Chain 3_Depot 3_SKU 9_45108</t>
  </si>
  <si>
    <t>Chain 3_Depot 3_SKU 9_45139</t>
  </si>
  <si>
    <t>Chain 3_Depot 3_SKU 9_45170</t>
  </si>
  <si>
    <t>Chain 3_Depot 3_SKU 9_45200</t>
  </si>
  <si>
    <t>Chain 3_Depot 3_SKU 9_45231</t>
  </si>
  <si>
    <t>Chain 3_Depot 3_SKU 9_45261</t>
  </si>
  <si>
    <t>Chain 3_Depot 3_SKU 9_45292</t>
  </si>
  <si>
    <t>Chain 3_Depot 3_SKU 9_45323</t>
  </si>
  <si>
    <t>Chain 3_Depot 3_SKU 9_45352</t>
  </si>
  <si>
    <t>Chain 3_Depot 3_SKU 9_45383</t>
  </si>
  <si>
    <t>Chain 3_Depot 3_SKU 9_45413</t>
  </si>
  <si>
    <t>Chain 3_Depot 3_SKU 9_45444</t>
  </si>
  <si>
    <t>Chain 3_Depot 3_SKU 9_45474</t>
  </si>
  <si>
    <t>Chain 3_Depot 3_SKU 9_45505</t>
  </si>
  <si>
    <t>Chain 3_Depot 3_SKU 9_45536</t>
  </si>
  <si>
    <t>Chain 3_Depot 3_SKU 9_45566</t>
  </si>
  <si>
    <t>Chain 3_Depot 3_SKU 9_45597</t>
  </si>
  <si>
    <t>Chain 3_Depot 3_SKU 9_45627</t>
  </si>
  <si>
    <t>Chain 4_Depot 2_SKU 3_44562</t>
  </si>
  <si>
    <t>Chain 4_Depot 2_SKU 3</t>
  </si>
  <si>
    <t>Chain 4</t>
  </si>
  <si>
    <t>Chain 4_Depot 2_SKU 3_44593</t>
  </si>
  <si>
    <t>Chain 4_Depot 2_SKU 3_44621</t>
  </si>
  <si>
    <t>Chain 4_Depot 2_SKU 3_44652</t>
  </si>
  <si>
    <t>Chain 4_Depot 2_SKU 3_44682</t>
  </si>
  <si>
    <t>Chain 4_Depot 2_SKU 3_44713</t>
  </si>
  <si>
    <t>Chain 4_Depot 2_SKU 3_44743</t>
  </si>
  <si>
    <t>Chain 4_Depot 2_SKU 3_44774</t>
  </si>
  <si>
    <t>Chain 4_Depot 2_SKU 3_45352</t>
  </si>
  <si>
    <t>Chain 4_Depot 2_SKU 3_45383</t>
  </si>
  <si>
    <t>Chain 4_Depot 2_SKU 3_45413</t>
  </si>
  <si>
    <t>Chain 4_Depot 2_SKU 3_45444</t>
  </si>
  <si>
    <t>Chain 4_Depot 2_SKU 3_45474</t>
  </si>
  <si>
    <t>Chain 4_Depot 2_SKU 3_45505</t>
  </si>
  <si>
    <t>Chain 4_Depot 2_SKU 3_45536</t>
  </si>
  <si>
    <t>Chain 4_Depot 2_SKU 3_45566</t>
  </si>
  <si>
    <t>Chain 4_Depot 2_SKU 3_45597</t>
  </si>
  <si>
    <t>Chain 4_Depot 2_SKU 3_45627</t>
  </si>
  <si>
    <t>Chain 4_Depot 2_SKU 4_44562</t>
  </si>
  <si>
    <t>Chain 4_Depot 2_SKU 4</t>
  </si>
  <si>
    <t>SKU 4</t>
  </si>
  <si>
    <t>Chain 4_Depot 2_SKU 4_44621</t>
  </si>
  <si>
    <t>Chain 4_Depot 2_SKU 4_45383</t>
  </si>
  <si>
    <t>Chain 4_Depot 2_SKU 4_45444</t>
  </si>
  <si>
    <t>Chain 4_Depot 2_SKU 4_45474</t>
  </si>
  <si>
    <t>Chain 4_Depot 2_SKU 4_45505</t>
  </si>
  <si>
    <t>Chain 4_Depot 2_SKU 4_45536</t>
  </si>
  <si>
    <t>Chain 4_Depot 2_SKU 4_45566</t>
  </si>
  <si>
    <t>Chain 4_Depot 2_SKU 4_45597</t>
  </si>
  <si>
    <t>Chain 4_Depot 2_SKU 4_45627</t>
  </si>
  <si>
    <t>Chain 4_Depot 6_SKU 10_44562</t>
  </si>
  <si>
    <t>Chain 4_Depot 6_SKU 10</t>
  </si>
  <si>
    <t>Depot 6</t>
  </si>
  <si>
    <t>SKU 10</t>
  </si>
  <si>
    <t>Chain 4_Depot 6_SKU 10_44593</t>
  </si>
  <si>
    <t>Chain 4_Depot 6_SKU 10_44621</t>
  </si>
  <si>
    <t>Chain 4_Depot 6_SKU 10_44682</t>
  </si>
  <si>
    <t>Chain 4_Depot 6_SKU 10_44866</t>
  </si>
  <si>
    <t>Chain 4_Depot 6_SKU 10_44896</t>
  </si>
  <si>
    <t>Chain 4_Depot 6_SKU 10_44927</t>
  </si>
  <si>
    <t>Chain 4_Depot 6_SKU 10_44958</t>
  </si>
  <si>
    <t>Chain 4_Depot 6_SKU 10_44986</t>
  </si>
  <si>
    <t>Chain 4_Depot 6_SKU 10_45383</t>
  </si>
  <si>
    <t>Chain 4_Depot 6_SKU 10_45413</t>
  </si>
  <si>
    <t>Chain 4_Depot 6_SKU 10_45444</t>
  </si>
  <si>
    <t>Chain 4_Depot 6_SKU 10_45474</t>
  </si>
  <si>
    <t>Chain 4_Depot 6_SKU 10_45505</t>
  </si>
  <si>
    <t>Chain 4_Depot 6_SKU 10_45536</t>
  </si>
  <si>
    <t>Chain 4_Depot 6_SKU 10_45566</t>
  </si>
  <si>
    <t>Chain 4_Depot 6_SKU 10_45597</t>
  </si>
  <si>
    <t>Chain 4_Depot 6_SKU 10_45627</t>
  </si>
  <si>
    <t>Chain 4_Depot 6_SKU 24_45444</t>
  </si>
  <si>
    <t>Chain 4_Depot 6_SKU 24</t>
  </si>
  <si>
    <t>SKU 24</t>
  </si>
  <si>
    <t>Chain 4_Depot 6_SKU 24_45474</t>
  </si>
  <si>
    <t>Chain 4_Depot 6_SKU 24_45505</t>
  </si>
  <si>
    <t>Chain 4_Depot 6_SKU 24_45536</t>
  </si>
  <si>
    <t>Chain 4_Depot 6_SKU 24_45566</t>
  </si>
  <si>
    <t>Chain 4_Depot 6_SKU 24_45597</t>
  </si>
  <si>
    <t>Chain 4_Depot 6_SKU 24_45627</t>
  </si>
  <si>
    <t>Chain 4_Depot 6_SKU 25_45566</t>
  </si>
  <si>
    <t>Chain 4_Depot 6_SKU 25</t>
  </si>
  <si>
    <t>Chain 4_Depot 6_SKU 25_45597</t>
  </si>
  <si>
    <t>Chain 4_Depot 6_SKU 25_45627</t>
  </si>
  <si>
    <t>Chain 4_Depot 7_SKU 12_44562</t>
  </si>
  <si>
    <t>SKU 12</t>
  </si>
  <si>
    <t>Chain 4_Depot 7_SKU 12_44593</t>
  </si>
  <si>
    <t>Chain 4_Depot 7_SKU 12_44621</t>
  </si>
  <si>
    <t>Chain 4_Depot 7_SKU 12_44652</t>
  </si>
  <si>
    <t>Chain 4_Depot 7_SKU 12_44682</t>
  </si>
  <si>
    <t>Chain 4_Depot 7_SKU 12_44713</t>
  </si>
  <si>
    <t>Chain 4_Depot 7_SKU 12_44743</t>
  </si>
  <si>
    <t>Chain 4_Depot 7_SKU 12_44774</t>
  </si>
  <si>
    <t>Chain 4_Depot 7_SKU 12_44805</t>
  </si>
  <si>
    <t>Chain 4_Depot 7_SKU 12_44835</t>
  </si>
  <si>
    <t>Chain 4_Depot 7_SKU 12_44866</t>
  </si>
  <si>
    <t>Chain 4_Depot 7_SKU 12_44896</t>
  </si>
  <si>
    <t>Chain 4_Depot 7_SKU 12_44927</t>
  </si>
  <si>
    <t>Chain 4_Depot 7_SKU 12_44958</t>
  </si>
  <si>
    <t>Chain 4_Depot 7_SKU 12_44986</t>
  </si>
  <si>
    <t>Chain 4_Depot 7_SKU 12_45017</t>
  </si>
  <si>
    <t>Chain 4_Depot 7_SKU 12_45047</t>
  </si>
  <si>
    <t>Chain 4_Depot 7_SKU 12_45078</t>
  </si>
  <si>
    <t>Chain 4_Depot 7_SKU 12_45108</t>
  </si>
  <si>
    <t>Chain 4_Depot 7_SKU 12_45139</t>
  </si>
  <si>
    <t>Chain 4_Depot 7_SKU 12_45170</t>
  </si>
  <si>
    <t>Chain 4_Depot 7_SKU 12_45200</t>
  </si>
  <si>
    <t>Chain 4_Depot 7_SKU 12_45231</t>
  </si>
  <si>
    <t>Chain 4_Depot 7_SKU 12_45261</t>
  </si>
  <si>
    <t>Chain 4_Depot 7_SKU 12_45292</t>
  </si>
  <si>
    <t>Chain 4_Depot 7_SKU 12_45323</t>
  </si>
  <si>
    <t>Chain 4_Depot 7_SKU 12_45352</t>
  </si>
  <si>
    <t>Chain 4_Depot 7_SKU 12_45383</t>
  </si>
  <si>
    <t>Chain 4_Depot 7_SKU 12_45413</t>
  </si>
  <si>
    <t>Chain 4_Depot 7_SKU 12_45444</t>
  </si>
  <si>
    <t>Chain 4_Depot 7_SKU 12_45474</t>
  </si>
  <si>
    <t>Chain 4_Depot 7_SKU 12_45505</t>
  </si>
  <si>
    <t>Chain 4_Depot 7_SKU 12_45536</t>
  </si>
  <si>
    <t>Chain 4_Depot 7_SKU 12_45566</t>
  </si>
  <si>
    <t>Chain 4_Depot 7_SKU 12_45597</t>
  </si>
  <si>
    <t>Chain 4_Depot 7_SKU 12_45627</t>
  </si>
  <si>
    <t>Chain 5_Depot 2_SKU 6_44562</t>
  </si>
  <si>
    <t>Chain 5</t>
  </si>
  <si>
    <t>SKU 6</t>
  </si>
  <si>
    <t>Chain 5_Depot 2_SKU 6_44593</t>
  </si>
  <si>
    <t>Chain 5_Depot 2_SKU 6_44621</t>
  </si>
  <si>
    <t>Chain 5_Depot 2_SKU 6_44652</t>
  </si>
  <si>
    <t>Chain 5_Depot 2_SKU 6_44682</t>
  </si>
  <si>
    <t>Chain 5_Depot 2_SKU 6_44713</t>
  </si>
  <si>
    <t>Chain 5_Depot 2_SKU 6_44743</t>
  </si>
  <si>
    <t>Chain 5_Depot 2_SKU 6_44774</t>
  </si>
  <si>
    <t>Chain 5_Depot 2_SKU 6_44805</t>
  </si>
  <si>
    <t>Chain 5_Depot 2_SKU 6_44835</t>
  </si>
  <si>
    <t>Chain 5_Depot 2_SKU 6_44866</t>
  </si>
  <si>
    <t>Chain 5_Depot 2_SKU 6_44896</t>
  </si>
  <si>
    <t>Chain 5_Depot 2_SKU 6_44927</t>
  </si>
  <si>
    <t>Chain 5_Depot 2_SKU 6_44958</t>
  </si>
  <si>
    <t>Chain 5_Depot 2_SKU 6_44986</t>
  </si>
  <si>
    <t>Chain 5_Depot 2_SKU 6_45017</t>
  </si>
  <si>
    <t>Chain 5_Depot 2_SKU 6_45047</t>
  </si>
  <si>
    <t>Chain 5_Depot 2_SKU 6_45078</t>
  </si>
  <si>
    <t>Chain 5_Depot 2_SKU 6_45108</t>
  </si>
  <si>
    <t>Chain 5_Depot 2_SKU 6_45139</t>
  </si>
  <si>
    <t>Chain 5_Depot 2_SKU 6_45170</t>
  </si>
  <si>
    <t>Chain 5_Depot 2_SKU 6_45200</t>
  </si>
  <si>
    <t>Chain 5_Depot 2_SKU 6_45231</t>
  </si>
  <si>
    <t>Chain 5_Depot 2_SKU 6_45261</t>
  </si>
  <si>
    <t>Chain 5_Depot 2_SKU 6_45292</t>
  </si>
  <si>
    <t>Chain 5_Depot 2_SKU 6_45323</t>
  </si>
  <si>
    <t>Chain 5_Depot 2_SKU 6_45352</t>
  </si>
  <si>
    <t>Chain 5_Depot 2_SKU 6_45383</t>
  </si>
  <si>
    <t>Chain 5_Depot 2_SKU 6_45413</t>
  </si>
  <si>
    <t>Chain 5_Depot 2_SKU 6_45444</t>
  </si>
  <si>
    <t>Chain 5_Depot 2_SKU 6_45474</t>
  </si>
  <si>
    <t>Chain 5_Depot 2_SKU 6_45505</t>
  </si>
  <si>
    <t>Chain 5_Depot 2_SKU 6_45536</t>
  </si>
  <si>
    <t>Chain 5_Depot 2_SKU 6_45566</t>
  </si>
  <si>
    <t>Chain 5_Depot 2_SKU 6_45597</t>
  </si>
  <si>
    <t>Chain 5_Depot 2_SKU 6_45627</t>
  </si>
  <si>
    <t>Chain 5_Depot 2_SKU 7_44562</t>
  </si>
  <si>
    <t>Chain 5_Depot 2_SKU 7</t>
  </si>
  <si>
    <t>SKU 7</t>
  </si>
  <si>
    <t>Chain 5_Depot 2_SKU 7_44593</t>
  </si>
  <si>
    <t>Chain 5_Depot 2_SKU 7_44621</t>
  </si>
  <si>
    <t>Chain 5_Depot 2_SKU 7_44652</t>
  </si>
  <si>
    <t>Chain 5_Depot 2_SKU 7_44682</t>
  </si>
  <si>
    <t>Chain 5_Depot 2_SKU 7_44713</t>
  </si>
  <si>
    <t>Chain 5_Depot 2_SKU 7_44743</t>
  </si>
  <si>
    <t>Chain 5_Depot 2_SKU 7_44774</t>
  </si>
  <si>
    <t>Chain 5_Depot 2_SKU 7_44805</t>
  </si>
  <si>
    <t>Chain 5_Depot 2_SKU 7_44835</t>
  </si>
  <si>
    <t>Chain 5_Depot 2_SKU 7_44866</t>
  </si>
  <si>
    <t>Chain 5_Depot 2_SKU 7_44896</t>
  </si>
  <si>
    <t>Chain 5_Depot 2_SKU 7_44927</t>
  </si>
  <si>
    <t>Chain 5_Depot 2_SKU 7_44958</t>
  </si>
  <si>
    <t>Chain 5_Depot 2_SKU 7_44986</t>
  </si>
  <si>
    <t>Chain 5_Depot 2_SKU 7_45017</t>
  </si>
  <si>
    <t>Chain 5_Depot 2_SKU 7_45047</t>
  </si>
  <si>
    <t>Chain 5_Depot 2_SKU 7_45078</t>
  </si>
  <si>
    <t>Chain 5_Depot 2_SKU 7_45108</t>
  </si>
  <si>
    <t>Chain 5_Depot 2_SKU 7_45139</t>
  </si>
  <si>
    <t>Chain 5_Depot 2_SKU 7_45170</t>
  </si>
  <si>
    <t>Chain 5_Depot 2_SKU 7_45200</t>
  </si>
  <si>
    <t>Chain 5_Depot 2_SKU 7_45231</t>
  </si>
  <si>
    <t>Chain 5_Depot 2_SKU 7_45261</t>
  </si>
  <si>
    <t>Chain 5_Depot 2_SKU 7_45292</t>
  </si>
  <si>
    <t>Chain 5_Depot 2_SKU 7_45323</t>
  </si>
  <si>
    <t>Chain 5_Depot 2_SKU 7_45352</t>
  </si>
  <si>
    <t>Chain 5_Depot 2_SKU 7_45383</t>
  </si>
  <si>
    <t>Chain 5_Depot 2_SKU 7_45413</t>
  </si>
  <si>
    <t>Chain 5_Depot 2_SKU 7_45444</t>
  </si>
  <si>
    <t>Chain 5_Depot 2_SKU 7_45474</t>
  </si>
  <si>
    <t>Chain 5_Depot 2_SKU 7_45505</t>
  </si>
  <si>
    <t>Chain 5_Depot 2_SKU 7_45536</t>
  </si>
  <si>
    <t>Chain 5_Depot 2_SKU 7_45566</t>
  </si>
  <si>
    <t>Chain 5_Depot 2_SKU 7_45597</t>
  </si>
  <si>
    <t>Chain 5_Depot 2_SKU 7_45627</t>
  </si>
  <si>
    <t>Chain 5_Depot 2_SKU 9_44986</t>
  </si>
  <si>
    <t>Chain 5_Depot 2_SKU 9</t>
  </si>
  <si>
    <t>Chain 5_Depot 2_SKU 9_45017</t>
  </si>
  <si>
    <t>Chain 5_Depot 2_SKU 9_45047</t>
  </si>
  <si>
    <t>Chain 5_Depot 2_SKU 9_45078</t>
  </si>
  <si>
    <t>Chain 5_Depot 2_SKU 9_45108</t>
  </si>
  <si>
    <t>Chain 5_Depot 2_SKU 9_45139</t>
  </si>
  <si>
    <t>Chain 5_Depot 2_SKU 9_45170</t>
  </si>
  <si>
    <t>Chain 5_Depot 2_SKU 9_45200</t>
  </si>
  <si>
    <t>Chain 5_Depot 2_SKU 9_45231</t>
  </si>
  <si>
    <t>Chain 5_Depot 2_SKU 9_45261</t>
  </si>
  <si>
    <t>Chain 5_Depot 2_SKU 9_45292</t>
  </si>
  <si>
    <t>Chain 5_Depot 2_SKU 9_45323</t>
  </si>
  <si>
    <t>Chain 5_Depot 2_SKU 9_45352</t>
  </si>
  <si>
    <t>Chain 5_Depot 2_SKU 9_45383</t>
  </si>
  <si>
    <t>Chain 5_Depot 2_SKU 9_45413</t>
  </si>
  <si>
    <t>Chain 5_Depot 2_SKU 9_45444</t>
  </si>
  <si>
    <t>Chain 5_Depot 2_SKU 9_45474</t>
  </si>
  <si>
    <t>Chain 5_Depot 2_SKU 9_45505</t>
  </si>
  <si>
    <t>Chain 5_Depot 2_SKU 9_45536</t>
  </si>
  <si>
    <t>Chain 5_Depot 2_SKU 9_45566</t>
  </si>
  <si>
    <t>Chain 5_Depot 2_SKU 9_45597</t>
  </si>
  <si>
    <t>Chain 5_Depot 2_SKU 9_45627</t>
  </si>
  <si>
    <t>Chain 5_Depot 4_SKU 18_44774</t>
  </si>
  <si>
    <t>Chain 5_Depot 4_SKU 18</t>
  </si>
  <si>
    <t>Depot 4</t>
  </si>
  <si>
    <t>SKU 18</t>
  </si>
  <si>
    <t>Chain 5_Depot 4_SKU 18_44805</t>
  </si>
  <si>
    <t>Chain 5_Depot 4_SKU 18_44835</t>
  </si>
  <si>
    <t>Chain 5_Depot 4_SKU 18_44866</t>
  </si>
  <si>
    <t>Chain 5_Depot 4_SKU 18_44896</t>
  </si>
  <si>
    <t>Chain 5_Depot 4_SKU 18_44927</t>
  </si>
  <si>
    <t>Chain 5_Depot 4_SKU 18_44958</t>
  </si>
  <si>
    <t>Chain 5_Depot 4_SKU 18_44986</t>
  </si>
  <si>
    <t>Chain 5_Depot 4_SKU 18_45017</t>
  </si>
  <si>
    <t>Chain 5_Depot 4_SKU 18_45047</t>
  </si>
  <si>
    <t>Chain 5_Depot 4_SKU 18_45078</t>
  </si>
  <si>
    <t>Chain 5_Depot 4_SKU 18_45108</t>
  </si>
  <si>
    <t>Chain 5_Depot 4_SKU 18_45139</t>
  </si>
  <si>
    <t>Chain 5_Depot 4_SKU 18_45170</t>
  </si>
  <si>
    <t>Chain 5_Depot 4_SKU 18_45200</t>
  </si>
  <si>
    <t>Chain 5_Depot 4_SKU 18_45231</t>
  </si>
  <si>
    <t>Chain 5_Depot 4_SKU 18_45292</t>
  </si>
  <si>
    <t>Chain 5_Depot 4_SKU 18_45323</t>
  </si>
  <si>
    <t>Chain 5_Depot 4_SKU 18_45352</t>
  </si>
  <si>
    <t>Chain 5_Depot 4_SKU 18_45383</t>
  </si>
  <si>
    <t>Chain 5_Depot 4_SKU 18_45413</t>
  </si>
  <si>
    <t>Chain 5_Depot 4_SKU 18_45444</t>
  </si>
  <si>
    <t>Chain 5_Depot 4_SKU 18_45474</t>
  </si>
  <si>
    <t>Chain 5_Depot 4_SKU 18_45505</t>
  </si>
  <si>
    <t>Chain 5_Depot 4_SKU 18_45536</t>
  </si>
  <si>
    <t>Chain 5_Depot 4_SKU 18_45566</t>
  </si>
  <si>
    <t>Chain 5_Depot 4_SKU 18_45597</t>
  </si>
  <si>
    <t>Chain 5_Depot 4_SKU 18_45627</t>
  </si>
  <si>
    <t>Chain 5_Depot 4_SKU 5_44562</t>
  </si>
  <si>
    <t>Chain 5_Depot 4_SKU 5</t>
  </si>
  <si>
    <t>SubCat 4</t>
  </si>
  <si>
    <t>SKU 5</t>
  </si>
  <si>
    <t>Chain 5_Depot 4_SKU 5_44593</t>
  </si>
  <si>
    <t>Chain 5_Depot 4_SKU 5_44621</t>
  </si>
  <si>
    <t>Chain 5_Depot 4_SKU 5_44652</t>
  </si>
  <si>
    <t>Chain 5_Depot 4_SKU 5_44682</t>
  </si>
  <si>
    <t>Chain 5_Depot 4_SKU 5_44713</t>
  </si>
  <si>
    <t>Chain 5_Depot 4_SKU 5_44743</t>
  </si>
  <si>
    <t>Chain 5_Depot 4_SKU 5_44774</t>
  </si>
  <si>
    <t>Chain 5_Depot 4_SKU 5_44805</t>
  </si>
  <si>
    <t>Chain 5_Depot 4_SKU 5_44835</t>
  </si>
  <si>
    <t>Chain 5_Depot 4_SKU 5_44866</t>
  </si>
  <si>
    <t>Chain 5_Depot 4_SKU 5_44896</t>
  </si>
  <si>
    <t>Chain 5_Depot 4_SKU 5_44927</t>
  </si>
  <si>
    <t>Chain 5_Depot 4_SKU 5_44958</t>
  </si>
  <si>
    <t>Chain 5_Depot 4_SKU 5_44986</t>
  </si>
  <si>
    <t>Chain 5_Depot 4_SKU 5_45017</t>
  </si>
  <si>
    <t>Chain 5_Depot 4_SKU 5_45047</t>
  </si>
  <si>
    <t>Chain 5_Depot 4_SKU 5_45078</t>
  </si>
  <si>
    <t>Chain 5_Depot 4_SKU 5_45108</t>
  </si>
  <si>
    <t>Chain 5_Depot 4_SKU 5_45139</t>
  </si>
  <si>
    <t>Chain 5_Depot 4_SKU 5_45170</t>
  </si>
  <si>
    <t>Chain 5_Depot 4_SKU 5_45200</t>
  </si>
  <si>
    <t>Chain 5_Depot 4_SKU 5_45231</t>
  </si>
  <si>
    <t>Chain 5_Depot 4_SKU 5_45261</t>
  </si>
  <si>
    <t>Chain 5_Depot 4_SKU 5_45292</t>
  </si>
  <si>
    <t>Chain 5_Depot 4_SKU 5_45323</t>
  </si>
  <si>
    <t>Chain 5_Depot 4_SKU 5_45352</t>
  </si>
  <si>
    <t>Chain 5_Depot 4_SKU 5_45383</t>
  </si>
  <si>
    <t>Chain 5_Depot 4_SKU 5_45413</t>
  </si>
  <si>
    <t>Chain 5_Depot 4_SKU 5_45444</t>
  </si>
  <si>
    <t>Chain 5_Depot 4_SKU 5_45474</t>
  </si>
  <si>
    <t>Chain 5_Depot 4_SKU 5_45505</t>
  </si>
  <si>
    <t>Chain 5_Depot 4_SKU 5_45536</t>
  </si>
  <si>
    <t>Chain 5_Depot 4_SKU 5_45566</t>
  </si>
  <si>
    <t>Chain 5_Depot 4_SKU 5_45597</t>
  </si>
  <si>
    <t>Chain 5_Depot 4_SKU 5_45627</t>
  </si>
  <si>
    <t>Chain 5_Depot 4_SKU 7_44562</t>
  </si>
  <si>
    <t>Chain 5_Depot 4_SKU 7</t>
  </si>
  <si>
    <t>Chain 5_Depot 4_SKU 7_44593</t>
  </si>
  <si>
    <t>Chain 5_Depot 4_SKU 7_44621</t>
  </si>
  <si>
    <t>Chain 5_Depot 4_SKU 7_44652</t>
  </si>
  <si>
    <t>Chain 5_Depot 4_SKU 7_44682</t>
  </si>
  <si>
    <t>Chain 5_Depot 4_SKU 7_44713</t>
  </si>
  <si>
    <t>Chain 5_Depot 4_SKU 7_44743</t>
  </si>
  <si>
    <t>Chain 5_Depot 4_SKU 7_44774</t>
  </si>
  <si>
    <t>Chain 5_Depot 4_SKU 7_44805</t>
  </si>
  <si>
    <t>Chain 5_Depot 4_SKU 7_44835</t>
  </si>
  <si>
    <t>Chain 5_Depot 4_SKU 7_44866</t>
  </si>
  <si>
    <t>Chain 5_Depot 4_SKU 7_44896</t>
  </si>
  <si>
    <t>Chain 5_Depot 4_SKU 7_44927</t>
  </si>
  <si>
    <t>Chain 5_Depot 4_SKU 7_44958</t>
  </si>
  <si>
    <t>Chain 5_Depot 4_SKU 7_44986</t>
  </si>
  <si>
    <t>Chain 5_Depot 4_SKU 7_45017</t>
  </si>
  <si>
    <t>Chain 5_Depot 4_SKU 7_45047</t>
  </si>
  <si>
    <t>Chain 5_Depot 4_SKU 7_45078</t>
  </si>
  <si>
    <t>Chain 5_Depot 4_SKU 7_45108</t>
  </si>
  <si>
    <t>Chain 5_Depot 4_SKU 7_45139</t>
  </si>
  <si>
    <t>Chain 5_Depot 4_SKU 7_45170</t>
  </si>
  <si>
    <t>Chain 5_Depot 4_SKU 7_45200</t>
  </si>
  <si>
    <t>Chain 5_Depot 4_SKU 7_45231</t>
  </si>
  <si>
    <t>Chain 5_Depot 4_SKU 7_45261</t>
  </si>
  <si>
    <t>Chain 5_Depot 4_SKU 7_45292</t>
  </si>
  <si>
    <t>Chain 5_Depot 4_SKU 7_45323</t>
  </si>
  <si>
    <t>Chain 5_Depot 4_SKU 7_45352</t>
  </si>
  <si>
    <t>Chain 5_Depot 4_SKU 7_45383</t>
  </si>
  <si>
    <t>Chain 5_Depot 4_SKU 7_45413</t>
  </si>
  <si>
    <t>Chain 5_Depot 4_SKU 7_45444</t>
  </si>
  <si>
    <t>Chain 5_Depot 4_SKU 7_45474</t>
  </si>
  <si>
    <t>Chain 5_Depot 4_SKU 7_45536</t>
  </si>
  <si>
    <t>Chain 5_Depot 4_SKU 7_45566</t>
  </si>
  <si>
    <t>Chain 5_Depot 4_SKU 7_45597</t>
  </si>
  <si>
    <t>Chain 5_Depot 4_SKU 7_45627</t>
  </si>
  <si>
    <t>Chain 5_Depot 4_SKU 9_45017</t>
  </si>
  <si>
    <t>Chain 5_Depot 4_SKU 9</t>
  </si>
  <si>
    <t>Chain 5_Depot 4_SKU 9_45047</t>
  </si>
  <si>
    <t>Chain 5_Depot 4_SKU 9_45078</t>
  </si>
  <si>
    <t>Chain 5_Depot 4_SKU 9_45108</t>
  </si>
  <si>
    <t>Chain 5_Depot 4_SKU 9_45139</t>
  </si>
  <si>
    <t>Chain 5_Depot 4_SKU 9_45170</t>
  </si>
  <si>
    <t>Chain 5_Depot 4_SKU 9_45200</t>
  </si>
  <si>
    <t>Chain 5_Depot 4_SKU 9_45231</t>
  </si>
  <si>
    <t>Chain 5_Depot 4_SKU 9_45261</t>
  </si>
  <si>
    <t>Chain 5_Depot 4_SKU 9_45292</t>
  </si>
  <si>
    <t>Chain 5_Depot 4_SKU 9_45323</t>
  </si>
  <si>
    <t>Chain 5_Depot 4_SKU 9_45352</t>
  </si>
  <si>
    <t>Chain 5_Depot 4_SKU 9_45383</t>
  </si>
  <si>
    <t>Chain 5_Depot 4_SKU 9_45413</t>
  </si>
  <si>
    <t>Chain 5_Depot 4_SKU 9_45444</t>
  </si>
  <si>
    <t>Chain 5_Depot 4_SKU 9_45474</t>
  </si>
  <si>
    <t>Chain 5_Depot 4_SKU 9_45505</t>
  </si>
  <si>
    <t>Chain 5_Depot 4_SKU 9_45536</t>
  </si>
  <si>
    <t>Chain 5_Depot 4_SKU 9_45566</t>
  </si>
  <si>
    <t>Chain 5_Depot 4_SKU 9_45597</t>
  </si>
  <si>
    <t>Chain 5_Depot 4_SKU 9_45627</t>
  </si>
  <si>
    <t>Chain 5_Depot 5_SKU 12_44562</t>
  </si>
  <si>
    <t>Chain 5_Depot 5_SKU 12</t>
  </si>
  <si>
    <t>Chain 5_Depot 5_SKU 12_44593</t>
  </si>
  <si>
    <t>Chain 5_Depot 5_SKU 12_44621</t>
  </si>
  <si>
    <t>Chain 5_Depot 5_SKU 12_44652</t>
  </si>
  <si>
    <t>Chain 5_Depot 5_SKU 12_44682</t>
  </si>
  <si>
    <t>Chain 5_Depot 5_SKU 12_44713</t>
  </si>
  <si>
    <t>Chain 5_Depot 5_SKU 12_44743</t>
  </si>
  <si>
    <t>Chain 5_Depot 5_SKU 12_44805</t>
  </si>
  <si>
    <t>Chain 5_Depot 5_SKU 12_44835</t>
  </si>
  <si>
    <t>Chain 5_Depot 5_SKU 12_44866</t>
  </si>
  <si>
    <t>Chain 5_Depot 5_SKU 12_44896</t>
  </si>
  <si>
    <t>Chain 5_Depot 5_SKU 12_44927</t>
  </si>
  <si>
    <t>Chain 5_Depot 5_SKU 12_44958</t>
  </si>
  <si>
    <t>Chain 5_Depot 5_SKU 12_44986</t>
  </si>
  <si>
    <t>Chain 5_Depot 5_SKU 12_45017</t>
  </si>
  <si>
    <t>Chain 5_Depot 5_SKU 12_45047</t>
  </si>
  <si>
    <t>Chain 5_Depot 5_SKU 12_45078</t>
  </si>
  <si>
    <t>Chain 5_Depot 5_SKU 12_45108</t>
  </si>
  <si>
    <t>Chain 5_Depot 5_SKU 12_45139</t>
  </si>
  <si>
    <t>Chain 5_Depot 5_SKU 12_45170</t>
  </si>
  <si>
    <t>Chain 5_Depot 5_SKU 12_45200</t>
  </si>
  <si>
    <t>Chain 5_Depot 5_SKU 12_45231</t>
  </si>
  <si>
    <t>Chain 5_Depot 5_SKU 12_45261</t>
  </si>
  <si>
    <t>Chain 5_Depot 5_SKU 12_45292</t>
  </si>
  <si>
    <t>Chain 5_Depot 5_SKU 12_45323</t>
  </si>
  <si>
    <t>Chain 5_Depot 5_SKU 12_45352</t>
  </si>
  <si>
    <t>Chain 5_Depot 5_SKU 12_45383</t>
  </si>
  <si>
    <t>Chain 5_Depot 5_SKU 12_45413</t>
  </si>
  <si>
    <t>Chain 5_Depot 5_SKU 12_45444</t>
  </si>
  <si>
    <t>Chain 5_Depot 5_SKU 12_45474</t>
  </si>
  <si>
    <t>Chain 5_Depot 5_SKU 12_45505</t>
  </si>
  <si>
    <t>Chain 5_Depot 5_SKU 12_45536</t>
  </si>
  <si>
    <t>Chain 5_Depot 5_SKU 12_45566</t>
  </si>
  <si>
    <t>Chain 5_Depot 5_SKU 12_45597</t>
  </si>
  <si>
    <t>Chain 5_Depot 5_SKU 12_45627</t>
  </si>
  <si>
    <t>Chain 5_Depot 6_SKU 10_44562</t>
  </si>
  <si>
    <t>Chain 5_Depot 6_SKU 10</t>
  </si>
  <si>
    <t>Chain 5_Depot 6_SKU 10_44593</t>
  </si>
  <si>
    <t>Chain 5_Depot 6_SKU 10_44621</t>
  </si>
  <si>
    <t>Chain 5_Depot 6_SKU 10_44652</t>
  </si>
  <si>
    <t>Chain 5_Depot 6_SKU 10_44682</t>
  </si>
  <si>
    <t>Chain 5_Depot 6_SKU 10_44713</t>
  </si>
  <si>
    <t>Chain 5_Depot 6_SKU 10_44743</t>
  </si>
  <si>
    <t>Chain 5_Depot 6_SKU 10_44774</t>
  </si>
  <si>
    <t>Chain 5_Depot 6_SKU 10_44805</t>
  </si>
  <si>
    <t>Chain 5_Depot 6_SKU 10_44835</t>
  </si>
  <si>
    <t>Chain 5_Depot 6_SKU 10_44866</t>
  </si>
  <si>
    <t>Chain 5_Depot 6_SKU 10_44896</t>
  </si>
  <si>
    <t>Chain 5_Depot 6_SKU 10_44927</t>
  </si>
  <si>
    <t>Chain 5_Depot 6_SKU 10_44958</t>
  </si>
  <si>
    <t>Chain 5_Depot 6_SKU 10_44986</t>
  </si>
  <si>
    <t>Chain 5_Depot 6_SKU 10_45017</t>
  </si>
  <si>
    <t>Chain 5_Depot 6_SKU 10_45047</t>
  </si>
  <si>
    <t>Chain 5_Depot 6_SKU 10_45078</t>
  </si>
  <si>
    <t>Chain 5_Depot 6_SKU 10_45108</t>
  </si>
  <si>
    <t>Chain 5_Depot 6_SKU 10_45139</t>
  </si>
  <si>
    <t>Chain 5_Depot 6_SKU 10_45170</t>
  </si>
  <si>
    <t>Chain 5_Depot 6_SKU 10_45200</t>
  </si>
  <si>
    <t>Chain 5_Depot 6_SKU 10_45231</t>
  </si>
  <si>
    <t>Chain 5_Depot 6_SKU 10_45261</t>
  </si>
  <si>
    <t>Chain 5_Depot 6_SKU 10_45292</t>
  </si>
  <si>
    <t>Chain 5_Depot 6_SKU 10_45323</t>
  </si>
  <si>
    <t>Chain 5_Depot 6_SKU 10_45352</t>
  </si>
  <si>
    <t>Chain 5_Depot 6_SKU 10_45383</t>
  </si>
  <si>
    <t>Chain 5_Depot 6_SKU 10_45413</t>
  </si>
  <si>
    <t>Chain 5_Depot 6_SKU 10_45444</t>
  </si>
  <si>
    <t>Chain 5_Depot 6_SKU 10_45474</t>
  </si>
  <si>
    <t>Chain 5_Depot 6_SKU 10_45505</t>
  </si>
  <si>
    <t>Chain 5_Depot 6_SKU 10_45536</t>
  </si>
  <si>
    <t>Chain 5_Depot 6_SKU 10_45566</t>
  </si>
  <si>
    <t>Chain 5_Depot 6_SKU 10_45597</t>
  </si>
  <si>
    <t>Chain 5_Depot 6_SKU 10_45627</t>
  </si>
  <si>
    <t>Chain 5_Depot 6_SKU 11_44562</t>
  </si>
  <si>
    <t>Chain 5_Depot 6_SKU 11</t>
  </si>
  <si>
    <t>Chain 5_Depot 6_SKU 11_44682</t>
  </si>
  <si>
    <t>Chain 5_Depot 6_SKU 11_44713</t>
  </si>
  <si>
    <t>Chain 5_Depot 6_SKU 11_44743</t>
  </si>
  <si>
    <t>Chain 5_Depot 6_SKU 11_44866</t>
  </si>
  <si>
    <t>Chain 5_Depot 6_SKU 11_44896</t>
  </si>
  <si>
    <t>Chain 5_Depot 6_SKU 11_44927</t>
  </si>
  <si>
    <t>Chain 5_Depot 6_SKU 11_44958</t>
  </si>
  <si>
    <t>Chain 5_Depot 6_SKU 11_44986</t>
  </si>
  <si>
    <t>Chain 5_Depot 6_SKU 11_45017</t>
  </si>
  <si>
    <t>Chain 5_Depot 6_SKU 11_45047</t>
  </si>
  <si>
    <t>Chain 5_Depot 6_SKU 11_45078</t>
  </si>
  <si>
    <t>Chain 5_Depot 6_SKU 11_45108</t>
  </si>
  <si>
    <t>Chain 5_Depot 6_SKU 11_45139</t>
  </si>
  <si>
    <t>Chain 5_Depot 6_SKU 11_45170</t>
  </si>
  <si>
    <t>Chain 5_Depot 6_SKU 11_45200</t>
  </si>
  <si>
    <t>Chain 5_Depot 6_SKU 11_45231</t>
  </si>
  <si>
    <t>Chain 5_Depot 6_SKU 11_45261</t>
  </si>
  <si>
    <t>Chain 5_Depot 6_SKU 11_45292</t>
  </si>
  <si>
    <t>Chain 5_Depot 6_SKU 11_45323</t>
  </si>
  <si>
    <t>Chain 5_Depot 6_SKU 11_45352</t>
  </si>
  <si>
    <t>Chain 5_Depot 6_SKU 11_45383</t>
  </si>
  <si>
    <t>Chain 5_Depot 6_SKU 11_45413</t>
  </si>
  <si>
    <t>Chain 5_Depot 6_SKU 11_45444</t>
  </si>
  <si>
    <t>Chain 5_Depot 6_SKU 11_45474</t>
  </si>
  <si>
    <t>Chain 5_Depot 6_SKU 11_45505</t>
  </si>
  <si>
    <t>Chain 5_Depot 6_SKU 11_45536</t>
  </si>
  <si>
    <t>Chain 5_Depot 6_SKU 11_45566</t>
  </si>
  <si>
    <t>Chain 5_Depot 6_SKU 11_45597</t>
  </si>
  <si>
    <t>Chain 5_Depot 6_SKU 11_45627</t>
  </si>
  <si>
    <t>Chain 5_Depot 6_SKU 8_44562</t>
  </si>
  <si>
    <t>Chain 5_Depot 6_SKU 8</t>
  </si>
  <si>
    <t>SKU 8</t>
  </si>
  <si>
    <t>Chain 5_Depot 6_SKU 8_44593</t>
  </si>
  <si>
    <t>Chain 5_Depot 6_SKU 8_44621</t>
  </si>
  <si>
    <t>Chain 5_Depot 6_SKU 8_44652</t>
  </si>
  <si>
    <t>Chain 5_Depot 6_SKU 8_44682</t>
  </si>
  <si>
    <t>Chain 5_Depot 6_SKU 8_44713</t>
  </si>
  <si>
    <t>Chain 5_Depot 6_SKU 8_44805</t>
  </si>
  <si>
    <t>Chain 5_Depot 6_SKU 8_44835</t>
  </si>
  <si>
    <t>Chain 5_Depot 6_SKU 8_44866</t>
  </si>
  <si>
    <t>Chain 5_Depot 6_SKU 8_44896</t>
  </si>
  <si>
    <t>Chain 5_Depot 6_SKU 8_44927</t>
  </si>
  <si>
    <t>Chain 5_Depot 6_SKU 8_44958</t>
  </si>
  <si>
    <t>Chain 5_Depot 6_SKU 8_44986</t>
  </si>
  <si>
    <t>Chain 5_Depot 6_SKU 8_45017</t>
  </si>
  <si>
    <t>Chain 5_Depot 6_SKU 8_45047</t>
  </si>
  <si>
    <t>Chain 5_Depot 6_SKU 8_45078</t>
  </si>
  <si>
    <t>Chain 5_Depot 6_SKU 8_45108</t>
  </si>
  <si>
    <t>Chain 5_Depot 6_SKU 8_45139</t>
  </si>
  <si>
    <t>Chain 5_Depot 6_SKU 8_45170</t>
  </si>
  <si>
    <t>Chain 5_Depot 6_SKU 8_45200</t>
  </si>
  <si>
    <t>Chain 5_Depot 6_SKU 8_45231</t>
  </si>
  <si>
    <t>Chain 5_Depot 6_SKU 8_45261</t>
  </si>
  <si>
    <t>Chain 5_Depot 6_SKU 8_45292</t>
  </si>
  <si>
    <t>Chain 5_Depot 6_SKU 8_45323</t>
  </si>
  <si>
    <t>Chain 5_Depot 6_SKU 8_45352</t>
  </si>
  <si>
    <t>Chain 5_Depot 6_SKU 8_45383</t>
  </si>
  <si>
    <t>Chain 5_Depot 6_SKU 8_45413</t>
  </si>
  <si>
    <t>Chain 5_Depot 6_SKU 8_45444</t>
  </si>
  <si>
    <t>Chain 5_Depot 6_SKU 8_45474</t>
  </si>
  <si>
    <t>Chain 5_Depot 6_SKU 8_45505</t>
  </si>
  <si>
    <t>Chain 5_Depot 6_SKU 8_45536</t>
  </si>
  <si>
    <t>Chain 5_Depot 6_SKU 8_45566</t>
  </si>
  <si>
    <t>Chain 5_Depot 6_SKU 8_45597</t>
  </si>
  <si>
    <t>Chain 5_Depot 6_SKU 8_45627</t>
  </si>
  <si>
    <t>Chain 5_Depot 7_SKU 13_44562</t>
  </si>
  <si>
    <t>Chain 5_Depot 7_SKU 13</t>
  </si>
  <si>
    <t>SKU 13</t>
  </si>
  <si>
    <t>Chain 5_Depot 7_SKU 13_44593</t>
  </si>
  <si>
    <t>Chain 5_Depot 7_SKU 13_44621</t>
  </si>
  <si>
    <t>Chain 5_Depot 7_SKU 13_44652</t>
  </si>
  <si>
    <t>Chain 5_Depot 7_SKU 13_44682</t>
  </si>
  <si>
    <t>Chain 5_Depot 7_SKU 13_44713</t>
  </si>
  <si>
    <t>Chain 5_Depot 7_SKU 13_44743</t>
  </si>
  <si>
    <t>Chain 5_Depot 7_SKU 13_44774</t>
  </si>
  <si>
    <t>Chain 5_Depot 7_SKU 13_44805</t>
  </si>
  <si>
    <t>Chain 5_Depot 7_SKU 13_44835</t>
  </si>
  <si>
    <t>Chain 5_Depot 7_SKU 13_44866</t>
  </si>
  <si>
    <t>Chain 5_Depot 7_SKU 13_44896</t>
  </si>
  <si>
    <t>Chain 5_Depot 7_SKU 13_44927</t>
  </si>
  <si>
    <t>Chain 5_Depot 7_SKU 13_44958</t>
  </si>
  <si>
    <t>Chain 5_Depot 7_SKU 13_44986</t>
  </si>
  <si>
    <t>Chain 5_Depot 7_SKU 13_45017</t>
  </si>
  <si>
    <t>Chain 5_Depot 7_SKU 13_45047</t>
  </si>
  <si>
    <t>Chain 5_Depot 7_SKU 13_45078</t>
  </si>
  <si>
    <t>Chain 5_Depot 7_SKU 13_45108</t>
  </si>
  <si>
    <t>Chain 5_Depot 7_SKU 13_45139</t>
  </si>
  <si>
    <t>Chain 5_Depot 7_SKU 13_45170</t>
  </si>
  <si>
    <t>Chain 5_Depot 7_SKU 13_45200</t>
  </si>
  <si>
    <t>Chain 5_Depot 7_SKU 13_45231</t>
  </si>
  <si>
    <t>Chain 5_Depot 7_SKU 13_45261</t>
  </si>
  <si>
    <t>Chain 5_Depot 7_SKU 13_45292</t>
  </si>
  <si>
    <t>Chain 5_Depot 7_SKU 13_45323</t>
  </si>
  <si>
    <t>Chain 5_Depot 7_SKU 13_45352</t>
  </si>
  <si>
    <t>Chain 5_Depot 7_SKU 13_45383</t>
  </si>
  <si>
    <t>Chain 5_Depot 7_SKU 13_45413</t>
  </si>
  <si>
    <t>Chain 5_Depot 7_SKU 13_45444</t>
  </si>
  <si>
    <t>Chain 5_Depot 7_SKU 13_45474</t>
  </si>
  <si>
    <t>Chain 5_Depot 7_SKU 13_45505</t>
  </si>
  <si>
    <t>Chain 5_Depot 7_SKU 13_45536</t>
  </si>
  <si>
    <t>Chain 5_Depot 7_SKU 13_45566</t>
  </si>
  <si>
    <t>Chain 5_Depot 7_SKU 13_45597</t>
  </si>
  <si>
    <t>Chain 5_Depot 7_SKU 13_45627</t>
  </si>
  <si>
    <t>Chain 5_Depot 7_SKU 14_45200</t>
  </si>
  <si>
    <t>Chain 5_Depot 7_SKU 14</t>
  </si>
  <si>
    <t>Chain 5_Depot 7_SKU 14_45231</t>
  </si>
  <si>
    <t>Chain 5_Depot 7_SKU 14_45323</t>
  </si>
  <si>
    <t>Chain 5_Depot 7_SKU 14_45383</t>
  </si>
  <si>
    <t>Chain 5_Depot 7_SKU 14_45413</t>
  </si>
  <si>
    <t>Chain 5_Depot 7_SKU 14_45444</t>
  </si>
  <si>
    <t>Chain 5_Depot 7_SKU 14_45474</t>
  </si>
  <si>
    <t>Chain 5_Depot 7_SKU 14_45536</t>
  </si>
  <si>
    <t>Chain 5_Depot 7_SKU 14_45566</t>
  </si>
  <si>
    <t>Chain 5_Depot 7_SKU 14_45597</t>
  </si>
  <si>
    <t>Chain 5_Depot 7_SKU 14_45627</t>
  </si>
  <si>
    <t>Chain 5_Depot 7_SKU 3_44562</t>
  </si>
  <si>
    <t>Chain 5_Depot 7_SKU 3</t>
  </si>
  <si>
    <t>Chain 5_Depot 7_SKU 3_44593</t>
  </si>
  <si>
    <t>Chain 5_Depot 7_SKU 3_44621</t>
  </si>
  <si>
    <t>Chain 5_Depot 7_SKU 3_44652</t>
  </si>
  <si>
    <t>Chain 5_Depot 7_SKU 3_44682</t>
  </si>
  <si>
    <t>Chain 5_Depot 7_SKU 3_44713</t>
  </si>
  <si>
    <t>Chain 5_Depot 7_SKU 3_44743</t>
  </si>
  <si>
    <t>Chain 5_Depot 7_SKU 3_44774</t>
  </si>
  <si>
    <t>Chain 5_Depot 7_SKU 3_44805</t>
  </si>
  <si>
    <t>Chain 5_Depot 7_SKU 3_44835</t>
  </si>
  <si>
    <t>Chain 5_Depot 7_SKU 3_44866</t>
  </si>
  <si>
    <t>Chain 5_Depot 7_SKU 3_44896</t>
  </si>
  <si>
    <t>Chain 5_Depot 7_SKU 3_44927</t>
  </si>
  <si>
    <t>Chain 5_Depot 7_SKU 3_44958</t>
  </si>
  <si>
    <t>Chain 5_Depot 7_SKU 3_44986</t>
  </si>
  <si>
    <t>Chain 5_Depot 7_SKU 3_45017</t>
  </si>
  <si>
    <t>Chain 5_Depot 7_SKU 3_45047</t>
  </si>
  <si>
    <t>Chain 5_Depot 7_SKU 3_45078</t>
  </si>
  <si>
    <t>Chain 5_Depot 7_SKU 3_45108</t>
  </si>
  <si>
    <t>Chain 5_Depot 7_SKU 3_45139</t>
  </si>
  <si>
    <t>Chain 5_Depot 7_SKU 3_45170</t>
  </si>
  <si>
    <t>Chain 5_Depot 7_SKU 3_45200</t>
  </si>
  <si>
    <t>Chain 5_Depot 7_SKU 3_45231</t>
  </si>
  <si>
    <t>Chain 5_Depot 7_SKU 3_45261</t>
  </si>
  <si>
    <t>Chain 5_Depot 7_SKU 3_45292</t>
  </si>
  <si>
    <t>Chain 5_Depot 7_SKU 3_45323</t>
  </si>
  <si>
    <t>Chain 5_Depot 7_SKU 3_45352</t>
  </si>
  <si>
    <t>Chain 5_Depot 7_SKU 3_45383</t>
  </si>
  <si>
    <t>Chain 5_Depot 7_SKU 3_45413</t>
  </si>
  <si>
    <t>Chain 5_Depot 7_SKU 3_45444</t>
  </si>
  <si>
    <t>Chain 5_Depot 7_SKU 3_45474</t>
  </si>
  <si>
    <t>Chain 5_Depot 7_SKU 3_45505</t>
  </si>
  <si>
    <t>Chain 5_Depot 7_SKU 3_45536</t>
  </si>
  <si>
    <t>Chain 5_Depot 7_SKU 3_45566</t>
  </si>
  <si>
    <t>Chain 5_Depot 7_SKU 3_45597</t>
  </si>
  <si>
    <t>Chain 5_Depot 7_SKU 3_45627</t>
  </si>
  <si>
    <t>Chain 5_Depot 7_SKU 8_44562</t>
  </si>
  <si>
    <t>Chain 5_Depot 7_SKU 8</t>
  </si>
  <si>
    <t>Chain 5_Depot 7_SKU 8_44593</t>
  </si>
  <si>
    <t>Chain 5_Depot 7_SKU 8_44621</t>
  </si>
  <si>
    <t>Chain 5_Depot 7_SKU 8_44652</t>
  </si>
  <si>
    <t>Chain 5_Depot 7_SKU 8_44682</t>
  </si>
  <si>
    <t>Chain 5_Depot 7_SKU 8_44713</t>
  </si>
  <si>
    <t>Chain 5_Depot 7_SKU 8_44743</t>
  </si>
  <si>
    <t>Chain 5_Depot 7_SKU 8_44774</t>
  </si>
  <si>
    <t>Chain 5_Depot 7_SKU 8_44805</t>
  </si>
  <si>
    <t>Chain 5_Depot 7_SKU 8_44835</t>
  </si>
  <si>
    <t>Chain 5_Depot 7_SKU 8_44866</t>
  </si>
  <si>
    <t>Chain 5_Depot 7_SKU 8_44896</t>
  </si>
  <si>
    <t>Chain 5_Depot 7_SKU 8_44927</t>
  </si>
  <si>
    <t>Chain 5_Depot 7_SKU 8_44958</t>
  </si>
  <si>
    <t>Chain 5_Depot 7_SKU 8_44986</t>
  </si>
  <si>
    <t>Chain 5_Depot 7_SKU 8_45017</t>
  </si>
  <si>
    <t>Chain 5_Depot 7_SKU 8_45047</t>
  </si>
  <si>
    <t>Chain 5_Depot 7_SKU 8_45078</t>
  </si>
  <si>
    <t>Chain 5_Depot 7_SKU 8_45108</t>
  </si>
  <si>
    <t>Chain 5_Depot 7_SKU 8_45139</t>
  </si>
  <si>
    <t>Chain 5_Depot 7_SKU 8_45170</t>
  </si>
  <si>
    <t>Chain 5_Depot 7_SKU 8_45200</t>
  </si>
  <si>
    <t>Chain 5_Depot 7_SKU 8_45231</t>
  </si>
  <si>
    <t>Chain 5_Depot 7_SKU 8_45261</t>
  </si>
  <si>
    <t>Chain 5_Depot 7_SKU 8_45292</t>
  </si>
  <si>
    <t>Chain 5_Depot 7_SKU 8_45323</t>
  </si>
  <si>
    <t>Chain 5_Depot 7_SKU 8_45352</t>
  </si>
  <si>
    <t>Chain 5_Depot 7_SKU 8_45383</t>
  </si>
  <si>
    <t>Chain 5_Depot 7_SKU 8_45413</t>
  </si>
  <si>
    <t>Chain 5_Depot 7_SKU 8_45444</t>
  </si>
  <si>
    <t>Chain 5_Depot 7_SKU 8_45474</t>
  </si>
  <si>
    <t>Chain 5_Depot 7_SKU 8_45505</t>
  </si>
  <si>
    <t>Chain 5_Depot 7_SKU 8_45536</t>
  </si>
  <si>
    <t>Chain 5_Depot 7_SKU 8_45566</t>
  </si>
  <si>
    <t>Chain 5_Depot 7_SKU 8_45597</t>
  </si>
  <si>
    <t>Chain 5_Depot 7_SKU 8_45627</t>
  </si>
  <si>
    <t>Chain 5_Depot 8_SKU 11_44593</t>
  </si>
  <si>
    <t>Chain 5_Depot 8_SKU 11</t>
  </si>
  <si>
    <t>Chain 5_Depot 8_SKU 11_44866</t>
  </si>
  <si>
    <t>Chain 5_Depot 8_SKU 11_44896</t>
  </si>
  <si>
    <t>Chain 5_Depot 8_SKU 11_44927</t>
  </si>
  <si>
    <t>Chain 5_Depot 8_SKU 11_44958</t>
  </si>
  <si>
    <t>Chain 5_Depot 8_SKU 11_44986</t>
  </si>
  <si>
    <t>Chain 5_Depot 8_SKU 11_45017</t>
  </si>
  <si>
    <t>Chain 5_Depot 8_SKU 11_45047</t>
  </si>
  <si>
    <t>Chain 5_Depot 8_SKU 11_45078</t>
  </si>
  <si>
    <t>Chain 5_Depot 8_SKU 11_45108</t>
  </si>
  <si>
    <t>Chain 5_Depot 8_SKU 11_45139</t>
  </si>
  <si>
    <t>Chain 5_Depot 8_SKU 11_45170</t>
  </si>
  <si>
    <t>Chain 5_Depot 8_SKU 11_45200</t>
  </si>
  <si>
    <t>Chain 5_Depot 8_SKU 11_45231</t>
  </si>
  <si>
    <t>Chain 5_Depot 8_SKU 11_45261</t>
  </si>
  <si>
    <t>Chain 5_Depot 8_SKU 11_45292</t>
  </si>
  <si>
    <t>Chain 5_Depot 8_SKU 11_45323</t>
  </si>
  <si>
    <t>Chain 5_Depot 8_SKU 11_45352</t>
  </si>
  <si>
    <t>Chain 5_Depot 8_SKU 11_45383</t>
  </si>
  <si>
    <t>Chain 5_Depot 8_SKU 11_45413</t>
  </si>
  <si>
    <t>Chain 5_Depot 8_SKU 11_45444</t>
  </si>
  <si>
    <t>Chain 5_Depot 8_SKU 11_45474</t>
  </si>
  <si>
    <t>Chain 5_Depot 8_SKU 11_45505</t>
  </si>
  <si>
    <t>Chain 5_Depot 8_SKU 11_45536</t>
  </si>
  <si>
    <t>Chain 5_Depot 8_SKU 11_45566</t>
  </si>
  <si>
    <t>Chain 5_Depot 8_SKU 11_45597</t>
  </si>
  <si>
    <t>Chain 5_Depot 8_SKU 11_45627</t>
  </si>
  <si>
    <t>Chain 5_Depot 8_SKU 9_45017</t>
  </si>
  <si>
    <t>Chain 5_Depot 8_SKU 9</t>
  </si>
  <si>
    <t>Chain 5_Depot 8_SKU 9_45047</t>
  </si>
  <si>
    <t>Chain 5_Depot 8_SKU 9_45078</t>
  </si>
  <si>
    <t>Chain 5_Depot 8_SKU 9_45139</t>
  </si>
  <si>
    <t>Chain 5_Depot 8_SKU 9_45170</t>
  </si>
  <si>
    <t>Chain 5_Depot 8_SKU 9_45200</t>
  </si>
  <si>
    <t>Chain 5_Depot 8_SKU 9_45231</t>
  </si>
  <si>
    <t>Chain 5_Depot 8_SKU 9_45261</t>
  </si>
  <si>
    <t>Chain 5_Depot 8_SKU 9_45292</t>
  </si>
  <si>
    <t>Chain 5_Depot 8_SKU 9_45323</t>
  </si>
  <si>
    <t>Chain 5_Depot 8_SKU 9_45352</t>
  </si>
  <si>
    <t>Chain 5_Depot 8_SKU 9_45383</t>
  </si>
  <si>
    <t>Chain 5_Depot 8_SKU 9_45413</t>
  </si>
  <si>
    <t>Chain 5_Depot 8_SKU 9_45444</t>
  </si>
  <si>
    <t>Chain 5_Depot 8_SKU 9_45474</t>
  </si>
  <si>
    <t>Chain 5_Depot 8_SKU 9_45505</t>
  </si>
  <si>
    <t>Chain 5_Depot 8_SKU 9_45536</t>
  </si>
  <si>
    <t>Chain 5_Depot 8_SKU 9_45566</t>
  </si>
  <si>
    <t>Chain 5_Depot 8_SKU 9_45597</t>
  </si>
  <si>
    <t>Chain 5_Depot 8_SKU 9_45627</t>
  </si>
  <si>
    <t>Chain 5_Depot 9_SKU 2_45017</t>
  </si>
  <si>
    <t>Chain 5_Depot 9_SKU 2</t>
  </si>
  <si>
    <t>Chain 5_Depot 9_SKU 2_45047</t>
  </si>
  <si>
    <t>Chain 5_Depot 9_SKU 2_45078</t>
  </si>
  <si>
    <t>Chain 5_Depot 9_SKU 2_45108</t>
  </si>
  <si>
    <t>Chain 5_Depot 9_SKU 2_45139</t>
  </si>
  <si>
    <t>Chain 5_Depot 9_SKU 2_45170</t>
  </si>
  <si>
    <t>Chain 5_Depot 9_SKU 2_45200</t>
  </si>
  <si>
    <t>Chain 5_Depot 9_SKU 2_45231</t>
  </si>
  <si>
    <t>Chain 5_Depot 9_SKU 2_45261</t>
  </si>
  <si>
    <t>Chain 5_Depot 9_SKU 2_45444</t>
  </si>
  <si>
    <t>Chain 6_Depot 2_SKU 21_44896</t>
  </si>
  <si>
    <t>Chain 6_Depot 2_SKU 21</t>
  </si>
  <si>
    <t>Chain 6</t>
  </si>
  <si>
    <t>SubCat 9</t>
  </si>
  <si>
    <t>SKU 21</t>
  </si>
  <si>
    <t>Chain 6_Depot 2_SKU 21_44927</t>
  </si>
  <si>
    <t>Chain 6_Depot 2_SKU 21_44958</t>
  </si>
  <si>
    <t>Chain 6_Depot 2_SKU 21_44986</t>
  </si>
  <si>
    <t>Chain 6_Depot 2_SKU 21_45017</t>
  </si>
  <si>
    <t>Chain 6_Depot 2_SKU 21_45047</t>
  </si>
  <si>
    <t>Chain 6_Depot 2_SKU 21_45078</t>
  </si>
  <si>
    <t>Chain 6_Depot 2_SKU 21_45108</t>
  </si>
  <si>
    <t>Chain 6_Depot 2_SKU 21_45139</t>
  </si>
  <si>
    <t>Chain 6_Depot 2_SKU 21_45170</t>
  </si>
  <si>
    <t>Chain 6_Depot 2_SKU 21_45200</t>
  </si>
  <si>
    <t>Chain 6_Depot 2_SKU 21_45231</t>
  </si>
  <si>
    <t>Chain 6_Depot 2_SKU 21_45261</t>
  </si>
  <si>
    <t>Chain 6_Depot 2_SKU 21_45292</t>
  </si>
  <si>
    <t>Chain 6_Depot 2_SKU 21_45323</t>
  </si>
  <si>
    <t>Chain 6_Depot 2_SKU 21_45352</t>
  </si>
  <si>
    <t>Chain 6_Depot 2_SKU 21_45383</t>
  </si>
  <si>
    <t>Chain 6_Depot 2_SKU 21_45413</t>
  </si>
  <si>
    <t>Chain 6_Depot 2_SKU 21_45444</t>
  </si>
  <si>
    <t>Chain 6_Depot 2_SKU 21_45474</t>
  </si>
  <si>
    <t>Chain 6_Depot 2_SKU 21_45505</t>
  </si>
  <si>
    <t>Chain 6_Depot 2_SKU 21_45536</t>
  </si>
  <si>
    <t>Chain 6_Depot 2_SKU 21_45566</t>
  </si>
  <si>
    <t>Chain 6_Depot 2_SKU 21_45597</t>
  </si>
  <si>
    <t>Chain 6_Depot 2_SKU 21_45627</t>
  </si>
  <si>
    <t>Chain 6_Depot 4_SKU 14_45383</t>
  </si>
  <si>
    <t>Chain 6_Depot 4_SKU 14</t>
  </si>
  <si>
    <t>Chain 6_Depot 4_SKU 14_45413</t>
  </si>
  <si>
    <t>Chain 6_Depot 4_SKU 14_45444</t>
  </si>
  <si>
    <t>Chain 6_Depot 4_SKU 14_45474</t>
  </si>
  <si>
    <t>Chain 6_Depot 4_SKU 14_45505</t>
  </si>
  <si>
    <t>Chain 6_Depot 4_SKU 14_45536</t>
  </si>
  <si>
    <t>Chain 6_Depot 4_SKU 14_45566</t>
  </si>
  <si>
    <t>Chain 6_Depot 4_SKU 14_45597</t>
  </si>
  <si>
    <t>Chain 6_Depot 4_SKU 14_45627</t>
  </si>
  <si>
    <t>Chain 6_Depot 4_SKU 25_45627</t>
  </si>
  <si>
    <t>Chain 6_Depot 4_SKU 25</t>
  </si>
  <si>
    <t>Chain 6_Depot 4_SKU 8_45323</t>
  </si>
  <si>
    <t>Chain 6_Depot 4_SKU 8</t>
  </si>
  <si>
    <t>Chain 6_Depot 4_SKU 8_45352</t>
  </si>
  <si>
    <t>Chain 6_Depot 4_SKU 8_45383</t>
  </si>
  <si>
    <t>Chain 6_Depot 4_SKU 8_45413</t>
  </si>
  <si>
    <t>Chain 6_Depot 4_SKU 8_45444</t>
  </si>
  <si>
    <t>Chain 6_Depot 4_SKU 8_45474</t>
  </si>
  <si>
    <t>Chain 6_Depot 4_SKU 8_45536</t>
  </si>
  <si>
    <t>Chain 6_Depot 4_SKU 8_45566</t>
  </si>
  <si>
    <t>Chain 6_Depot 4_SKU 8_45597</t>
  </si>
  <si>
    <t>Chain 6_Depot 4_SKU 8_45627</t>
  </si>
  <si>
    <t>Chain 6_Depot 4_SKU 9_44652</t>
  </si>
  <si>
    <t>Chain 6_Depot 4_SKU 9</t>
  </si>
  <si>
    <t>Chain 6_Depot 4_SKU 9_45108</t>
  </si>
  <si>
    <t>Chain 6_Depot 4_SKU 9_45139</t>
  </si>
  <si>
    <t>Chain 6_Depot 4_SKU 9_45170</t>
  </si>
  <si>
    <t>Chain 6_Depot 4_SKU 9_45200</t>
  </si>
  <si>
    <t>Chain 6_Depot 4_SKU 9_45231</t>
  </si>
  <si>
    <t>Chain 6_Depot 4_SKU 9_45261</t>
  </si>
  <si>
    <t>Chain 6_Depot 4_SKU 9_45292</t>
  </si>
  <si>
    <t>Chain 6_Depot 4_SKU 9_45323</t>
  </si>
  <si>
    <t>Chain 6_Depot 4_SKU 9_45352</t>
  </si>
  <si>
    <t>Chain 6_Depot 4_SKU 9_45383</t>
  </si>
  <si>
    <t>Chain 6_Depot 4_SKU 9_45413</t>
  </si>
  <si>
    <t>Chain 6_Depot 4_SKU 9_45444</t>
  </si>
  <si>
    <t>Chain 6_Depot 4_SKU 9_45474</t>
  </si>
  <si>
    <t>Chain 6_Depot 4_SKU 9_45505</t>
  </si>
  <si>
    <t>Chain 6_Depot 4_SKU 9_45536</t>
  </si>
  <si>
    <t>Chain 6_Depot 4_SKU 9_45566</t>
  </si>
  <si>
    <t>Chain 6_Depot 4_SKU 9_45597</t>
  </si>
  <si>
    <t>Chain 6_Depot 4_SKU 9_45627</t>
  </si>
  <si>
    <t>Chain 6_Depot 5_SKU 14_45383</t>
  </si>
  <si>
    <t>Chain 6_Depot 5_SKU 14</t>
  </si>
  <si>
    <t>Chain 6_Depot 5_SKU 14_45413</t>
  </si>
  <si>
    <t>Chain 6_Depot 5_SKU 14_45444</t>
  </si>
  <si>
    <t>Chain 6_Depot 5_SKU 14_45474</t>
  </si>
  <si>
    <t>Chain 6_Depot 5_SKU 14_45505</t>
  </si>
  <si>
    <t>Chain 6_Depot 5_SKU 14_45536</t>
  </si>
  <si>
    <t>Chain 6_Depot 5_SKU 14_45566</t>
  </si>
  <si>
    <t>Chain 6_Depot 5_SKU 14_45597</t>
  </si>
  <si>
    <t>Chain 6_Depot 5_SKU 14_45627</t>
  </si>
  <si>
    <t>Chain 6_Depot 5_SKU 20_45017</t>
  </si>
  <si>
    <t>Chain 6_Depot 5_SKU 20</t>
  </si>
  <si>
    <t>Chain 6_Depot 5_SKU 20_45047</t>
  </si>
  <si>
    <t>Chain 6_Depot 5_SKU 20_45078</t>
  </si>
  <si>
    <t>Chain 6_Depot 5_SKU 20_45108</t>
  </si>
  <si>
    <t>Chain 6_Depot 5_SKU 20_45139</t>
  </si>
  <si>
    <t>Chain 6_Depot 5_SKU 20_45170</t>
  </si>
  <si>
    <t>Chain 6_Depot 5_SKU 20_45200</t>
  </si>
  <si>
    <t>Chain 6_Depot 5_SKU 20_45231</t>
  </si>
  <si>
    <t>Chain 6_Depot 5_SKU 20_45261</t>
  </si>
  <si>
    <t>Chain 6_Depot 5_SKU 20_45292</t>
  </si>
  <si>
    <t>Chain 6_Depot 5_SKU 20_45323</t>
  </si>
  <si>
    <t>Chain 6_Depot 5_SKU 20_45352</t>
  </si>
  <si>
    <t>Chain 6_Depot 5_SKU 20_45383</t>
  </si>
  <si>
    <t>Chain 6_Depot 5_SKU 20_45413</t>
  </si>
  <si>
    <t>Chain 6_Depot 5_SKU 20_45444</t>
  </si>
  <si>
    <t>Chain 6_Depot 5_SKU 20_45474</t>
  </si>
  <si>
    <t>Chain 6_Depot 5_SKU 20_45505</t>
  </si>
  <si>
    <t>Chain 6_Depot 5_SKU 20_45536</t>
  </si>
  <si>
    <t>Chain 6_Depot 5_SKU 20_45566</t>
  </si>
  <si>
    <t>Chain 6_Depot 5_SKU 20_45597</t>
  </si>
  <si>
    <t>Chain 6_Depot 5_SKU 20_45627</t>
  </si>
  <si>
    <t>Chain 6_Depot 5_SKU 26_45597</t>
  </si>
  <si>
    <t>Chain 6_Depot 5_SKU 26</t>
  </si>
  <si>
    <t>Chain 6_Depot 9_SKU 21_44896</t>
  </si>
  <si>
    <t>Chain 6_Depot 9_SKU 21</t>
  </si>
  <si>
    <t>Chain 6_Depot 9_SKU 21_44927</t>
  </si>
  <si>
    <t>Chain 6_Depot 9_SKU 21_44958</t>
  </si>
  <si>
    <t>Chain 6_Depot 9_SKU 21_44986</t>
  </si>
  <si>
    <t>Chain 6_Depot 9_SKU 21_45017</t>
  </si>
  <si>
    <t>Chain 6_Depot 9_SKU 21_45047</t>
  </si>
  <si>
    <t>Chain 6_Depot 9_SKU 21_45078</t>
  </si>
  <si>
    <t>Chain 6_Depot 9_SKU 21_45108</t>
  </si>
  <si>
    <t>Chain 6_Depot 9_SKU 21_45139</t>
  </si>
  <si>
    <t>Chain 6_Depot 9_SKU 21_45170</t>
  </si>
  <si>
    <t>Chain 6_Depot 9_SKU 21_45200</t>
  </si>
  <si>
    <t>Chain 6_Depot 9_SKU 21_45231</t>
  </si>
  <si>
    <t>Chain 6_Depot 9_SKU 21_45261</t>
  </si>
  <si>
    <t>Chain 6_Depot 9_SKU 21_45292</t>
  </si>
  <si>
    <t>Chain 6_Depot 9_SKU 21_45323</t>
  </si>
  <si>
    <t>Chain 6_Depot 9_SKU 21_45352</t>
  </si>
  <si>
    <t>Chain 6_Depot 9_SKU 21_45383</t>
  </si>
  <si>
    <t>Chain 6_Depot 9_SKU 21_45413</t>
  </si>
  <si>
    <t>Chain 6_Depot 9_SKU 21_45444</t>
  </si>
  <si>
    <t>Chain 6_Depot 9_SKU 21_45474</t>
  </si>
  <si>
    <t>Chain 6_Depot 9_SKU 21_45505</t>
  </si>
  <si>
    <t>Chain 6_Depot 9_SKU 21_45536</t>
  </si>
  <si>
    <t>Chain 6_Depot 9_SKU 21_45566</t>
  </si>
  <si>
    <t>Chain 6_Depot 9_SKU 21_45597</t>
  </si>
  <si>
    <t>Chain 6_Depot 9_SKU 21_45627</t>
  </si>
  <si>
    <t>Key_new</t>
  </si>
  <si>
    <t>Key_old</t>
  </si>
  <si>
    <t>Recent Trend Category</t>
  </si>
  <si>
    <t>Long-term Trend Category</t>
  </si>
  <si>
    <t>Alert</t>
  </si>
  <si>
    <t>Grofers_Ahmedabad_Product_9</t>
  </si>
  <si>
    <t>Grofers</t>
  </si>
  <si>
    <t>Ahmedabad</t>
  </si>
  <si>
    <t>Product_9</t>
  </si>
  <si>
    <t>Growing</t>
  </si>
  <si>
    <t>No Alert</t>
  </si>
  <si>
    <t>Grofers_Mundka_Product_21</t>
  </si>
  <si>
    <t>Mundka</t>
  </si>
  <si>
    <t>Product_21</t>
  </si>
  <si>
    <t>Grofers_Hyderabad_Product_21</t>
  </si>
  <si>
    <t>Hyderabad</t>
  </si>
  <si>
    <t>Grofers_Kolkata CFA_Product_20</t>
  </si>
  <si>
    <t>Kolkata CFA</t>
  </si>
  <si>
    <t>Product_20</t>
  </si>
  <si>
    <t>Decline</t>
  </si>
  <si>
    <t>Grofers_Ahmedabad_Product_8</t>
  </si>
  <si>
    <t>Product_8</t>
  </si>
  <si>
    <t>Grofers_Ahmedabad_Product_14</t>
  </si>
  <si>
    <t>Product_14</t>
  </si>
  <si>
    <t>Grofers_Kolkata CFA_Product_14</t>
  </si>
  <si>
    <t>Grofers_Kolkata CFA_Product_26</t>
  </si>
  <si>
    <t>Product_26</t>
  </si>
  <si>
    <t>Grofers_Ahmedabad_Product_25</t>
  </si>
  <si>
    <t>Product_25</t>
  </si>
  <si>
    <t>Jharkhand_JH-Aggregated_Product_1</t>
  </si>
  <si>
    <t>Jharkhand</t>
  </si>
  <si>
    <t>JH-Aggregated</t>
  </si>
  <si>
    <t>Product_1</t>
  </si>
  <si>
    <t>Jharkhand_JH-Aggregated_Product_15</t>
  </si>
  <si>
    <t>Product_15</t>
  </si>
  <si>
    <t>Jharkhand_JH-Aggregated_Product_19</t>
  </si>
  <si>
    <t>Product_19</t>
  </si>
  <si>
    <t>Maharashtra_MH-Aggregated_Product_3</t>
  </si>
  <si>
    <t>Maharashtra</t>
  </si>
  <si>
    <t>MH-Aggregated</t>
  </si>
  <si>
    <t>Product_3</t>
  </si>
  <si>
    <t>Maharashtra_MH-Aggregated_Product_9</t>
  </si>
  <si>
    <t>Maharashtra_MH-Aggregated_Product_22</t>
  </si>
  <si>
    <t>Product_22</t>
  </si>
  <si>
    <t>Maharashtra_MH-Aggregated_Product_23</t>
  </si>
  <si>
    <t>Product_23</t>
  </si>
  <si>
    <t>Reliance_Ahmedabad_Product_5</t>
  </si>
  <si>
    <t>Reliance</t>
  </si>
  <si>
    <t>Product_5</t>
  </si>
  <si>
    <t>Reliance_Mundka_Product_6</t>
  </si>
  <si>
    <t>Product_6</t>
  </si>
  <si>
    <t>Reliance_Mundka_Product_7</t>
  </si>
  <si>
    <t>Product_7</t>
  </si>
  <si>
    <t>Reliance_Bhiwandi_Product_8</t>
  </si>
  <si>
    <t>Bhiwandi</t>
  </si>
  <si>
    <t>Reliance_Bangalore_Product_8</t>
  </si>
  <si>
    <t>Bangalore</t>
  </si>
  <si>
    <t>Reliance_Bangalore_Product_3</t>
  </si>
  <si>
    <t>Reliance_Bhiwandi_Product_10</t>
  </si>
  <si>
    <t>Product_10</t>
  </si>
  <si>
    <t>Reliance_Bhiwandi_Product_11</t>
  </si>
  <si>
    <t>Product_11</t>
  </si>
  <si>
    <t>Reliance_Bangalore_Product_13</t>
  </si>
  <si>
    <t>Product_13</t>
  </si>
  <si>
    <t>Reliance_Ahmedabad_Product_7</t>
  </si>
  <si>
    <t>Reliance_Kolkata CFA_Product_12</t>
  </si>
  <si>
    <t>Product_12</t>
  </si>
  <si>
    <t>Reliance_Chennai_Product_11</t>
  </si>
  <si>
    <t>Chennai</t>
  </si>
  <si>
    <t>Reliance_Ahmedabad_Product_18</t>
  </si>
  <si>
    <t>Product_18</t>
  </si>
  <si>
    <t>Reliance_Mundka_Product_9</t>
  </si>
  <si>
    <t>Reliance_Chennai_Product_9</t>
  </si>
  <si>
    <t>Reliance_Hyderabad_Product_2</t>
  </si>
  <si>
    <t>Product_2</t>
  </si>
  <si>
    <t>Reliance_Ahmedabad_Product_9</t>
  </si>
  <si>
    <t>Reliance_Bangalore_Product_14</t>
  </si>
  <si>
    <t>Swiggy_Mundka_Product_2</t>
  </si>
  <si>
    <t>Swiggy</t>
  </si>
  <si>
    <t>Swiggy_Kolkata CFA_Product_3</t>
  </si>
  <si>
    <t>Swiggy_Chennai_Product_3</t>
  </si>
  <si>
    <t>Swiggy_Mundka_Product_14</t>
  </si>
  <si>
    <t>Swiggy_Bangalore_Product_16</t>
  </si>
  <si>
    <t>Product_16</t>
  </si>
  <si>
    <t>Swiggy_Mundka_Product_17</t>
  </si>
  <si>
    <t>Product_17</t>
  </si>
  <si>
    <t>Swiggy_Kolkata CFA_Product_11</t>
  </si>
  <si>
    <t>Swiggy_Kolkata CFA_Product_20</t>
  </si>
  <si>
    <t>Swiggy_Mundka_Product_26</t>
  </si>
  <si>
    <t>Swiggy_Hyderabad_Product_25</t>
  </si>
  <si>
    <t>Zepto_Mundka_Product_4</t>
  </si>
  <si>
    <t>Zepto</t>
  </si>
  <si>
    <t>Product_4</t>
  </si>
  <si>
    <t>Zepto_Mundka_Product_3</t>
  </si>
  <si>
    <t>Zepto_Bhiwandi_Product_10</t>
  </si>
  <si>
    <t>Zepto_Bangalore_Product_12</t>
  </si>
  <si>
    <t>Zepto_Bhiwandi_Product_24</t>
  </si>
  <si>
    <t>Product_24</t>
  </si>
  <si>
    <t>Zepto_Bhiwandi_Product_25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</si>
</sst>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yyyy/mm/dd"/>
    <numFmt numFmtId="166" formatCode="0.0%"/>
    <numFmt numFmtId="167" formatCode="_ * #,##0_ ;_ * \-#,##0_ ;_ * &quot;-&quot;??_ ;_ @_ "/>
  </numFmts>
  <fonts count="7">
    <font>
      <sz val="11"/>
      <color theme="1"/>
      <name val="Calibri"/>
      <family val="2"/>
      <scheme val="minor"/>
    </font>
    <font>
      <sz val="11"/>
      <color rgb="FF000000"/>
      <name val="Calibri"/>
      <family val="2"/>
    </font>
    <font>
      <b/>
      <sz val="11"/>
      <color theme="1"/>
      <name val="Calibri"/>
      <family val="2"/>
      <scheme val="minor"/>
    </font>
    <font>
      <b/>
      <sz val="10"/>
      <color theme="1"/>
      <name val="Arial"/>
      <family val="2"/>
    </font>
    <font>
      <sz val="10"/>
      <color theme="1"/>
      <name val="Arial"/>
      <family val="2"/>
    </font>
    <font>
      <b/>
      <sz val="11"/>
      <color theme="1"/>
      <name val="Calibri"/>
      <family val="2"/>
    </font>
    <font>
      <sz val="11"/>
      <color theme="1"/>
      <name val="Calibri"/>
      <family val="2"/>
      <scheme val="minor"/>
    </font>
  </fonts>
  <fills count="6">
    <fill>
      <patternFill patternType="none"/>
    </fill>
    <fill>
      <patternFill patternType="gray125"/>
    </fill>
    <fill>
      <patternFill patternType="solid">
        <fgColor rgb="FFF3F3F3"/>
        <bgColor indexed="64"/>
      </patternFill>
    </fill>
    <fill>
      <patternFill patternType="solid">
        <fgColor rgb="FFC8E6C9"/>
        <bgColor indexed="64"/>
      </patternFill>
    </fill>
    <fill>
      <patternFill patternType="solid">
        <fgColor rgb="FFFFCDD2"/>
        <bgColor indexed="64"/>
      </patternFill>
    </fill>
    <fill>
      <patternFill patternType="solid">
        <fgColor rgb="FFFFFF00"/>
        <bgColor indexed="64"/>
      </patternFill>
    </fill>
  </fills>
  <borders count="19">
    <border>
      <left/>
      <right/>
      <top/>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164" fontId="6" fillId="0" borderId="0" applyFont="0" applyFill="0" applyBorder="0" applyAlignment="0" applyProtection="0"/>
  </cellStyleXfs>
  <cellXfs count="57">
    <xf numFmtId="0" fontId="0" fillId="0" borderId="0" xfId="0"/>
    <xf numFmtId="165" fontId="1" fillId="0" borderId="0" xfId="0" applyNumberFormat="1" applyFont="1" applyAlignment="1">
      <alignment horizontal="left"/>
    </xf>
    <xf numFmtId="14" fontId="1" fillId="0" borderId="0" xfId="0" applyNumberFormat="1" applyFont="1" applyAlignment="1">
      <alignment horizontal="left"/>
    </xf>
    <xf numFmtId="4" fontId="1" fillId="0" borderId="0" xfId="0" applyNumberFormat="1" applyFont="1" applyAlignment="1">
      <alignment horizontal="right"/>
    </xf>
    <xf numFmtId="3" fontId="0" fillId="0" borderId="0" xfId="0" applyNumberFormat="1"/>
    <xf numFmtId="166" fontId="0" fillId="0" borderId="0" xfId="0" applyNumberFormat="1"/>
    <xf numFmtId="0" fontId="3" fillId="2" borderId="1" xfId="0" applyFont="1" applyFill="1" applyBorder="1"/>
    <xf numFmtId="0" fontId="3" fillId="2" borderId="2" xfId="0" applyFont="1" applyFill="1" applyBorder="1"/>
    <xf numFmtId="0" fontId="0" fillId="0" borderId="3" xfId="0" applyBorder="1"/>
    <xf numFmtId="0" fontId="4" fillId="0" borderId="1" xfId="0" applyFont="1" applyBorder="1"/>
    <xf numFmtId="0" fontId="4" fillId="0" borderId="2" xfId="0" applyFont="1" applyBorder="1"/>
    <xf numFmtId="0" fontId="4" fillId="3" borderId="2" xfId="0" applyFont="1" applyFill="1" applyBorder="1" applyAlignment="1">
      <alignment horizontal="center"/>
    </xf>
    <xf numFmtId="0" fontId="4" fillId="4" borderId="2" xfId="0" applyFont="1" applyFill="1" applyBorder="1" applyAlignment="1">
      <alignment horizontal="center"/>
    </xf>
    <xf numFmtId="14" fontId="5" fillId="0" borderId="0" xfId="0" applyNumberFormat="1" applyFont="1" applyAlignment="1">
      <alignment horizontal="left"/>
    </xf>
    <xf numFmtId="0" fontId="2" fillId="0" borderId="0" xfId="0" applyFont="1"/>
    <xf numFmtId="0" fontId="5" fillId="0" borderId="0" xfId="0" applyFont="1" applyAlignment="1">
      <alignment horizontal="right"/>
    </xf>
    <xf numFmtId="0" fontId="0" fillId="0" borderId="0" xfId="0" pivotButton="1"/>
    <xf numFmtId="165" fontId="0" fillId="0" borderId="0" xfId="0" applyNumberFormat="1"/>
    <xf numFmtId="167" fontId="0" fillId="0" borderId="0" xfId="1" applyNumberFormat="1" applyFont="1"/>
    <xf numFmtId="0" fontId="2" fillId="5" borderId="0" xfId="0" applyFont="1" applyFill="1"/>
    <xf numFmtId="164" fontId="0" fillId="0" borderId="0" xfId="1" applyFont="1"/>
    <xf numFmtId="9" fontId="0" fillId="0" borderId="0" xfId="0" applyNumberFormat="1"/>
    <xf numFmtId="167" fontId="0" fillId="0" borderId="0" xfId="0" applyNumberFormat="1"/>
    <xf numFmtId="0" fontId="0" fillId="0" borderId="3" xfId="0" applyBorder="1" applyAlignment="1">
      <alignment horizontal="right"/>
    </xf>
    <xf numFmtId="0" fontId="0" fillId="0" borderId="0" xfId="0" applyAlignment="1">
      <alignment horizontal="right"/>
    </xf>
    <xf numFmtId="167" fontId="0" fillId="0" borderId="3" xfId="1" applyNumberFormat="1" applyFont="1" applyBorder="1" applyAlignment="1">
      <alignment horizontal="right"/>
    </xf>
    <xf numFmtId="166" fontId="0" fillId="0" borderId="3" xfId="0" applyNumberFormat="1" applyBorder="1" applyAlignment="1">
      <alignment horizontal="right"/>
    </xf>
    <xf numFmtId="9" fontId="0" fillId="0" borderId="3" xfId="0" applyNumberFormat="1" applyBorder="1" applyAlignment="1">
      <alignment horizontal="right"/>
    </xf>
    <xf numFmtId="166" fontId="0" fillId="0" borderId="3" xfId="0" applyNumberFormat="1" applyBorder="1" applyAlignment="1">
      <alignment horizontal="right" wrapText="1"/>
    </xf>
    <xf numFmtId="0" fontId="0" fillId="0" borderId="5" xfId="0" applyBorder="1" applyAlignment="1">
      <alignment horizontal="right"/>
    </xf>
    <xf numFmtId="0" fontId="0" fillId="0" borderId="6" xfId="0" applyBorder="1" applyAlignment="1">
      <alignment horizontal="right"/>
    </xf>
    <xf numFmtId="166" fontId="0" fillId="0" borderId="7" xfId="0" applyNumberFormat="1" applyBorder="1" applyAlignment="1">
      <alignment horizontal="right" wrapText="1"/>
    </xf>
    <xf numFmtId="0" fontId="0" fillId="0" borderId="8" xfId="0" applyBorder="1" applyAlignment="1">
      <alignment horizontal="right"/>
    </xf>
    <xf numFmtId="0" fontId="0" fillId="0" borderId="9" xfId="0" applyBorder="1" applyAlignment="1">
      <alignment horizontal="right"/>
    </xf>
    <xf numFmtId="0" fontId="0" fillId="0" borderId="10" xfId="0" applyBorder="1" applyAlignment="1">
      <alignment horizontal="right"/>
    </xf>
    <xf numFmtId="0" fontId="0" fillId="0" borderId="11" xfId="0" applyBorder="1" applyAlignment="1">
      <alignment horizontal="right"/>
    </xf>
    <xf numFmtId="0" fontId="0" fillId="0" borderId="12" xfId="0" applyBorder="1" applyAlignment="1">
      <alignment horizontal="right"/>
    </xf>
    <xf numFmtId="0" fontId="2" fillId="0" borderId="4" xfId="0" applyFont="1" applyBorder="1" applyAlignment="1">
      <alignment horizontal="right"/>
    </xf>
    <xf numFmtId="0" fontId="0" fillId="0" borderId="7" xfId="0" applyBorder="1" applyAlignment="1">
      <alignment horizontal="right"/>
    </xf>
    <xf numFmtId="0" fontId="0" fillId="0" borderId="13"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9" fontId="0" fillId="0" borderId="5" xfId="0" applyNumberFormat="1" applyBorder="1" applyAlignment="1">
      <alignment horizontal="right"/>
    </xf>
    <xf numFmtId="0" fontId="0" fillId="0" borderId="6" xfId="0" applyBorder="1" applyAlignment="1">
      <alignment horizontal="right" vertical="center"/>
    </xf>
    <xf numFmtId="0" fontId="0" fillId="0" borderId="8" xfId="0" applyBorder="1" applyAlignment="1">
      <alignment horizontal="right" vertical="center"/>
    </xf>
    <xf numFmtId="0" fontId="0" fillId="0" borderId="10" xfId="0" applyBorder="1" applyAlignment="1">
      <alignment horizontal="right" vertical="center"/>
    </xf>
    <xf numFmtId="0" fontId="0" fillId="0" borderId="13" xfId="0" applyBorder="1" applyAlignment="1">
      <alignment horizontal="right" vertical="center"/>
    </xf>
    <xf numFmtId="0" fontId="0" fillId="0" borderId="9" xfId="0" applyBorder="1" applyAlignment="1">
      <alignment horizontal="right" vertical="center"/>
    </xf>
    <xf numFmtId="9" fontId="1" fillId="0" borderId="0" xfId="0" applyNumberFormat="1" applyFont="1" applyAlignment="1">
      <alignment horizontal="right"/>
    </xf>
    <xf numFmtId="0" fontId="2" fillId="0" borderId="16" xfId="0" applyFont="1" applyBorder="1" applyAlignment="1">
      <alignment horizontal="right"/>
    </xf>
    <xf numFmtId="0" fontId="2" fillId="0" borderId="17" xfId="0" applyFont="1" applyBorder="1" applyAlignment="1">
      <alignment horizontal="right"/>
    </xf>
    <xf numFmtId="0" fontId="2" fillId="0" borderId="18" xfId="0" applyFont="1" applyBorder="1" applyAlignment="1">
      <alignment horizontal="right"/>
    </xf>
    <xf numFmtId="0" fontId="0" fillId="0" borderId="12" xfId="0" applyBorder="1" applyAlignment="1">
      <alignment horizontal="right" wrapText="1"/>
    </xf>
    <xf numFmtId="0" fontId="0" fillId="0" borderId="11" xfId="0" applyBorder="1" applyAlignment="1">
      <alignment horizontal="right" vertical="center"/>
    </xf>
    <xf numFmtId="3" fontId="1" fillId="0" borderId="0" xfId="0" applyNumberFormat="1" applyFont="1" applyAlignment="1">
      <alignment horizontal="right"/>
    </xf>
    <xf numFmtId="0" fontId="0" fillId="0" borderId="0" xfId="0" applyAlignment="1">
      <alignment wrapText="1"/>
    </xf>
    <xf numFmtId="0" fontId="2" fillId="0" borderId="3" xfId="0" applyFont="1" applyBorder="1" applyAlignment="1">
      <alignment horizontal="right"/>
    </xf>
  </cellXfs>
  <cellStyles count="2">
    <cellStyle name="Comma" xfId="1" builtinId="3"/>
    <cellStyle name="Normal" xfId="0" builtinId="0"/>
  </cellStyles>
  <dxfs count="2">
    <dxf>
      <numFmt numFmtId="167" formatCode="_ * #,##0_ ;_ * \-#,##0_ ;_ * &quot;-&quot;??_ ;_ @_ "/>
    </dxf>
    <dxf>
      <numFmt numFmtId="167"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[Forecast_input 5.xlsx]Sheet1!PivotTable1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alpha val="23000"/>
            </a:schemeClr>
          </a:solidFill>
          <a:ln>
            <a:noFill/>
          </a:ln>
          <a:effectLst/>
        </c:spPr>
        <c:marker>
          <c:symbol val="none"/>
        </c:marker>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1.3291665184000602E-2"/>
          <c:y val="9.2745631394173869E-2"/>
          <c:w val="0.81969908507293665"/>
          <c:h val="0.80440405867137066"/>
        </c:manualLayout>
      </c:layout>
      <c:lineChart>
        <c:grouping val="standard"/>
        <c:varyColors val="0"/>
        <c:ser>
          <c:idx val="0"/>
          <c:order val="0"/>
          <c:tx>
            <c:strRef>
              <c:f>Sheet1!$C$3:$C$4</c:f>
              <c:strCache>
                <c:ptCount val="1"/>
                <c:pt idx="0">
                  <c:v>Sum of actual</c:v>
                </c:pt>
              </c:strCache>
            </c:strRef>
          </c:tx>
          <c:spPr>
            <a:ln w="28575" cap="rnd">
              <a:solidFill>
                <a:schemeClr val="accent1"/>
              </a:solidFill>
              <a:round/>
            </a:ln>
            <a:effectLst/>
          </c:spPr>
          <c:marker>
            <c:symbol val="none"/>
          </c:marker>
          <c:cat>
            <c:multiLvlStrRef>
              <c:f>Sheet1!$A$5:$B$41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Sheet1!$C$5:$C$41</c:f>
              <c:numCache>
                <c:formatCode>_ * #,##0_ ;_ * \-#,##0_ ;_ * "-"??_ ;_ @_ </c:formatCode>
                <c:ptCount val="36"/>
                <c:pt idx="0">
                  <c:v>7712.55</c:v>
                </c:pt>
                <c:pt idx="1">
                  <c:v>8065.8</c:v>
                </c:pt>
                <c:pt idx="2">
                  <c:v>9999.4500000000007</c:v>
                </c:pt>
                <c:pt idx="3">
                  <c:v>6145.6184999999996</c:v>
                </c:pt>
                <c:pt idx="4">
                  <c:v>14909.4</c:v>
                </c:pt>
                <c:pt idx="5">
                  <c:v>5829.75</c:v>
                </c:pt>
                <c:pt idx="6">
                  <c:v>2588.3910000000001</c:v>
                </c:pt>
                <c:pt idx="7">
                  <c:v>4711.95</c:v>
                </c:pt>
                <c:pt idx="8">
                  <c:v>5348.25</c:v>
                </c:pt>
                <c:pt idx="9">
                  <c:v>7978.95</c:v>
                </c:pt>
                <c:pt idx="10">
                  <c:v>7029</c:v>
                </c:pt>
                <c:pt idx="11">
                  <c:v>5612.85</c:v>
                </c:pt>
                <c:pt idx="12">
                  <c:v>9506.25</c:v>
                </c:pt>
                <c:pt idx="13">
                  <c:v>13063.05</c:v>
                </c:pt>
                <c:pt idx="14">
                  <c:v>16371.27</c:v>
                </c:pt>
                <c:pt idx="15">
                  <c:v>20798.64</c:v>
                </c:pt>
                <c:pt idx="16">
                  <c:v>12805.56</c:v>
                </c:pt>
                <c:pt idx="17">
                  <c:v>9050.94</c:v>
                </c:pt>
                <c:pt idx="18">
                  <c:v>2529.9</c:v>
                </c:pt>
                <c:pt idx="19">
                  <c:v>4152.0600000000004</c:v>
                </c:pt>
                <c:pt idx="20">
                  <c:v>4944.82</c:v>
                </c:pt>
                <c:pt idx="21">
                  <c:v>7288.05</c:v>
                </c:pt>
                <c:pt idx="22">
                  <c:v>7378</c:v>
                </c:pt>
                <c:pt idx="23">
                  <c:v>7492.93</c:v>
                </c:pt>
                <c:pt idx="24">
                  <c:v>9573.7099999999991</c:v>
                </c:pt>
                <c:pt idx="25">
                  <c:v>13461.95</c:v>
                </c:pt>
                <c:pt idx="26">
                  <c:v>13176.54</c:v>
                </c:pt>
                <c:pt idx="27">
                  <c:v>13019.4</c:v>
                </c:pt>
                <c:pt idx="28">
                  <c:v>10303.200000000001</c:v>
                </c:pt>
                <c:pt idx="29">
                  <c:v>4668.84</c:v>
                </c:pt>
                <c:pt idx="30">
                  <c:v>1788.75</c:v>
                </c:pt>
                <c:pt idx="31">
                  <c:v>4250.34</c:v>
                </c:pt>
                <c:pt idx="32">
                  <c:v>5837.4</c:v>
                </c:pt>
              </c:numCache>
            </c:numRef>
          </c:val>
          <c:smooth val="0"/>
          <c:extLst>
            <c:ext xmlns:c16="http://schemas.microsoft.com/office/drawing/2014/chart" uri="{C3380CC4-5D6E-409C-BE32-E72D297353CC}">
              <c16:uniqueId val="{00000000-3F77-4034-A67D-95A0590CBAE3}"/>
            </c:ext>
          </c:extLst>
        </c:ser>
        <c:ser>
          <c:idx val="1"/>
          <c:order val="1"/>
          <c:tx>
            <c:strRef>
              <c:f>Sheet1!$D$3:$D$4</c:f>
              <c:strCache>
                <c:ptCount val="1"/>
                <c:pt idx="0">
                  <c:v>Sum of forecast</c:v>
                </c:pt>
              </c:strCache>
            </c:strRef>
          </c:tx>
          <c:spPr>
            <a:ln w="28575" cap="rnd">
              <a:solidFill>
                <a:schemeClr val="accent2"/>
              </a:solidFill>
              <a:round/>
            </a:ln>
            <a:effectLst/>
          </c:spPr>
          <c:marker>
            <c:symbol val="none"/>
          </c:marker>
          <c:cat>
            <c:multiLvlStrRef>
              <c:f>Sheet1!$A$5:$B$41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Sheet1!$D$5:$D$41</c:f>
              <c:numCache>
                <c:formatCode>_ * #,##0_ ;_ * \-#,##0_ ;_ * "-"??_ ;_ @_ </c:formatCode>
                <c:ptCount val="36"/>
                <c:pt idx="30">
                  <c:v>2003.4</c:v>
                </c:pt>
                <c:pt idx="31">
                  <c:v>4037.8229999999999</c:v>
                </c:pt>
                <c:pt idx="32">
                  <c:v>5603.9039999999995</c:v>
                </c:pt>
                <c:pt idx="33">
                  <c:v>6383.4642000000003</c:v>
                </c:pt>
                <c:pt idx="34">
                  <c:v>8256.8127000000004</c:v>
                </c:pt>
                <c:pt idx="35">
                  <c:v>5188.6507000000001</c:v>
                </c:pt>
              </c:numCache>
            </c:numRef>
          </c:val>
          <c:smooth val="0"/>
          <c:extLst>
            <c:ext xmlns:c16="http://schemas.microsoft.com/office/drawing/2014/chart" uri="{C3380CC4-5D6E-409C-BE32-E72D297353CC}">
              <c16:uniqueId val="{00000001-3F77-4034-A67D-95A0590CBAE3}"/>
            </c:ext>
          </c:extLst>
        </c:ser>
        <c:ser>
          <c:idx val="2"/>
          <c:order val="2"/>
          <c:tx>
            <c:strRef>
              <c:f>Sheet1!$E$3:$E$4</c:f>
              <c:strCache>
                <c:ptCount val="1"/>
                <c:pt idx="0">
                  <c:v>Sum of Trend</c:v>
                </c:pt>
              </c:strCache>
            </c:strRef>
          </c:tx>
          <c:spPr>
            <a:ln w="28575" cap="rnd">
              <a:solidFill>
                <a:schemeClr val="accent3"/>
              </a:solidFill>
              <a:round/>
            </a:ln>
            <a:effectLst/>
          </c:spPr>
          <c:marker>
            <c:symbol val="none"/>
          </c:marker>
          <c:cat>
            <c:multiLvlStrRef>
              <c:f>Sheet1!$A$5:$B$41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Sheet1!$E$5:$E$41</c:f>
              <c:numCache>
                <c:formatCode>_ * #,##0_ ;_ * \-#,##0_ ;_ * "-"??_ ;_ @_ </c:formatCode>
                <c:ptCount val="36"/>
                <c:pt idx="0">
                  <c:v>7584.7856392799904</c:v>
                </c:pt>
                <c:pt idx="1">
                  <c:v>7634.0929324203098</c:v>
                </c:pt>
                <c:pt idx="2">
                  <c:v>7678.6285566402403</c:v>
                </c:pt>
                <c:pt idx="3">
                  <c:v>7727.9358516990096</c:v>
                </c:pt>
                <c:pt idx="4">
                  <c:v>7775.6525960392701</c:v>
                </c:pt>
                <c:pt idx="5">
                  <c:v>7824.9598911257799</c:v>
                </c:pt>
                <c:pt idx="6">
                  <c:v>7872.6766237557704</c:v>
                </c:pt>
                <c:pt idx="7">
                  <c:v>7921.9839192754898</c:v>
                </c:pt>
                <c:pt idx="8">
                  <c:v>7971.2912100346603</c:v>
                </c:pt>
                <c:pt idx="9">
                  <c:v>8018.9969503269103</c:v>
                </c:pt>
                <c:pt idx="10">
                  <c:v>8068.2928820691604</c:v>
                </c:pt>
                <c:pt idx="11">
                  <c:v>8115.9986130564303</c:v>
                </c:pt>
                <c:pt idx="12">
                  <c:v>8165.29452442805</c:v>
                </c:pt>
                <c:pt idx="13">
                  <c:v>8214.5904253335993</c:v>
                </c:pt>
                <c:pt idx="14">
                  <c:v>8258.97855394412</c:v>
                </c:pt>
                <c:pt idx="15">
                  <c:v>8308.0858100915593</c:v>
                </c:pt>
                <c:pt idx="16">
                  <c:v>8355.51677795664</c:v>
                </c:pt>
                <c:pt idx="17">
                  <c:v>8404.4704741019905</c:v>
                </c:pt>
                <c:pt idx="18">
                  <c:v>8451.8417092125601</c:v>
                </c:pt>
                <c:pt idx="19">
                  <c:v>8500.7698559348501</c:v>
                </c:pt>
                <c:pt idx="20">
                  <c:v>8549.6980029636707</c:v>
                </c:pt>
                <c:pt idx="21">
                  <c:v>8597.02600466074</c:v>
                </c:pt>
                <c:pt idx="22">
                  <c:v>8645.9316109297197</c:v>
                </c:pt>
                <c:pt idx="23">
                  <c:v>8693.2596117802896</c:v>
                </c:pt>
                <c:pt idx="24">
                  <c:v>8742.1652150773207</c:v>
                </c:pt>
                <c:pt idx="25">
                  <c:v>8791.0659588729104</c:v>
                </c:pt>
                <c:pt idx="26">
                  <c:v>8836.8118084485995</c:v>
                </c:pt>
                <c:pt idx="27">
                  <c:v>8885.7125442019296</c:v>
                </c:pt>
                <c:pt idx="28">
                  <c:v>8933.0358368664401</c:v>
                </c:pt>
                <c:pt idx="29">
                  <c:v>8981.9365726197702</c:v>
                </c:pt>
                <c:pt idx="30">
                  <c:v>9029.2598652842807</c:v>
                </c:pt>
                <c:pt idx="31">
                  <c:v>9078.1606010376108</c:v>
                </c:pt>
                <c:pt idx="32">
                  <c:v>9127.06133679093</c:v>
                </c:pt>
                <c:pt idx="33">
                  <c:v>9174.3846294554405</c:v>
                </c:pt>
                <c:pt idx="34">
                  <c:v>9223.2853652087706</c:v>
                </c:pt>
                <c:pt idx="35">
                  <c:v>9270.6086578732793</c:v>
                </c:pt>
              </c:numCache>
            </c:numRef>
          </c:val>
          <c:smooth val="0"/>
          <c:extLst>
            <c:ext xmlns:c16="http://schemas.microsoft.com/office/drawing/2014/chart" uri="{C3380CC4-5D6E-409C-BE32-E72D297353CC}">
              <c16:uniqueId val="{00000001-D424-4F0D-BFC6-28B3A3613DE2}"/>
            </c:ext>
          </c:extLst>
        </c:ser>
        <c:dLbls>
          <c:showLegendKey val="0"/>
          <c:showVal val="0"/>
          <c:showCatName val="0"/>
          <c:showSerName val="0"/>
          <c:showPercent val="0"/>
          <c:showBubbleSize val="0"/>
        </c:dLbls>
        <c:smooth val="0"/>
        <c:axId val="530059904"/>
        <c:axId val="381295280"/>
      </c:lineChart>
      <c:valAx>
        <c:axId val="381295280"/>
        <c:scaling>
          <c:orientation val="minMax"/>
        </c:scaling>
        <c:delete val="0"/>
        <c:axPos val="r"/>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59904"/>
        <c:crosses val="max"/>
        <c:crossBetween val="between"/>
      </c:valAx>
      <c:catAx>
        <c:axId val="530059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952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[Forecast_input 5.xlsx]Sheet1!PivotTable4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35251975921075E-2"/>
          <c:y val="4.9956014931147694E-2"/>
          <c:w val="0.8462847394978843"/>
          <c:h val="0.8025756662062824"/>
        </c:manualLayout>
      </c:layout>
      <c:lineChart>
        <c:grouping val="standard"/>
        <c:varyColors val="0"/>
        <c:ser>
          <c:idx val="0"/>
          <c:order val="0"/>
          <c:tx>
            <c:strRef>
              <c:f>Sheet1!$I$3:$I$4</c:f>
              <c:strCache>
                <c:ptCount val="1"/>
                <c:pt idx="0">
                  <c:v>2022</c:v>
                </c:pt>
              </c:strCache>
            </c:strRef>
          </c:tx>
          <c:spPr>
            <a:ln w="28575" cap="rnd">
              <a:solidFill>
                <a:schemeClr val="accent1"/>
              </a:solidFill>
              <a:round/>
            </a:ln>
            <a:effectLst/>
          </c:spPr>
          <c:marker>
            <c:symbol val="none"/>
          </c:marker>
          <c:cat>
            <c:strRef>
              <c:f>Sheet1!$H$5:$H$17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Sheet1!$I$5:$I$17</c:f>
              <c:numCache>
                <c:formatCode>General</c:formatCode>
                <c:ptCount val="12"/>
                <c:pt idx="0">
                  <c:v>7712.55</c:v>
                </c:pt>
                <c:pt idx="1">
                  <c:v>8065.8</c:v>
                </c:pt>
                <c:pt idx="2">
                  <c:v>9999.4500000000007</c:v>
                </c:pt>
                <c:pt idx="3">
                  <c:v>6145.6184999999996</c:v>
                </c:pt>
                <c:pt idx="4">
                  <c:v>14909.4</c:v>
                </c:pt>
                <c:pt idx="5">
                  <c:v>5829.75</c:v>
                </c:pt>
                <c:pt idx="6">
                  <c:v>2588.3910000000001</c:v>
                </c:pt>
                <c:pt idx="7">
                  <c:v>4711.95</c:v>
                </c:pt>
                <c:pt idx="8">
                  <c:v>5348.25</c:v>
                </c:pt>
                <c:pt idx="9">
                  <c:v>7978.95</c:v>
                </c:pt>
                <c:pt idx="10">
                  <c:v>7029</c:v>
                </c:pt>
                <c:pt idx="11">
                  <c:v>5612.85</c:v>
                </c:pt>
              </c:numCache>
            </c:numRef>
          </c:val>
          <c:smooth val="0"/>
          <c:extLst>
            <c:ext xmlns:c16="http://schemas.microsoft.com/office/drawing/2014/chart" uri="{C3380CC4-5D6E-409C-BE32-E72D297353CC}">
              <c16:uniqueId val="{00000000-EB5E-4CCA-A41F-1327C114A97F}"/>
            </c:ext>
          </c:extLst>
        </c:ser>
        <c:ser>
          <c:idx val="1"/>
          <c:order val="1"/>
          <c:tx>
            <c:strRef>
              <c:f>Sheet1!$J$3:$J$4</c:f>
              <c:strCache>
                <c:ptCount val="1"/>
                <c:pt idx="0">
                  <c:v>2023</c:v>
                </c:pt>
              </c:strCache>
            </c:strRef>
          </c:tx>
          <c:spPr>
            <a:ln w="28575" cap="rnd">
              <a:solidFill>
                <a:schemeClr val="accent2"/>
              </a:solidFill>
              <a:round/>
            </a:ln>
            <a:effectLst/>
          </c:spPr>
          <c:marker>
            <c:symbol val="none"/>
          </c:marker>
          <c:cat>
            <c:strRef>
              <c:f>Sheet1!$H$5:$H$17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Sheet1!$J$5:$J$17</c:f>
              <c:numCache>
                <c:formatCode>General</c:formatCode>
                <c:ptCount val="12"/>
                <c:pt idx="0">
                  <c:v>9506.25</c:v>
                </c:pt>
                <c:pt idx="1">
                  <c:v>13063.05</c:v>
                </c:pt>
                <c:pt idx="2">
                  <c:v>16371.27</c:v>
                </c:pt>
                <c:pt idx="3">
                  <c:v>20798.64</c:v>
                </c:pt>
                <c:pt idx="4">
                  <c:v>12805.56</c:v>
                </c:pt>
                <c:pt idx="5">
                  <c:v>9050.94</c:v>
                </c:pt>
                <c:pt idx="6">
                  <c:v>2529.9</c:v>
                </c:pt>
                <c:pt idx="7">
                  <c:v>4152.0600000000004</c:v>
                </c:pt>
                <c:pt idx="8">
                  <c:v>4944.82</c:v>
                </c:pt>
                <c:pt idx="9">
                  <c:v>7288.05</c:v>
                </c:pt>
                <c:pt idx="10">
                  <c:v>7378</c:v>
                </c:pt>
                <c:pt idx="11">
                  <c:v>7492.93</c:v>
                </c:pt>
              </c:numCache>
            </c:numRef>
          </c:val>
          <c:smooth val="0"/>
          <c:extLst>
            <c:ext xmlns:c16="http://schemas.microsoft.com/office/drawing/2014/chart" uri="{C3380CC4-5D6E-409C-BE32-E72D297353CC}">
              <c16:uniqueId val="{00000001-EB5E-4CCA-A41F-1327C114A97F}"/>
            </c:ext>
          </c:extLst>
        </c:ser>
        <c:ser>
          <c:idx val="2"/>
          <c:order val="2"/>
          <c:tx>
            <c:strRef>
              <c:f>Sheet1!$K$3:$K$4</c:f>
              <c:strCache>
                <c:ptCount val="1"/>
                <c:pt idx="0">
                  <c:v>2024</c:v>
                </c:pt>
              </c:strCache>
            </c:strRef>
          </c:tx>
          <c:spPr>
            <a:ln w="28575" cap="rnd">
              <a:solidFill>
                <a:schemeClr val="accent3"/>
              </a:solidFill>
              <a:round/>
            </a:ln>
            <a:effectLst/>
          </c:spPr>
          <c:marker>
            <c:symbol val="none"/>
          </c:marker>
          <c:cat>
            <c:strRef>
              <c:f>Sheet1!$H$5:$H$17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Sheet1!$K$5:$K$17</c:f>
              <c:numCache>
                <c:formatCode>General</c:formatCode>
                <c:ptCount val="12"/>
                <c:pt idx="0">
                  <c:v>9573.7099999999991</c:v>
                </c:pt>
                <c:pt idx="1">
                  <c:v>13461.95</c:v>
                </c:pt>
                <c:pt idx="2">
                  <c:v>13176.54</c:v>
                </c:pt>
                <c:pt idx="3">
                  <c:v>13019.4</c:v>
                </c:pt>
                <c:pt idx="4">
                  <c:v>10303.200000000001</c:v>
                </c:pt>
                <c:pt idx="5">
                  <c:v>4668.84</c:v>
                </c:pt>
                <c:pt idx="6">
                  <c:v>1788.75</c:v>
                </c:pt>
                <c:pt idx="7">
                  <c:v>4250.34</c:v>
                </c:pt>
                <c:pt idx="8">
                  <c:v>5837.4</c:v>
                </c:pt>
              </c:numCache>
            </c:numRef>
          </c:val>
          <c:smooth val="0"/>
          <c:extLst>
            <c:ext xmlns:c16="http://schemas.microsoft.com/office/drawing/2014/chart" uri="{C3380CC4-5D6E-409C-BE32-E72D297353CC}">
              <c16:uniqueId val="{00000002-EB5E-4CCA-A41F-1327C114A97F}"/>
            </c:ext>
          </c:extLst>
        </c:ser>
        <c:dLbls>
          <c:showLegendKey val="0"/>
          <c:showVal val="0"/>
          <c:showCatName val="0"/>
          <c:showSerName val="0"/>
          <c:showPercent val="0"/>
          <c:showBubbleSize val="0"/>
        </c:dLbls>
        <c:smooth val="0"/>
        <c:axId val="664588512"/>
        <c:axId val="813830320"/>
      </c:lineChart>
      <c:catAx>
        <c:axId val="66458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830320"/>
        <c:crosses val="autoZero"/>
        <c:auto val="1"/>
        <c:lblAlgn val="ctr"/>
        <c:lblOffset val="100"/>
        <c:noMultiLvlLbl val="0"/>
      </c:catAx>
      <c:valAx>
        <c:axId val="81383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8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412750</xdr:colOff>
      <xdr:row>36</xdr:row>
      <xdr:rowOff>57150</xdr:rowOff>
    </xdr:from>
    <xdr:to>
      <xdr:col>4</xdr:col>
      <xdr:colOff>6635750</xdr:colOff>
      <xdr:row>48</xdr:row>
      <xdr:rowOff>177800</xdr:rowOff>
    </xdr:to>
    <xdr:sp macro="" textlink="">
      <xdr:nvSpPr>
        <xdr:cNvPr id="2" name="TextBox 1">
          <a:extLst>
            <a:ext uri="{FF2B5EF4-FFF2-40B4-BE49-F238E27FC236}">
              <a16:creationId xmlns:a16="http://schemas.microsoft.com/office/drawing/2014/main" id="{6FDBDA2E-5591-45C9-8D97-34EE1352F7CC}"/>
            </a:ext>
          </a:extLst>
        </xdr:cNvPr>
        <xdr:cNvSpPr txBox="1"/>
      </xdr:nvSpPr>
      <xdr:spPr>
        <a:xfrm>
          <a:off x="8820150" y="6908800"/>
          <a:ext cx="6794500" cy="252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RCA:</a:t>
          </a:r>
        </a:p>
        <a:p>
          <a:r>
            <a:rPr lang="en-IN" b="1"/>
            <a:t>Seasonal Deviation</a:t>
          </a:r>
          <a:r>
            <a:rPr lang="en-IN"/>
            <a:t>: A strong spike in </a:t>
          </a:r>
          <a:r>
            <a:rPr lang="en-IN" b="1"/>
            <a:t>Sep’24</a:t>
          </a:r>
          <a:r>
            <a:rPr lang="en-IN"/>
            <a:t>, despite this SKU typically peaking earlier in summer, indicates a </a:t>
          </a:r>
          <a:r>
            <a:rPr lang="en-IN" b="1"/>
            <a:t>shifted/irregular seasonal pull</a:t>
          </a:r>
          <a:r>
            <a:rPr lang="en-IN"/>
            <a:t> rather than genuine trend growth.</a:t>
          </a:r>
        </a:p>
        <a:p>
          <a:r>
            <a:rPr lang="en-IN" b="1"/>
            <a:t>Underperformance in Jul–Aug’24</a:t>
          </a:r>
          <a:endParaRPr lang="en-IN"/>
        </a:p>
        <a:p>
          <a:r>
            <a:rPr lang="en-IN"/>
            <a:t>- Demand was unusually low vs. baseline; similar dips have occurred historically, reinforcing </a:t>
          </a:r>
          <a:r>
            <a:rPr lang="en-IN" b="1"/>
            <a:t>recurring seasonal weakness</a:t>
          </a:r>
          <a:r>
            <a:rPr lang="en-IN"/>
            <a:t>.</a:t>
          </a:r>
        </a:p>
        <a:p>
          <a:r>
            <a:rPr lang="en-IN"/>
            <a:t>- Inventory remained </a:t>
          </a:r>
          <a:r>
            <a:rPr lang="en-IN" b="1"/>
            <a:t>below safety levels for two consecutive months</a:t>
          </a:r>
          <a:r>
            <a:rPr lang="en-IN"/>
            <a:t>, restricting availability.</a:t>
          </a:r>
        </a:p>
        <a:p>
          <a:r>
            <a:rPr lang="en-IN" b="1"/>
            <a:t>- 12 days of stockouts</a:t>
          </a:r>
          <a:r>
            <a:rPr lang="en-IN"/>
            <a:t> during Jul–Aug’24 likely resulted in </a:t>
          </a:r>
          <a:r>
            <a:rPr lang="en-IN" b="1"/>
            <a:t>lost sales and suppressed visibility of true demand</a:t>
          </a:r>
          <a:r>
            <a:rPr lang="en-IN"/>
            <a:t>.</a:t>
          </a:r>
        </a:p>
        <a:p>
          <a:r>
            <a:rPr lang="en-IN" b="1"/>
            <a:t>Product Dynamics &amp; Cannibalization</a:t>
          </a:r>
          <a:endParaRPr lang="en-IN"/>
        </a:p>
        <a:p>
          <a:r>
            <a:rPr lang="en-IN" b="1"/>
            <a:t>- Three new launches</a:t>
          </a:r>
          <a:r>
            <a:rPr lang="en-IN"/>
            <a:t> within the same product family were identified in this period, suggesting </a:t>
          </a:r>
          <a:r>
            <a:rPr lang="en-IN" b="1"/>
            <a:t>possible cannibalization of demand</a:t>
          </a:r>
          <a:r>
            <a:rPr lang="en-IN"/>
            <a:t> for this SKU.</a:t>
          </a:r>
        </a:p>
        <a:p>
          <a:r>
            <a:rPr lang="en-IN" b="1"/>
            <a:t>Pricing &amp; Trend Check</a:t>
          </a:r>
          <a:endParaRPr lang="en-IN"/>
        </a:p>
        <a:p>
          <a:r>
            <a:rPr lang="en-IN"/>
            <a:t>- No abnormal discount behavior detected.</a:t>
          </a:r>
        </a:p>
        <a:p>
          <a:r>
            <a:rPr lang="en-IN" b="1"/>
            <a:t>- No notable trend shift</a:t>
          </a:r>
          <a:r>
            <a:rPr lang="en-IN"/>
            <a:t>, indicating the long-term demand path remains stable.</a:t>
          </a:r>
        </a:p>
        <a:p>
          <a:endParaRPr lang="en-IN" sz="1100"/>
        </a:p>
      </xdr:txBody>
    </xdr:sp>
    <xdr:clientData/>
  </xdr:twoCellAnchor>
  <xdr:twoCellAnchor>
    <xdr:from>
      <xdr:col>3</xdr:col>
      <xdr:colOff>361950</xdr:colOff>
      <xdr:row>8</xdr:row>
      <xdr:rowOff>184150</xdr:rowOff>
    </xdr:from>
    <xdr:to>
      <xdr:col>4</xdr:col>
      <xdr:colOff>6604000</xdr:colOff>
      <xdr:row>19</xdr:row>
      <xdr:rowOff>6350</xdr:rowOff>
    </xdr:to>
    <xdr:sp macro="" textlink="">
      <xdr:nvSpPr>
        <xdr:cNvPr id="3" name="TextBox 2">
          <a:extLst>
            <a:ext uri="{FF2B5EF4-FFF2-40B4-BE49-F238E27FC236}">
              <a16:creationId xmlns:a16="http://schemas.microsoft.com/office/drawing/2014/main" id="{3663ABC1-1617-4022-80D2-5BBE1408AA16}"/>
            </a:ext>
          </a:extLst>
        </xdr:cNvPr>
        <xdr:cNvSpPr txBox="1"/>
      </xdr:nvSpPr>
      <xdr:spPr>
        <a:xfrm>
          <a:off x="8769350" y="1663700"/>
          <a:ext cx="6813550" cy="205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RCA:</a:t>
          </a:r>
        </a:p>
        <a:p>
          <a:r>
            <a:rPr lang="en-IN" b="1"/>
            <a:t>Seasonality Shift</a:t>
          </a:r>
          <a:r>
            <a:rPr lang="en-IN"/>
            <a:t>: Demand pattern appears to have advanced by </a:t>
          </a:r>
          <a:r>
            <a:rPr lang="en-IN" b="1"/>
            <a:t>one month</a:t>
          </a:r>
          <a:r>
            <a:rPr lang="en-IN"/>
            <a:t>, inferred from the unusual </a:t>
          </a:r>
          <a:r>
            <a:rPr lang="en-IN" b="1"/>
            <a:t>spike in Sep’24</a:t>
          </a:r>
          <a:r>
            <a:rPr lang="en-IN"/>
            <a:t> vs. typical season peak.</a:t>
          </a:r>
        </a:p>
        <a:p>
          <a:r>
            <a:rPr lang="en-IN" b="1"/>
            <a:t>Inventory Behavior</a:t>
          </a:r>
          <a:r>
            <a:rPr lang="en-IN"/>
            <a:t>: </a:t>
          </a:r>
          <a:r>
            <a:rPr lang="en-IN" b="1"/>
            <a:t>Inventory dropped below safety norms in Aug’25</a:t>
          </a:r>
          <a:r>
            <a:rPr lang="en-IN"/>
            <a:t>, indicating the need for stronger demand sensing and replenishment discipline.</a:t>
          </a:r>
        </a:p>
        <a:p>
          <a:r>
            <a:rPr lang="en-IN" b="1"/>
            <a:t>Stockout Impact</a:t>
          </a:r>
          <a:r>
            <a:rPr lang="en-IN"/>
            <a:t>: </a:t>
          </a:r>
          <a:r>
            <a:rPr lang="en-IN" b="1"/>
            <a:t>4 days of OOS in Aug’25</a:t>
          </a:r>
          <a:r>
            <a:rPr lang="en-IN"/>
            <a:t> likely resulted in </a:t>
          </a:r>
          <a:r>
            <a:rPr lang="en-IN" b="1"/>
            <a:t>lost demand and potential share migration to competitors</a:t>
          </a:r>
          <a:r>
            <a:rPr lang="en-IN"/>
            <a:t>.</a:t>
          </a:r>
        </a:p>
        <a:p>
          <a:r>
            <a:rPr lang="en-IN" b="1"/>
            <a:t>Trend Stability</a:t>
          </a:r>
          <a:r>
            <a:rPr lang="en-IN"/>
            <a:t>: No major structural trend change observed in the recent period; baseline demand trajectory remains consistent.</a:t>
          </a:r>
        </a:p>
        <a:p>
          <a:r>
            <a:rPr lang="en-IN" b="1"/>
            <a:t>Promotional Influence</a:t>
          </a:r>
          <a:r>
            <a:rPr lang="en-IN"/>
            <a:t>: </a:t>
          </a:r>
          <a:r>
            <a:rPr lang="en-IN" b="1"/>
            <a:t>Discount levels nearly doubled in Sep’25</a:t>
          </a:r>
          <a:r>
            <a:rPr lang="en-IN"/>
            <a:t>, which may have directly contributed to the elevated sales spike, rather than underlying demand growth.</a:t>
          </a:r>
        </a:p>
      </xdr:txBody>
    </xdr:sp>
    <xdr:clientData/>
  </xdr:twoCellAnchor>
  <xdr:twoCellAnchor>
    <xdr:from>
      <xdr:col>3</xdr:col>
      <xdr:colOff>381000</xdr:colOff>
      <xdr:row>19</xdr:row>
      <xdr:rowOff>139700</xdr:rowOff>
    </xdr:from>
    <xdr:to>
      <xdr:col>4</xdr:col>
      <xdr:colOff>6604000</xdr:colOff>
      <xdr:row>35</xdr:row>
      <xdr:rowOff>177800</xdr:rowOff>
    </xdr:to>
    <xdr:sp macro="" textlink="">
      <xdr:nvSpPr>
        <xdr:cNvPr id="4" name="TextBox 3">
          <a:extLst>
            <a:ext uri="{FF2B5EF4-FFF2-40B4-BE49-F238E27FC236}">
              <a16:creationId xmlns:a16="http://schemas.microsoft.com/office/drawing/2014/main" id="{3C1715DF-F63B-490E-9E0F-61822BE8AB33}"/>
            </a:ext>
          </a:extLst>
        </xdr:cNvPr>
        <xdr:cNvSpPr txBox="1"/>
      </xdr:nvSpPr>
      <xdr:spPr>
        <a:xfrm>
          <a:off x="8788400" y="3848100"/>
          <a:ext cx="6794500" cy="299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Demand Summary (Automated Insights)</a:t>
          </a:r>
        </a:p>
        <a:p>
          <a:r>
            <a:rPr lang="en-IN" b="1"/>
            <a:t>Core Season</a:t>
          </a:r>
          <a:r>
            <a:rPr lang="en-IN"/>
            <a:t>: Mar–May</a:t>
          </a:r>
          <a:br>
            <a:rPr lang="en-IN"/>
          </a:br>
          <a:r>
            <a:rPr lang="en-IN"/>
            <a:t>Seasonal performance declined </a:t>
          </a:r>
          <a:r>
            <a:rPr lang="en-IN" b="1"/>
            <a:t>13% YoY</a:t>
          </a:r>
          <a:r>
            <a:rPr lang="en-IN"/>
            <a:t> (₹47.6 L → ₹41.6 L), suggesting </a:t>
          </a:r>
          <a:r>
            <a:rPr lang="en-IN" b="1"/>
            <a:t>weaker seasonal pull this year</a:t>
          </a:r>
          <a:r>
            <a:rPr lang="en-IN"/>
            <a:t>.</a:t>
          </a:r>
        </a:p>
        <a:p>
          <a:r>
            <a:rPr lang="en-IN" b="1"/>
            <a:t>Business Momentum</a:t>
          </a:r>
          <a:endParaRPr lang="en-IN"/>
        </a:p>
        <a:p>
          <a:pPr lvl="1"/>
          <a:r>
            <a:rPr lang="en-IN" b="1"/>
            <a:t>Trend remains stable</a:t>
          </a:r>
          <a:r>
            <a:rPr lang="en-IN"/>
            <a:t> with no structural demand shift.</a:t>
          </a:r>
        </a:p>
        <a:p>
          <a:pPr lvl="1"/>
          <a:r>
            <a:rPr lang="en-IN" b="1"/>
            <a:t>YTD demand</a:t>
          </a:r>
          <a:r>
            <a:rPr lang="en-IN"/>
            <a:t> slipped </a:t>
          </a:r>
          <a:r>
            <a:rPr lang="en-IN" b="1"/>
            <a:t>3.4% YoY</a:t>
          </a:r>
          <a:r>
            <a:rPr lang="en-IN"/>
            <a:t> (₹88.7 L → ₹85.6 L), indicating mild softening in overall demand.</a:t>
          </a:r>
        </a:p>
        <a:p>
          <a:r>
            <a:rPr lang="en-IN" b="1"/>
            <a:t>Recent Performance</a:t>
          </a:r>
          <a:br>
            <a:rPr lang="en-IN"/>
          </a:br>
          <a:r>
            <a:rPr lang="en-IN"/>
            <a:t>Demand shows sequential recovery:</a:t>
          </a:r>
        </a:p>
        <a:p>
          <a:pPr lvl="1"/>
          <a:r>
            <a:rPr lang="en-IN" b="1"/>
            <a:t>L12M:</a:t>
          </a:r>
          <a:r>
            <a:rPr lang="en-IN"/>
            <a:t> ₹9.1 L</a:t>
          </a:r>
        </a:p>
        <a:p>
          <a:pPr lvl="1"/>
          <a:r>
            <a:rPr lang="en-IN" b="1"/>
            <a:t>L6M:</a:t>
          </a:r>
          <a:r>
            <a:rPr lang="en-IN"/>
            <a:t> ₹8.0 L</a:t>
          </a:r>
        </a:p>
        <a:p>
          <a:pPr lvl="1"/>
          <a:r>
            <a:rPr lang="en-IN" b="1"/>
            <a:t>L3M:</a:t>
          </a:r>
          <a:r>
            <a:rPr lang="en-IN"/>
            <a:t> ₹5.0 L</a:t>
          </a:r>
        </a:p>
        <a:p>
          <a:pPr lvl="1"/>
          <a:r>
            <a:rPr lang="en-IN" b="1"/>
            <a:t>L3M Growth:</a:t>
          </a:r>
          <a:r>
            <a:rPr lang="en-IN"/>
            <a:t> </a:t>
          </a:r>
          <a:r>
            <a:rPr lang="en-IN" b="1"/>
            <a:t>+4.9%</a:t>
          </a:r>
          <a:r>
            <a:rPr lang="en-IN"/>
            <a:t>, suggesting </a:t>
          </a:r>
          <a:r>
            <a:rPr lang="en-IN" b="1"/>
            <a:t>near-term pickup despite yearly drop</a:t>
          </a:r>
          <a:r>
            <a:rPr lang="en-IN"/>
            <a:t>.</a:t>
          </a:r>
        </a:p>
        <a:p>
          <a:r>
            <a:rPr lang="en-IN" b="1"/>
            <a:t>Volatility &amp; Predictability</a:t>
          </a:r>
          <a:endParaRPr lang="en-IN"/>
        </a:p>
        <a:p>
          <a:pPr lvl="1"/>
          <a:r>
            <a:rPr lang="en-IN" b="1"/>
            <a:t>YoY volatility (Std6)</a:t>
          </a:r>
          <a:r>
            <a:rPr lang="en-IN"/>
            <a:t> reduced by </a:t>
          </a:r>
          <a:r>
            <a:rPr lang="en-IN" b="1"/>
            <a:t>15%</a:t>
          </a:r>
          <a:r>
            <a:rPr lang="en-IN"/>
            <a:t>, making the SKU more predictable.</a:t>
          </a:r>
        </a:p>
        <a:p>
          <a:pPr lvl="1"/>
          <a:r>
            <a:rPr lang="en-IN"/>
            <a:t>Demand is strongly influenced by </a:t>
          </a:r>
          <a:r>
            <a:rPr lang="en-IN" b="1"/>
            <a:t>Seasonality, MA3, Lag1, Lag12</a:t>
          </a:r>
          <a:r>
            <a:rPr lang="en-IN"/>
            <a:t>, indicating </a:t>
          </a:r>
          <a:r>
            <a:rPr lang="en-IN" b="1"/>
            <a:t>historical cyclicity and near-term momentum are reliable drivers</a:t>
          </a:r>
          <a:r>
            <a:rPr lang="en-IN"/>
            <a:t>.</a:t>
          </a:r>
        </a:p>
      </xdr:txBody>
    </xdr:sp>
    <xdr:clientData/>
  </xdr:twoCellAnchor>
  <xdr:twoCellAnchor>
    <xdr:from>
      <xdr:col>3</xdr:col>
      <xdr:colOff>397282</xdr:colOff>
      <xdr:row>47</xdr:row>
      <xdr:rowOff>32889</xdr:rowOff>
    </xdr:from>
    <xdr:to>
      <xdr:col>4</xdr:col>
      <xdr:colOff>6561667</xdr:colOff>
      <xdr:row>59</xdr:row>
      <xdr:rowOff>24423</xdr:rowOff>
    </xdr:to>
    <xdr:sp macro="" textlink="">
      <xdr:nvSpPr>
        <xdr:cNvPr id="5" name="TextBox 4">
          <a:extLst>
            <a:ext uri="{FF2B5EF4-FFF2-40B4-BE49-F238E27FC236}">
              <a16:creationId xmlns:a16="http://schemas.microsoft.com/office/drawing/2014/main" id="{DFE42D3F-72E8-485F-9373-27DC47D9509C}"/>
            </a:ext>
          </a:extLst>
        </xdr:cNvPr>
        <xdr:cNvSpPr txBox="1"/>
      </xdr:nvSpPr>
      <xdr:spPr>
        <a:xfrm>
          <a:off x="8798820" y="9191543"/>
          <a:ext cx="6734257" cy="22384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Summary:</a:t>
          </a:r>
        </a:p>
        <a:p>
          <a:r>
            <a:rPr lang="en-IN" b="1"/>
            <a:t>Dual Seasonal Peaks</a:t>
          </a:r>
          <a:r>
            <a:rPr lang="en-IN"/>
            <a:t> observed in </a:t>
          </a:r>
          <a:r>
            <a:rPr lang="en-IN" b="1"/>
            <a:t>Mar–Apr and Sep–Oct</a:t>
          </a:r>
          <a:r>
            <a:rPr lang="en-IN"/>
            <a:t>, with seasonal sales up </a:t>
          </a:r>
          <a:r>
            <a:rPr lang="en-IN" b="1"/>
            <a:t>+18% YoY</a:t>
          </a:r>
          <a:r>
            <a:rPr lang="en-IN"/>
            <a:t> (₹10.9K → ₹12.9K), indicating </a:t>
          </a:r>
          <a:r>
            <a:rPr lang="en-IN" b="1"/>
            <a:t>stronger seasonal pull this year</a:t>
          </a:r>
          <a:r>
            <a:rPr lang="en-IN"/>
            <a:t>.</a:t>
          </a:r>
        </a:p>
        <a:p>
          <a:r>
            <a:rPr lang="en-IN" b="1"/>
            <a:t>Growth Momentum</a:t>
          </a:r>
          <a:endParaRPr lang="en-IN"/>
        </a:p>
        <a:p>
          <a:r>
            <a:rPr lang="en-IN" b="1"/>
            <a:t>Trend is clearly upward</a:t>
          </a:r>
          <a:r>
            <a:rPr lang="en-IN"/>
            <a:t>, supported by strong overall demand expansion.</a:t>
          </a:r>
        </a:p>
        <a:p>
          <a:r>
            <a:rPr lang="en-IN" b="1"/>
            <a:t>YTD sales grew sharply by +51% YoY</a:t>
          </a:r>
          <a:r>
            <a:rPr lang="en-IN"/>
            <a:t> (₹22.3K → ₹33.7K), confirming </a:t>
          </a:r>
          <a:r>
            <a:rPr lang="en-IN" b="1"/>
            <a:t>sustained performance beyond seasonality</a:t>
          </a:r>
          <a:r>
            <a:rPr lang="en-IN"/>
            <a:t>.</a:t>
          </a:r>
        </a:p>
        <a:p>
          <a:r>
            <a:rPr lang="en-IN" b="1"/>
            <a:t>L3M growth vs LY is +46%</a:t>
          </a:r>
          <a:r>
            <a:rPr lang="en-IN"/>
            <a:t>, showing </a:t>
          </a:r>
          <a:r>
            <a:rPr lang="en-IN" b="1"/>
            <a:t>consistent recent surge</a:t>
          </a:r>
          <a:r>
            <a:rPr lang="en-IN"/>
            <a:t>, not a one-off spike.</a:t>
          </a:r>
        </a:p>
        <a:p>
          <a:r>
            <a:rPr lang="en-IN" b="1"/>
            <a:t>Volatility &amp; Drivers</a:t>
          </a:r>
          <a:endParaRPr lang="en-IN"/>
        </a:p>
        <a:p>
          <a:r>
            <a:rPr lang="en-IN" b="1"/>
            <a:t>YoY volatility (Std6) increased by 23%</a:t>
          </a:r>
          <a:r>
            <a:rPr lang="en-IN"/>
            <a:t>, indicating </a:t>
          </a:r>
          <a:r>
            <a:rPr lang="en-IN" b="1"/>
            <a:t>heightened variation within growth</a:t>
          </a:r>
          <a:r>
            <a:rPr lang="en-IN"/>
            <a:t> — growth is strong but less predictable.</a:t>
          </a:r>
        </a:p>
        <a:p>
          <a:r>
            <a:rPr lang="en-IN"/>
            <a:t>Demand is strongly driven by </a:t>
          </a:r>
          <a:r>
            <a:rPr lang="en-IN" b="1"/>
            <a:t>Seasonality, MA3, MA6, and recent volatility (STD3)</a:t>
          </a:r>
          <a:r>
            <a:rPr lang="en-IN"/>
            <a:t>, reinforcing both </a:t>
          </a:r>
          <a:r>
            <a:rPr lang="en-IN" b="1"/>
            <a:t>cyclic demand and short-term momentum sensitivity</a:t>
          </a:r>
          <a:r>
            <a:rPr lang="en-IN"/>
            <a:t>.</a:t>
          </a:r>
        </a:p>
      </xdr:txBody>
    </xdr:sp>
    <xdr:clientData/>
  </xdr:twoCellAnchor>
  <xdr:twoCellAnchor>
    <xdr:from>
      <xdr:col>3</xdr:col>
      <xdr:colOff>382628</xdr:colOff>
      <xdr:row>59</xdr:row>
      <xdr:rowOff>115928</xdr:rowOff>
    </xdr:from>
    <xdr:to>
      <xdr:col>4</xdr:col>
      <xdr:colOff>6605628</xdr:colOff>
      <xdr:row>74</xdr:row>
      <xdr:rowOff>134978</xdr:rowOff>
    </xdr:to>
    <xdr:sp macro="" textlink="">
      <xdr:nvSpPr>
        <xdr:cNvPr id="6" name="TextBox 5">
          <a:extLst>
            <a:ext uri="{FF2B5EF4-FFF2-40B4-BE49-F238E27FC236}">
              <a16:creationId xmlns:a16="http://schemas.microsoft.com/office/drawing/2014/main" id="{05C72404-ED6C-45C8-97FE-B2E7DF56BA9F}"/>
            </a:ext>
          </a:extLst>
        </xdr:cNvPr>
        <xdr:cNvSpPr txBox="1"/>
      </xdr:nvSpPr>
      <xdr:spPr>
        <a:xfrm>
          <a:off x="8784166" y="11521505"/>
          <a:ext cx="6792872" cy="33812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RCA:</a:t>
          </a:r>
        </a:p>
        <a:p>
          <a:r>
            <a:rPr lang="en-IN" b="1"/>
            <a:t>📉 Seasonal Anomaly:</a:t>
          </a:r>
          <a:br>
            <a:rPr lang="en-IN"/>
          </a:br>
          <a:r>
            <a:rPr lang="en-IN"/>
            <a:t>Year-end season demand was weaker vs last year, Lower expected uplift.</a:t>
          </a:r>
        </a:p>
        <a:p>
          <a:r>
            <a:rPr lang="en-IN" b="1"/>
            <a:t>⚠️ Outlier Month (Aug’24):</a:t>
          </a:r>
          <a:br>
            <a:rPr lang="en-IN"/>
          </a:br>
          <a:r>
            <a:rPr lang="en-IN"/>
            <a:t>Sales were unusually low, indicating a possible execution or demand issue.</a:t>
          </a:r>
        </a:p>
        <a:p>
          <a:r>
            <a:rPr lang="en-IN" b="1"/>
            <a:t>📦 Inventory Health:</a:t>
          </a:r>
          <a:br>
            <a:rPr lang="en-IN"/>
          </a:br>
          <a:r>
            <a:rPr lang="en-IN"/>
            <a:t>Inventory has been </a:t>
          </a:r>
          <a:r>
            <a:rPr lang="en-IN" b="1"/>
            <a:t>consistently high for the last 6 months</a:t>
          </a:r>
          <a:r>
            <a:rPr lang="en-IN"/>
            <a:t>, ruling out supply constraints but increasing holding cost.</a:t>
          </a:r>
        </a:p>
        <a:p>
          <a:r>
            <a:rPr lang="en-IN" b="1"/>
            <a:t>✔ No OOS Risk:</a:t>
          </a:r>
          <a:br>
            <a:rPr lang="en-IN"/>
          </a:br>
          <a:r>
            <a:rPr lang="en-IN"/>
            <a:t>Product remained fully stocked — demand drop isn’t due to availability.</a:t>
          </a:r>
        </a:p>
        <a:p>
          <a:r>
            <a:rPr lang="en-IN" b="1"/>
            <a:t>📈 Trend Shift Identified:</a:t>
          </a:r>
          <a:br>
            <a:rPr lang="en-IN"/>
          </a:br>
          <a:r>
            <a:rPr lang="en-IN"/>
            <a:t>From Jun’24, the trend has turned downward; </a:t>
          </a:r>
          <a:r>
            <a:rPr lang="en-IN" b="1"/>
            <a:t>L3M is -14% vs LY</a:t>
          </a:r>
          <a:r>
            <a:rPr lang="en-IN"/>
            <a:t>, signaling sustained slowdown.</a:t>
          </a:r>
        </a:p>
        <a:p>
          <a:r>
            <a:rPr lang="en-IN" b="1"/>
            <a:t>💸 Pricing Impact:</a:t>
          </a:r>
          <a:br>
            <a:rPr lang="en-IN"/>
          </a:br>
          <a:r>
            <a:rPr lang="en-IN"/>
            <a:t>Discount was reduced in Aug’25, potentially hurting price-sensitive demand.</a:t>
          </a:r>
        </a:p>
        <a:p>
          <a:r>
            <a:rPr lang="en-IN" b="1"/>
            <a:t>🆕 New Launch Cannibalization:</a:t>
          </a:r>
          <a:br>
            <a:rPr lang="en-IN"/>
          </a:br>
          <a:r>
            <a:rPr lang="en-IN"/>
            <a:t>A new launch in the same sub-category is likely </a:t>
          </a:r>
          <a:r>
            <a:rPr lang="en-IN" b="1"/>
            <a:t>eating into this SKU’s share</a:t>
          </a:r>
          <a:r>
            <a:rPr lang="en-IN"/>
            <a:t>, accelerating the downtrend.</a:t>
          </a:r>
        </a:p>
        <a:p>
          <a:endParaRPr lang="en-IN" sz="1100"/>
        </a:p>
      </xdr:txBody>
    </xdr:sp>
    <xdr:clientData/>
  </xdr:twoCellAnchor>
  <xdr:twoCellAnchor>
    <xdr:from>
      <xdr:col>3</xdr:col>
      <xdr:colOff>314895</xdr:colOff>
      <xdr:row>72</xdr:row>
      <xdr:rowOff>155167</xdr:rowOff>
    </xdr:from>
    <xdr:to>
      <xdr:col>4</xdr:col>
      <xdr:colOff>6537895</xdr:colOff>
      <xdr:row>85</xdr:row>
      <xdr:rowOff>122115</xdr:rowOff>
    </xdr:to>
    <xdr:sp macro="" textlink="">
      <xdr:nvSpPr>
        <xdr:cNvPr id="7" name="TextBox 6">
          <a:extLst>
            <a:ext uri="{FF2B5EF4-FFF2-40B4-BE49-F238E27FC236}">
              <a16:creationId xmlns:a16="http://schemas.microsoft.com/office/drawing/2014/main" id="{BF96F40C-0CE4-42BB-9B46-311D5DF41B98}"/>
            </a:ext>
          </a:extLst>
        </xdr:cNvPr>
        <xdr:cNvSpPr txBox="1"/>
      </xdr:nvSpPr>
      <xdr:spPr>
        <a:xfrm>
          <a:off x="8716433" y="14548500"/>
          <a:ext cx="6792872" cy="2401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Summary:</a:t>
          </a:r>
        </a:p>
        <a:p>
          <a:r>
            <a:rPr lang="en-IN" b="1"/>
            <a:t>📅 Seasonal Pattern:</a:t>
          </a:r>
          <a:br>
            <a:rPr lang="en-IN"/>
          </a:br>
          <a:r>
            <a:rPr lang="en-IN"/>
            <a:t>Demand peaks in </a:t>
          </a:r>
          <a:r>
            <a:rPr lang="en-IN" b="1"/>
            <a:t>Apr, Oct–Dec</a:t>
          </a:r>
          <a:r>
            <a:rPr lang="en-IN"/>
            <a:t>. This season continues to drive strong volume.</a:t>
          </a:r>
        </a:p>
        <a:p>
          <a:r>
            <a:rPr lang="en-IN" b="1"/>
            <a:t>📈 Season-over-Season Growth:</a:t>
          </a:r>
          <a:br>
            <a:rPr lang="en-IN"/>
          </a:br>
          <a:r>
            <a:rPr lang="en-IN"/>
            <a:t>Sales in key seasonal months grew </a:t>
          </a:r>
          <a:r>
            <a:rPr lang="en-IN" b="1"/>
            <a:t>27% vs LY</a:t>
          </a:r>
          <a:r>
            <a:rPr lang="en-IN"/>
            <a:t>, indicating healthier seasonal demand.</a:t>
          </a:r>
        </a:p>
        <a:p>
          <a:r>
            <a:rPr lang="en-IN" b="1"/>
            <a:t>📉 Trend Insights:</a:t>
          </a:r>
          <a:endParaRPr lang="en-IN"/>
        </a:p>
        <a:p>
          <a:r>
            <a:rPr lang="en-IN" b="1"/>
            <a:t>Long-term trend is positive</a:t>
          </a:r>
          <a:r>
            <a:rPr lang="en-IN"/>
            <a:t>, showing consistent multi-year growth.</a:t>
          </a:r>
        </a:p>
        <a:p>
          <a:r>
            <a:rPr lang="en-IN" b="1"/>
            <a:t>Short-term trend is concerning</a:t>
          </a:r>
          <a:r>
            <a:rPr lang="en-IN"/>
            <a:t>, with recent volumes weakening.</a:t>
          </a:r>
        </a:p>
        <a:p>
          <a:r>
            <a:rPr lang="en-IN" b="1"/>
            <a:t>📆 YTD Growth:</a:t>
          </a:r>
          <a:br>
            <a:rPr lang="en-IN"/>
          </a:br>
          <a:r>
            <a:rPr lang="en-IN"/>
            <a:t>YTD sales at </a:t>
          </a:r>
          <a:r>
            <a:rPr lang="en-IN" b="1"/>
            <a:t>41,445</a:t>
          </a:r>
          <a:r>
            <a:rPr lang="en-IN"/>
            <a:t>, up </a:t>
          </a:r>
          <a:r>
            <a:rPr lang="en-IN" b="1"/>
            <a:t>42.8% vs LY</a:t>
          </a:r>
          <a:r>
            <a:rPr lang="en-IN"/>
            <a:t>, driven mainly by stronger early-year performance.</a:t>
          </a:r>
        </a:p>
        <a:p>
          <a:r>
            <a:rPr lang="en-IN" b="1"/>
            <a:t>🔍 Recent Momentum (L3M):</a:t>
          </a:r>
          <a:br>
            <a:rPr lang="en-IN"/>
          </a:br>
          <a:r>
            <a:rPr lang="en-IN"/>
            <a:t>Sales in the last 3 months show a </a:t>
          </a:r>
          <a:r>
            <a:rPr lang="en-IN" b="1"/>
            <a:t>-13.7% drop vs LY</a:t>
          </a:r>
          <a:r>
            <a:rPr lang="en-IN"/>
            <a:t>, suggesting a slowdown despite a strong year overall.</a:t>
          </a:r>
        </a:p>
      </xdr:txBody>
    </xdr:sp>
    <xdr:clientData/>
  </xdr:twoCellAnchor>
  <xdr:twoCellAnchor>
    <xdr:from>
      <xdr:col>3</xdr:col>
      <xdr:colOff>38100</xdr:colOff>
      <xdr:row>87</xdr:row>
      <xdr:rowOff>31750</xdr:rowOff>
    </xdr:from>
    <xdr:to>
      <xdr:col>4</xdr:col>
      <xdr:colOff>6261100</xdr:colOff>
      <xdr:row>103</xdr:row>
      <xdr:rowOff>69850</xdr:rowOff>
    </xdr:to>
    <xdr:sp macro="" textlink="">
      <xdr:nvSpPr>
        <xdr:cNvPr id="8" name="TextBox 7">
          <a:extLst>
            <a:ext uri="{FF2B5EF4-FFF2-40B4-BE49-F238E27FC236}">
              <a16:creationId xmlns:a16="http://schemas.microsoft.com/office/drawing/2014/main" id="{F4060249-ED8C-49F2-B3D8-C5827DC8EAC7}"/>
            </a:ext>
          </a:extLst>
        </xdr:cNvPr>
        <xdr:cNvSpPr txBox="1"/>
      </xdr:nvSpPr>
      <xdr:spPr>
        <a:xfrm>
          <a:off x="8445500" y="16694150"/>
          <a:ext cx="6794500" cy="3181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RCA</a:t>
          </a:r>
        </a:p>
        <a:p>
          <a:r>
            <a:rPr lang="en-IN" b="1"/>
            <a:t>📉 Seasonal Anomaly</a:t>
          </a:r>
          <a:br>
            <a:rPr lang="en-IN"/>
          </a:br>
          <a:r>
            <a:rPr lang="en-IN"/>
            <a:t>Seasonality months are consistent, but </a:t>
          </a:r>
          <a:r>
            <a:rPr lang="en-IN" b="1"/>
            <a:t>this year’s peak season performed weaker than LY</a:t>
          </a:r>
          <a:r>
            <a:rPr lang="en-IN"/>
            <a:t>, indicating a softer demand likely extending toward year-end.</a:t>
          </a:r>
        </a:p>
        <a:p>
          <a:r>
            <a:rPr lang="en-IN" b="1"/>
            <a:t>⚠️ Outlier Month</a:t>
          </a:r>
          <a:br>
            <a:rPr lang="en-IN"/>
          </a:br>
          <a:endParaRPr lang="en-IN"/>
        </a:p>
        <a:p>
          <a:r>
            <a:rPr lang="en-IN" b="1"/>
            <a:t>📦 Inventory Signal</a:t>
          </a:r>
          <a:br>
            <a:rPr lang="en-IN"/>
          </a:br>
          <a:r>
            <a:rPr lang="en-IN"/>
            <a:t>Inventory levels remained </a:t>
          </a:r>
          <a:r>
            <a:rPr lang="en-IN" b="1"/>
            <a:t>higher than required for the last 6 months</a:t>
          </a:r>
          <a:r>
            <a:rPr lang="en-IN"/>
            <a:t>, indicating over-stocking and potential planning inefficiencies.</a:t>
          </a:r>
        </a:p>
        <a:p>
          <a:r>
            <a:rPr lang="en-IN" b="1"/>
            <a:t>📉 Trend Shift</a:t>
          </a:r>
          <a:br>
            <a:rPr lang="en-IN"/>
          </a:br>
          <a:r>
            <a:rPr lang="en-IN"/>
            <a:t>Since </a:t>
          </a:r>
          <a:r>
            <a:rPr lang="en-IN" b="1"/>
            <a:t>Jun’24</a:t>
          </a:r>
          <a:r>
            <a:rPr lang="en-IN"/>
            <a:t>, demand has shifted downward, with the </a:t>
          </a:r>
          <a:r>
            <a:rPr lang="en-IN" b="1"/>
            <a:t>last 3 months showing a -14% drop vs LY</a:t>
          </a:r>
          <a:r>
            <a:rPr lang="en-IN"/>
            <a:t>, signaling a clear negative trend.</a:t>
          </a:r>
        </a:p>
        <a:p>
          <a:r>
            <a:rPr lang="en-IN" b="1"/>
            <a:t>🏷️ Price/Discount Check</a:t>
          </a:r>
          <a:br>
            <a:rPr lang="en-IN"/>
          </a:br>
          <a:r>
            <a:rPr lang="en-IN"/>
            <a:t>No major shift in pricing or discounting was observed. However, </a:t>
          </a:r>
          <a:r>
            <a:rPr lang="en-IN" b="1"/>
            <a:t>promotional push or stronger discounts may help recover volumes</a:t>
          </a:r>
          <a:r>
            <a:rPr lang="en-IN"/>
            <a:t>.</a:t>
          </a:r>
        </a:p>
      </xdr:txBody>
    </xdr:sp>
    <xdr:clientData/>
  </xdr:twoCellAnchor>
  <xdr:twoCellAnchor>
    <xdr:from>
      <xdr:col>3</xdr:col>
      <xdr:colOff>31750</xdr:colOff>
      <xdr:row>103</xdr:row>
      <xdr:rowOff>120650</xdr:rowOff>
    </xdr:from>
    <xdr:to>
      <xdr:col>4</xdr:col>
      <xdr:colOff>6254750</xdr:colOff>
      <xdr:row>120</xdr:row>
      <xdr:rowOff>165100</xdr:rowOff>
    </xdr:to>
    <xdr:sp macro="" textlink="">
      <xdr:nvSpPr>
        <xdr:cNvPr id="9" name="TextBox 8">
          <a:extLst>
            <a:ext uri="{FF2B5EF4-FFF2-40B4-BE49-F238E27FC236}">
              <a16:creationId xmlns:a16="http://schemas.microsoft.com/office/drawing/2014/main" id="{5DDA2475-C24C-4546-A766-B9917D0B9EBA}"/>
            </a:ext>
          </a:extLst>
        </xdr:cNvPr>
        <xdr:cNvSpPr txBox="1"/>
      </xdr:nvSpPr>
      <xdr:spPr>
        <a:xfrm>
          <a:off x="8439150" y="19926300"/>
          <a:ext cx="6794500" cy="3181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Summary:</a:t>
          </a:r>
        </a:p>
        <a:p>
          <a:r>
            <a:rPr lang="en-IN" b="1"/>
            <a:t>🌦️ Seasonal Performance</a:t>
          </a:r>
          <a:br>
            <a:rPr lang="en-IN"/>
          </a:br>
          <a:r>
            <a:rPr lang="en-IN"/>
            <a:t>Peak season (Feb–May) underperformed sharply with </a:t>
          </a:r>
          <a:r>
            <a:rPr lang="en-IN" b="1"/>
            <a:t>-30% YoY seasonal sales drop</a:t>
          </a:r>
          <a:r>
            <a:rPr lang="en-IN"/>
            <a:t>, showing weaker seasonal pull compared to last year</a:t>
          </a:r>
          <a:r>
            <a:rPr lang="en-IN" baseline="0"/>
            <a:t> might as well reflect in year end sales</a:t>
          </a:r>
          <a:r>
            <a:rPr lang="en-IN"/>
            <a:t>.</a:t>
          </a:r>
        </a:p>
        <a:p>
          <a:r>
            <a:rPr lang="en-IN" b="1"/>
            <a:t>📉 Trend</a:t>
          </a:r>
          <a:br>
            <a:rPr lang="en-IN"/>
          </a:br>
          <a:r>
            <a:rPr lang="en-IN"/>
            <a:t>Overall trend remains </a:t>
          </a:r>
          <a:r>
            <a:rPr lang="en-IN" b="1"/>
            <a:t>flat</a:t>
          </a:r>
          <a:r>
            <a:rPr lang="en-IN"/>
            <a:t>, but seasonal weakness is affecting total performance.</a:t>
          </a:r>
        </a:p>
        <a:p>
          <a:r>
            <a:rPr lang="en-IN" b="1"/>
            <a:t>📆 YTD Status</a:t>
          </a:r>
          <a:br>
            <a:rPr lang="en-IN"/>
          </a:br>
          <a:r>
            <a:rPr lang="en-IN"/>
            <a:t>Year-to-date sales stand at </a:t>
          </a:r>
          <a:r>
            <a:rPr lang="en-IN" b="1"/>
            <a:t>₹76,080 vs ₹93,222 LY</a:t>
          </a:r>
          <a:r>
            <a:rPr lang="en-IN"/>
            <a:t>, resulting in a </a:t>
          </a:r>
          <a:r>
            <a:rPr lang="en-IN" b="1"/>
            <a:t>-18.4% decline</a:t>
          </a:r>
          <a:r>
            <a:rPr lang="en-IN"/>
            <a:t>, indicating sustained demand pressure.</a:t>
          </a:r>
        </a:p>
        <a:p>
          <a:r>
            <a:rPr lang="en-IN" b="1"/>
            <a:t>📊 Recent Performance</a:t>
          </a:r>
          <a:br>
            <a:rPr lang="en-IN"/>
          </a:br>
          <a:r>
            <a:rPr lang="en-IN"/>
            <a:t>Last 3 months showed </a:t>
          </a:r>
          <a:r>
            <a:rPr lang="en-IN" b="1"/>
            <a:t>marginal improvement (2.1% growth vs LY)</a:t>
          </a:r>
          <a:r>
            <a:rPr lang="en-IN"/>
            <a:t>, hinting at a </a:t>
          </a:r>
          <a:r>
            <a:rPr lang="en-IN" b="1"/>
            <a:t>small recovery</a:t>
          </a:r>
          <a:r>
            <a:rPr lang="en-IN"/>
            <a:t>, though still below past peaks.</a:t>
          </a:r>
        </a:p>
        <a:p>
          <a:r>
            <a:rPr lang="en-IN" b="1"/>
            <a:t>📉 Variability Signal</a:t>
          </a:r>
          <a:br>
            <a:rPr lang="en-IN"/>
          </a:br>
          <a:r>
            <a:rPr lang="en-IN"/>
            <a:t>YoY 6-month volatility </a:t>
          </a:r>
          <a:r>
            <a:rPr lang="en-IN" b="1"/>
            <a:t>dropped sharply (-31%)</a:t>
          </a:r>
          <a:r>
            <a:rPr lang="en-IN"/>
            <a:t>, indicating more stable but lower demand.</a:t>
          </a:r>
        </a:p>
        <a:p>
          <a:r>
            <a:rPr lang="en-IN" b="1"/>
            <a:t>🔗 Key Drivers / Influencers</a:t>
          </a:r>
          <a:br>
            <a:rPr lang="en-IN"/>
          </a:br>
          <a:r>
            <a:rPr lang="en-IN"/>
            <a:t>Sales behavior is strongly linked to </a:t>
          </a:r>
          <a:r>
            <a:rPr lang="en-IN" b="1"/>
            <a:t>Seasonality, Moving Averages (MA3, MA6), and Lags (Lag1, Lag11)</a:t>
          </a:r>
          <a:r>
            <a:rPr lang="en-IN"/>
            <a:t> — highlighting </a:t>
          </a:r>
          <a:r>
            <a:rPr lang="en-IN" b="1"/>
            <a:t>dependence on repeating demand cycles rather than new growth drivers</a:t>
          </a:r>
          <a:r>
            <a:rPr lang="en-IN"/>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339395</xdr:colOff>
      <xdr:row>6</xdr:row>
      <xdr:rowOff>167456</xdr:rowOff>
    </xdr:from>
    <xdr:to>
      <xdr:col>9</xdr:col>
      <xdr:colOff>930603</xdr:colOff>
      <xdr:row>28</xdr:row>
      <xdr:rowOff>120431</xdr:rowOff>
    </xdr:to>
    <xdr:graphicFrame macro="">
      <xdr:nvGraphicFramePr>
        <xdr:cNvPr id="2" name="Chart 1">
          <a:extLst>
            <a:ext uri="{FF2B5EF4-FFF2-40B4-BE49-F238E27FC236}">
              <a16:creationId xmlns:a16="http://schemas.microsoft.com/office/drawing/2014/main" id="{CF33C9C2-BA9F-4DBC-8980-3393F223D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0</xdr:row>
      <xdr:rowOff>6351</xdr:rowOff>
    </xdr:from>
    <xdr:to>
      <xdr:col>7</xdr:col>
      <xdr:colOff>260350</xdr:colOff>
      <xdr:row>4</xdr:row>
      <xdr:rowOff>177800</xdr:rowOff>
    </xdr:to>
    <mc:AlternateContent xmlns:mc="http://schemas.openxmlformats.org/markup-compatibility/2006" xmlns:a14="http://schemas.microsoft.com/office/drawing/2010/main">
      <mc:Choice Requires="a14">
        <xdr:graphicFrame macro="">
          <xdr:nvGraphicFramePr>
            <xdr:cNvPr id="3" name="Channel">
              <a:extLst>
                <a:ext uri="{FF2B5EF4-FFF2-40B4-BE49-F238E27FC236}">
                  <a16:creationId xmlns:a16="http://schemas.microsoft.com/office/drawing/2014/main" id="{F6E64770-B80B-451E-859D-81AC4EB20C0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073400" y="6351"/>
              <a:ext cx="1041400" cy="908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444500</xdr:colOff>
      <xdr:row>0</xdr:row>
      <xdr:rowOff>1</xdr:rowOff>
    </xdr:from>
    <xdr:to>
      <xdr:col>8</xdr:col>
      <xdr:colOff>1306020</xdr:colOff>
      <xdr:row>6</xdr:row>
      <xdr:rowOff>44451</xdr:rowOff>
    </xdr:to>
    <mc:AlternateContent xmlns:mc="http://schemas.openxmlformats.org/markup-compatibility/2006" xmlns:a14="http://schemas.microsoft.com/office/drawing/2010/main">
      <mc:Choice Requires="a14">
        <xdr:graphicFrame macro="">
          <xdr:nvGraphicFramePr>
            <xdr:cNvPr id="4" name="Chain">
              <a:extLst>
                <a:ext uri="{FF2B5EF4-FFF2-40B4-BE49-F238E27FC236}">
                  <a16:creationId xmlns:a16="http://schemas.microsoft.com/office/drawing/2014/main" id="{70FD989C-A90D-42E7-8045-31B8FC56ECD5}"/>
                </a:ext>
              </a:extLst>
            </xdr:cNvPr>
            <xdr:cNvGraphicFramePr/>
          </xdr:nvGraphicFramePr>
          <xdr:xfrm>
            <a:off x="0" y="0"/>
            <a:ext cx="0" cy="0"/>
          </xdr:xfrm>
          <a:graphic>
            <a:graphicData uri="http://schemas.microsoft.com/office/drawing/2010/slicer">
              <sle:slicer xmlns:sle="http://schemas.microsoft.com/office/drawing/2010/slicer" name="Chain"/>
            </a:graphicData>
          </a:graphic>
        </xdr:graphicFrame>
      </mc:Choice>
      <mc:Fallback xmlns="">
        <xdr:sp macro="" textlink="">
          <xdr:nvSpPr>
            <xdr:cNvPr id="0" name=""/>
            <xdr:cNvSpPr>
              <a:spLocks noTextEdit="1"/>
            </xdr:cNvSpPr>
          </xdr:nvSpPr>
          <xdr:spPr>
            <a:xfrm>
              <a:off x="4298950" y="1"/>
              <a:ext cx="172085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361950</xdr:colOff>
      <xdr:row>0</xdr:row>
      <xdr:rowOff>1</xdr:rowOff>
    </xdr:from>
    <xdr:to>
      <xdr:col>12</xdr:col>
      <xdr:colOff>224877</xdr:colOff>
      <xdr:row>6</xdr:row>
      <xdr:rowOff>50800</xdr:rowOff>
    </xdr:to>
    <mc:AlternateContent xmlns:mc="http://schemas.openxmlformats.org/markup-compatibility/2006" xmlns:a14="http://schemas.microsoft.com/office/drawing/2010/main">
      <mc:Choice Requires="a14">
        <xdr:graphicFrame macro="">
          <xdr:nvGraphicFramePr>
            <xdr:cNvPr id="5" name="Depot">
              <a:extLst>
                <a:ext uri="{FF2B5EF4-FFF2-40B4-BE49-F238E27FC236}">
                  <a16:creationId xmlns:a16="http://schemas.microsoft.com/office/drawing/2014/main" id="{27CC1951-3603-410B-8145-313B6A894D4F}"/>
                </a:ext>
              </a:extLst>
            </xdr:cNvPr>
            <xdr:cNvGraphicFramePr/>
          </xdr:nvGraphicFramePr>
          <xdr:xfrm>
            <a:off x="0" y="0"/>
            <a:ext cx="0" cy="0"/>
          </xdr:xfrm>
          <a:graphic>
            <a:graphicData uri="http://schemas.microsoft.com/office/drawing/2010/slicer">
              <sle:slicer xmlns:sle="http://schemas.microsoft.com/office/drawing/2010/slicer" name="Depot"/>
            </a:graphicData>
          </a:graphic>
        </xdr:graphicFrame>
      </mc:Choice>
      <mc:Fallback xmlns="">
        <xdr:sp macro="" textlink="">
          <xdr:nvSpPr>
            <xdr:cNvPr id="0" name=""/>
            <xdr:cNvSpPr>
              <a:spLocks noTextEdit="1"/>
            </xdr:cNvSpPr>
          </xdr:nvSpPr>
          <xdr:spPr>
            <a:xfrm>
              <a:off x="6045200" y="1"/>
              <a:ext cx="2540000" cy="1155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396765</xdr:colOff>
      <xdr:row>1</xdr:row>
      <xdr:rowOff>122840</xdr:rowOff>
    </xdr:from>
    <xdr:to>
      <xdr:col>16</xdr:col>
      <xdr:colOff>277920</xdr:colOff>
      <xdr:row>15</xdr:row>
      <xdr:rowOff>68866</xdr:rowOff>
    </xdr:to>
    <mc:AlternateContent xmlns:mc="http://schemas.openxmlformats.org/markup-compatibility/2006" xmlns:a14="http://schemas.microsoft.com/office/drawing/2010/main">
      <mc:Choice Requires="a14">
        <xdr:graphicFrame macro="">
          <xdr:nvGraphicFramePr>
            <xdr:cNvPr id="6" name="SubCat">
              <a:extLst>
                <a:ext uri="{FF2B5EF4-FFF2-40B4-BE49-F238E27FC236}">
                  <a16:creationId xmlns:a16="http://schemas.microsoft.com/office/drawing/2014/main" id="{3CEC81D3-1AB6-4D2B-B41F-EAEFE07232BE}"/>
                </a:ext>
              </a:extLst>
            </xdr:cNvPr>
            <xdr:cNvGraphicFramePr/>
          </xdr:nvGraphicFramePr>
          <xdr:xfrm>
            <a:off x="0" y="0"/>
            <a:ext cx="0" cy="0"/>
          </xdr:xfrm>
          <a:graphic>
            <a:graphicData uri="http://schemas.microsoft.com/office/drawing/2010/slicer">
              <sle:slicer xmlns:sle="http://schemas.microsoft.com/office/drawing/2010/slicer" name="SubCat"/>
            </a:graphicData>
          </a:graphic>
        </xdr:graphicFrame>
      </mc:Choice>
      <mc:Fallback xmlns="">
        <xdr:sp macro="" textlink="">
          <xdr:nvSpPr>
            <xdr:cNvPr id="0" name=""/>
            <xdr:cNvSpPr>
              <a:spLocks noTextEdit="1"/>
            </xdr:cNvSpPr>
          </xdr:nvSpPr>
          <xdr:spPr>
            <a:xfrm>
              <a:off x="20508748" y="308961"/>
              <a:ext cx="1249690" cy="2551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533400</xdr:colOff>
      <xdr:row>0</xdr:row>
      <xdr:rowOff>44450</xdr:rowOff>
    </xdr:from>
    <xdr:to>
      <xdr:col>18</xdr:col>
      <xdr:colOff>546100</xdr:colOff>
      <xdr:row>13</xdr:row>
      <xdr:rowOff>174625</xdr:rowOff>
    </xdr:to>
    <mc:AlternateContent xmlns:mc="http://schemas.openxmlformats.org/markup-compatibility/2006" xmlns:a14="http://schemas.microsoft.com/office/drawing/2010/main">
      <mc:Choice Requires="a14">
        <xdr:graphicFrame macro="">
          <xdr:nvGraphicFramePr>
            <xdr:cNvPr id="7" name="SKU">
              <a:extLst>
                <a:ext uri="{FF2B5EF4-FFF2-40B4-BE49-F238E27FC236}">
                  <a16:creationId xmlns:a16="http://schemas.microsoft.com/office/drawing/2014/main" id="{A79814C8-DCB3-466D-B339-5D59F21F1589}"/>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mlns="">
        <xdr:sp macro="" textlink="">
          <xdr:nvSpPr>
            <xdr:cNvPr id="0" name=""/>
            <xdr:cNvSpPr>
              <a:spLocks noTextEdit="1"/>
            </xdr:cNvSpPr>
          </xdr:nvSpPr>
          <xdr:spPr>
            <a:xfrm>
              <a:off x="9874250" y="44450"/>
              <a:ext cx="12319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284656</xdr:colOff>
      <xdr:row>28</xdr:row>
      <xdr:rowOff>164307</xdr:rowOff>
    </xdr:from>
    <xdr:to>
      <xdr:col>14</xdr:col>
      <xdr:colOff>1074165</xdr:colOff>
      <xdr:row>49</xdr:row>
      <xdr:rowOff>31749</xdr:rowOff>
    </xdr:to>
    <xdr:graphicFrame macro="">
      <xdr:nvGraphicFramePr>
        <xdr:cNvPr id="8" name="Chart 7">
          <a:extLst>
            <a:ext uri="{FF2B5EF4-FFF2-40B4-BE49-F238E27FC236}">
              <a16:creationId xmlns:a16="http://schemas.microsoft.com/office/drawing/2014/main" id="{93E0E303-9F62-4310-9876-2D0648290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7.679954976855" createdVersion="6" refreshedVersion="6" minRefreshableVersion="3" recordCount="1130" xr:uid="{55A721A6-1ABC-4D1A-A606-089A8B42D59B}">
  <cacheSource type="worksheet">
    <worksheetSource ref="A1:X1131" sheet="base"/>
  </cacheSource>
  <cacheFields count="43">
    <cacheField name="Date" numFmtId="165">
      <sharedItems containsSemiMixedTypes="0" containsNonDate="0" containsDate="1" containsString="0" minDate="2022-01-01T00:00:00" maxDate="2024-12-02T00:00:00" count="36">
        <d v="2022-01-01T00:00:00"/>
        <d v="2022-02-01T00:00:00"/>
        <d v="2022-03-01T00:00:00"/>
        <d v="2022-04-01T00:00:00"/>
        <d v="2022-05-01T00:00:00"/>
        <d v="2022-06-01T00:00:00"/>
        <d v="2022-07-01T00:00:00"/>
        <d v="2022-08-01T00:00:00"/>
        <d v="2022-11-01T00:00:00"/>
        <d v="2022-12-01T00:00:00"/>
        <d v="2023-01-01T00:00:00"/>
        <d v="2023-02-01T00:00:00"/>
        <d v="2023-03-01T00:00:00"/>
        <d v="2023-04-01T00:00:00"/>
        <d v="2023-05-01T00:00:00"/>
        <d v="2023-06-01T00:00:00"/>
        <d v="2023-07-01T00:00:00"/>
        <d v="2024-01-01T00:00:00"/>
        <d v="2024-02-01T00:00:00"/>
        <d v="2024-03-01T00:00:00"/>
        <d v="2024-04-01T00:00:00"/>
        <d v="2024-05-01T00:00:00"/>
        <d v="2024-06-01T00:00:00"/>
        <d v="2024-08-01T00:00:00"/>
        <d v="2024-09-01T00:00:00"/>
        <d v="2024-11-01T00:00:00"/>
        <d v="2023-08-01T00:00:00"/>
        <d v="2023-09-01T00:00:00"/>
        <d v="2023-11-01T00:00:00"/>
        <d v="2023-12-01T00:00:00"/>
        <d v="2024-07-01T00:00:00"/>
        <d v="2024-10-01T00:00:00"/>
        <d v="2024-12-01T00:00:00"/>
        <d v="2022-10-01T00:00:00"/>
        <d v="2023-10-01T00:00:00"/>
        <d v="2022-09-01T00:00:00"/>
      </sharedItems>
      <fieldGroup par="42" base="0">
        <rangePr groupBy="months" startDate="2022-01-01T00:00:00" endDate="2024-12-02T00:00:00"/>
        <groupItems count="14">
          <s v="&lt;01-01-2022"/>
          <s v="Jan"/>
          <s v="Feb"/>
          <s v="Mar"/>
          <s v="Apr"/>
          <s v="May"/>
          <s v="Jun"/>
          <s v="Jul"/>
          <s v="Aug"/>
          <s v="Sep"/>
          <s v="Oct"/>
          <s v="Nov"/>
          <s v="Dec"/>
          <s v="&gt;02-12-2024"/>
        </groupItems>
      </fieldGroup>
    </cacheField>
    <cacheField name="key_new_date" numFmtId="165">
      <sharedItems/>
    </cacheField>
    <cacheField name="key_new" numFmtId="14">
      <sharedItems count="50">
        <s v="Chain 1_Depot 1_SKU 1"/>
        <s v="Chain 1_Depot 1_SKU 15"/>
        <s v="Chain 1_Depot 1_SKU 19"/>
        <s v="Chain 2_Depot 2_SKU 14"/>
        <s v="Chain 2_Depot 2_SKU 17"/>
        <s v="Chain 2_Depot 2_SKU 2"/>
        <s v="Chain 2_Depot 2_SKU 26"/>
        <s v="Chain 2_Depot 5_SKU 11"/>
        <s v="Chain 2_Depot 5_SKU 20"/>
        <s v="Chain 2_Depot 5_SKU 3"/>
        <s v="Chain 2_Depot 7_SKU 16"/>
        <s v="Chain 2_Depot 8_SKU 3"/>
        <s v="Chain 2_Depot 9_SKU 25"/>
        <s v="Chain 3_Depot 3_SKU 22"/>
        <s v="Chain 3_Depot 3_SKU 23"/>
        <s v="Chain 3_Depot 3_SKU 3"/>
        <s v="Chain 3_Depot 3_SKU 9"/>
        <s v="Chain 4_Depot 2_SKU 3"/>
        <s v="Chain 4_Depot 2_SKU 4"/>
        <s v="Chain 4_Depot 6_SKU 10"/>
        <s v="Chain 4_Depot 6_SKU 24"/>
        <s v="Chain 4_Depot 6_SKU 25"/>
        <s v="Chain 4_Depot 7_SKU 12"/>
        <s v="Chain 5_Depot 2_SKU 6"/>
        <s v="Chain 5_Depot 2_SKU 7"/>
        <s v="Chain 5_Depot 2_SKU 9"/>
        <s v="Chain 5_Depot 4_SKU 18"/>
        <s v="Chain 5_Depot 4_SKU 5"/>
        <s v="Chain 5_Depot 4_SKU 7"/>
        <s v="Chain 5_Depot 4_SKU 9"/>
        <s v="Chain 5_Depot 5_SKU 12"/>
        <s v="Chain 5_Depot 6_SKU 10"/>
        <s v="Chain 5_Depot 6_SKU 11"/>
        <s v="Chain 5_Depot 6_SKU 8"/>
        <s v="Chain 5_Depot 7_SKU 13"/>
        <s v="Chain 5_Depot 7_SKU 14"/>
        <s v="Chain 5_Depot 7_SKU 3"/>
        <s v="Chain 5_Depot 7_SKU 8"/>
        <s v="Chain 5_Depot 8_SKU 11"/>
        <s v="Chain 5_Depot 8_SKU 9"/>
        <s v="Chain 5_Depot 9_SKU 2"/>
        <s v="Chain 6_Depot 2_SKU 21"/>
        <s v="Chain 6_Depot 4_SKU 14"/>
        <s v="Chain 6_Depot 4_SKU 25"/>
        <s v="Chain 6_Depot 4_SKU 8"/>
        <s v="Chain 6_Depot 4_SKU 9"/>
        <s v="Chain 6_Depot 5_SKU 14"/>
        <s v="Chain 6_Depot 5_SKU 20"/>
        <s v="Chain 6_Depot 5_SKU 26"/>
        <s v="Chain 6_Depot 9_SKU 21"/>
      </sharedItems>
    </cacheField>
    <cacheField name="Channel" numFmtId="14">
      <sharedItems count="2">
        <s v="Channel 1"/>
        <s v="Channel 2"/>
      </sharedItems>
    </cacheField>
    <cacheField name="Chain" numFmtId="14">
      <sharedItems count="6">
        <s v="Chain 1"/>
        <s v="Chain 2"/>
        <s v="Chain 3"/>
        <s v="Chain 4"/>
        <s v="Chain 5"/>
        <s v="Chain 6"/>
      </sharedItems>
    </cacheField>
    <cacheField name="Depot" numFmtId="14">
      <sharedItems count="9">
        <s v="Depot 1"/>
        <s v="Depot 2"/>
        <s v="Depot 5"/>
        <s v="Depot 7"/>
        <s v="Depot 8"/>
        <s v="Depot 9"/>
        <s v="Depot 3"/>
        <s v="Depot 6"/>
        <s v="Depot 4"/>
      </sharedItems>
    </cacheField>
    <cacheField name="SubCat" numFmtId="14">
      <sharedItems count="10">
        <s v="SubCat 1"/>
        <s v="SubCat 6"/>
        <s v="SubCat 8"/>
        <s v="SubCat 3"/>
        <s v="SubCat 7"/>
        <s v="SubCat 5"/>
        <s v="SubCat 2"/>
        <s v="SubCat 10"/>
        <s v="SubCat 4"/>
        <s v="SubCat 9"/>
      </sharedItems>
    </cacheField>
    <cacheField name="SKU" numFmtId="14">
      <sharedItems count="26">
        <s v="SKU 1"/>
        <s v="SKU 15"/>
        <s v="SKU 19"/>
        <s v="SKU 14"/>
        <s v="SKU 17"/>
        <s v="SKU 2"/>
        <s v="SKU 26"/>
        <s v="SKU 11"/>
        <s v="SKU 20"/>
        <s v="SKU 3"/>
        <s v="SKU 16"/>
        <s v="SKU 25"/>
        <s v="SKU 22"/>
        <s v="SKU 23"/>
        <s v="SKU 9"/>
        <s v="SKU 4"/>
        <s v="SKU 10"/>
        <s v="SKU 24"/>
        <s v="SKU 12"/>
        <s v="SKU 6"/>
        <s v="SKU 7"/>
        <s v="SKU 18"/>
        <s v="SKU 5"/>
        <s v="SKU 8"/>
        <s v="SKU 13"/>
        <s v="SKU 21"/>
      </sharedItems>
    </cacheField>
    <cacheField name="Period" numFmtId="0">
      <sharedItems/>
    </cacheField>
    <cacheField name="actual" numFmtId="167">
      <sharedItems containsString="0" containsBlank="1" containsNumber="1" minValue="0" maxValue="1672545"/>
    </cacheField>
    <cacheField name="forecast" numFmtId="0">
      <sharedItems containsString="0" containsBlank="1" containsNumber="1" minValue="1784" maxValue="1144468.7999999998"/>
    </cacheField>
    <cacheField name="Trend" numFmtId="167">
      <sharedItems containsSemiMixedTypes="0" containsString="0" containsNumber="1" minValue="-61041.126473999997" maxValue="1035435.65927091"/>
    </cacheField>
    <cacheField name="Seasonality" numFmtId="167">
      <sharedItems containsSemiMixedTypes="0" containsString="0" containsNumber="1" minValue="-568404.89717965305" maxValue="578984.45937066502"/>
    </cacheField>
    <cacheField name="Lower_CL" numFmtId="167">
      <sharedItems containsString="0" containsBlank="1" containsNumber="1" minValue="1502.5500000000002" maxValue="927019.72799999977"/>
    </cacheField>
    <cacheField name="Upper_CL" numFmtId="167">
      <sharedItems containsString="0" containsBlank="1" containsNumber="1" minValue="2444.1480000000001" maxValue="1270360.3679999998"/>
    </cacheField>
    <cacheField name="Trend_Change_Flag" numFmtId="4">
      <sharedItems containsString="0" containsBlank="1" containsNumber="1" containsInteger="1" minValue="0" maxValue="1"/>
    </cacheField>
    <cacheField name="Seasonality_Break" numFmtId="4">
      <sharedItems containsString="0" containsBlank="1" containsNumber="1" containsInteger="1" minValue="0" maxValue="1"/>
    </cacheField>
    <cacheField name="Anomaly" numFmtId="4">
      <sharedItems containsString="0" containsBlank="1" containsNumber="1" containsInteger="1" minValue="0" maxValue="1"/>
    </cacheField>
    <cacheField name="Active_SKU" numFmtId="4">
      <sharedItems containsString="0" containsBlank="1" containsNumber="1" containsInteger="1" minValue="3" maxValue="10"/>
    </cacheField>
    <cacheField name="ConsensusForecast" numFmtId="4">
      <sharedItems containsNonDate="0" containsString="0" containsBlank="1"/>
    </cacheField>
    <cacheField name="Inventory_Alert" numFmtId="4">
      <sharedItems containsBlank="1"/>
    </cacheField>
    <cacheField name="Open_Inventory" numFmtId="4">
      <sharedItems containsString="0" containsBlank="1" containsNumber="1" containsInteger="1" minValue="958" maxValue="4995"/>
    </cacheField>
    <cacheField name="OOS_Days" numFmtId="4">
      <sharedItems containsString="0" containsBlank="1" containsNumber="1" containsInteger="1" minValue="0" maxValue="7"/>
    </cacheField>
    <cacheField name="Safety_Stock" numFmtId="4">
      <sharedItems containsSemiMixedTypes="0" containsString="0" containsNumber="1" containsInteger="1" minValue="1001" maxValue="2996"/>
    </cacheField>
    <cacheField name="L3M_compared_to_LY" numFmtId="4">
      <sharedItems containsBlank="1" containsMixedTypes="1" containsNumber="1" containsInteger="1" minValue="0" maxValue="0"/>
    </cacheField>
    <cacheField name="MRP" numFmtId="4">
      <sharedItems containsSemiMixedTypes="0" containsString="0" containsNumber="1" minValue="711.49" maxValue="3024.12"/>
    </cacheField>
    <cacheField name="Selling_Price" numFmtId="4">
      <sharedItems containsString="0" containsBlank="1" containsNumber="1" minValue="473.96" maxValue="2928.9"/>
    </cacheField>
    <cacheField name="Discount%" numFmtId="0">
      <sharedItems containsString="0" containsBlank="1" containsNumber="1" minValue="-7.752501498717923E-2" maxValue="40"/>
    </cacheField>
    <cacheField name="Discount_Anomaly" numFmtId="4">
      <sharedItems containsString="0" containsBlank="1" containsNumber="1" containsInteger="1" minValue="0" maxValue="1"/>
    </cacheField>
    <cacheField name="Elasticity" numFmtId="0">
      <sharedItems containsNonDate="0" containsString="0" containsBlank="1"/>
    </cacheField>
    <cacheField name="Owner" numFmtId="0">
      <sharedItems containsNonDate="0" containsString="0" containsBlank="1"/>
    </cacheField>
    <cacheField name="ChangedOn" numFmtId="0">
      <sharedItems containsNonDate="0" containsString="0" containsBlank="1"/>
    </cacheField>
    <cacheField name="Comment" numFmtId="0">
      <sharedItems containsNonDate="0" containsString="0" containsBlank="1"/>
    </cacheField>
    <cacheField name="Lower_Bound" numFmtId="0">
      <sharedItems containsNonDate="0" containsString="0" containsBlank="1"/>
    </cacheField>
    <cacheField name="Upper_Bound" numFmtId="0">
      <sharedItems containsNonDate="0" containsString="0" containsBlank="1"/>
    </cacheField>
    <cacheField name="Error" numFmtId="0">
      <sharedItems containsNonDate="0" containsString="0" containsBlank="1"/>
    </cacheField>
    <cacheField name="TrendAnalysis" numFmtId="0">
      <sharedItems containsNonDate="0" containsString="0" containsBlank="1"/>
    </cacheField>
    <cacheField name="ErrorAnalysis" numFmtId="0">
      <sharedItems containsNonDate="0" containsString="0" containsBlank="1"/>
    </cacheField>
    <cacheField name="RecommenedQuestion" numFmtId="0">
      <sharedItems containsNonDate="0" containsString="0" containsBlank="1"/>
    </cacheField>
    <cacheField name="DataDrift" numFmtId="0">
      <sharedItems containsNonDate="0" containsString="0" containsBlank="1"/>
    </cacheField>
    <cacheField name="ModelDrift" numFmtId="0">
      <sharedItems containsNonDate="0" containsString="0" containsBlank="1"/>
    </cacheField>
    <cacheField name="Quarters" numFmtId="0" databaseField="0">
      <fieldGroup base="0">
        <rangePr groupBy="quarters" startDate="2022-01-01T00:00:00" endDate="2024-12-02T00:00:00"/>
        <groupItems count="6">
          <s v="&lt;01-01-2022"/>
          <s v="Qtr1"/>
          <s v="Qtr2"/>
          <s v="Qtr3"/>
          <s v="Qtr4"/>
          <s v="&gt;02-12-2024"/>
        </groupItems>
      </fieldGroup>
    </cacheField>
    <cacheField name="Years" numFmtId="0" databaseField="0">
      <fieldGroup base="0">
        <rangePr groupBy="years" startDate="2022-01-01T00:00:00" endDate="2024-12-02T00:00:00"/>
        <groupItems count="5">
          <s v="&lt;01-01-2022"/>
          <s v="2022"/>
          <s v="2023"/>
          <s v="2024"/>
          <s v="&gt;02-12-2024"/>
        </groupItems>
      </fieldGroup>
    </cacheField>
  </cacheFields>
  <extLst>
    <ext xmlns:x14="http://schemas.microsoft.com/office/spreadsheetml/2009/9/main" uri="{725AE2AE-9491-48be-B2B4-4EB974FC3084}">
      <x14:pivotCacheDefinition pivotCacheId="121475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0">
  <r>
    <x v="0"/>
    <s v="Chain 1_Depot 1_SKU 1_44562"/>
    <x v="0"/>
    <x v="0"/>
    <x v="0"/>
    <x v="0"/>
    <x v="0"/>
    <x v="0"/>
    <s v="History"/>
    <n v="10144.17"/>
    <m/>
    <n v="11052.154225349999"/>
    <n v="-1010.1859800265"/>
    <m/>
    <m/>
    <n v="0"/>
    <n v="0"/>
    <n v="0"/>
    <m/>
    <m/>
    <b v="1"/>
    <n v="2095"/>
    <n v="0"/>
    <n v="2534"/>
    <s v="Stable"/>
    <n v="2402.7199999999998"/>
    <n v="1898.21"/>
    <n v="21"/>
    <n v="0"/>
    <m/>
    <m/>
    <m/>
    <m/>
    <m/>
    <m/>
    <m/>
    <m/>
    <m/>
    <m/>
    <m/>
    <m/>
  </r>
  <r>
    <x v="1"/>
    <s v="Chain 1_Depot 1_SKU 1_44593"/>
    <x v="0"/>
    <x v="0"/>
    <x v="0"/>
    <x v="0"/>
    <x v="0"/>
    <x v="0"/>
    <s v="History"/>
    <n v="10401.27"/>
    <m/>
    <n v="11149.477716798099"/>
    <n v="-418.28442455304798"/>
    <m/>
    <m/>
    <n v="0"/>
    <n v="0"/>
    <n v="0"/>
    <m/>
    <m/>
    <b v="0"/>
    <n v="3923"/>
    <n v="0"/>
    <n v="1751"/>
    <s v="Stable"/>
    <n v="2407.88"/>
    <n v="1928.51"/>
    <n v="19.91"/>
    <n v="0"/>
    <m/>
    <m/>
    <m/>
    <m/>
    <m/>
    <m/>
    <m/>
    <m/>
    <m/>
    <m/>
    <m/>
    <m/>
  </r>
  <r>
    <x v="2"/>
    <s v="Chain 1_Depot 1_SKU 1_44621"/>
    <x v="0"/>
    <x v="0"/>
    <x v="0"/>
    <x v="0"/>
    <x v="0"/>
    <x v="0"/>
    <s v="History"/>
    <n v="10998.63"/>
    <m/>
    <n v="11237.3828054443"/>
    <n v="-202.21249731040001"/>
    <m/>
    <m/>
    <n v="0"/>
    <n v="0"/>
    <n v="0"/>
    <m/>
    <m/>
    <b v="0"/>
    <n v="3757"/>
    <n v="0"/>
    <n v="1143"/>
    <s v="Stable"/>
    <n v="2434.65"/>
    <n v="2003.8"/>
    <n v="17.7"/>
    <n v="0"/>
    <m/>
    <m/>
    <m/>
    <m/>
    <m/>
    <m/>
    <m/>
    <m/>
    <m/>
    <m/>
    <m/>
    <m/>
  </r>
  <r>
    <x v="3"/>
    <s v="Chain 1_Depot 1_SKU 1_44652"/>
    <x v="0"/>
    <x v="0"/>
    <x v="0"/>
    <x v="0"/>
    <x v="0"/>
    <x v="0"/>
    <s v="History"/>
    <n v="11029.02"/>
    <m/>
    <n v="11334.706296087599"/>
    <n v="-251.27665181610001"/>
    <m/>
    <m/>
    <n v="0"/>
    <n v="0"/>
    <n v="0"/>
    <m/>
    <m/>
    <b v="0"/>
    <n v="4532"/>
    <n v="0"/>
    <n v="1608"/>
    <s v="Stable"/>
    <n v="2452.89"/>
    <n v="2014.09"/>
    <n v="17.89"/>
    <n v="0"/>
    <m/>
    <m/>
    <m/>
    <m/>
    <m/>
    <m/>
    <m/>
    <m/>
    <m/>
    <m/>
    <m/>
    <m/>
  </r>
  <r>
    <x v="4"/>
    <s v="Chain 1_Depot 1_SKU 1_44682"/>
    <x v="0"/>
    <x v="0"/>
    <x v="0"/>
    <x v="0"/>
    <x v="0"/>
    <x v="0"/>
    <s v="History"/>
    <n v="10918.22"/>
    <m/>
    <n v="11428.890319215099"/>
    <n v="-1109.66039156792"/>
    <m/>
    <m/>
    <n v="0"/>
    <n v="0"/>
    <n v="0"/>
    <m/>
    <m/>
    <b v="0"/>
    <n v="4278"/>
    <n v="0"/>
    <n v="2224"/>
    <s v="Stable"/>
    <n v="2437.14"/>
    <n v="1963.5"/>
    <n v="19.43"/>
    <n v="0"/>
    <m/>
    <m/>
    <m/>
    <m/>
    <m/>
    <m/>
    <m/>
    <m/>
    <m/>
    <m/>
    <m/>
    <m/>
  </r>
  <r>
    <x v="5"/>
    <s v="Chain 1_Depot 1_SKU 1_44713"/>
    <x v="0"/>
    <x v="0"/>
    <x v="0"/>
    <x v="0"/>
    <x v="0"/>
    <x v="0"/>
    <s v="History"/>
    <n v="11194.03"/>
    <m/>
    <n v="11526.213810101501"/>
    <n v="-417.77797045317902"/>
    <m/>
    <m/>
    <n v="0"/>
    <n v="0"/>
    <n v="0"/>
    <m/>
    <m/>
    <b v="0"/>
    <n v="4796"/>
    <n v="0"/>
    <n v="2147"/>
    <s v="Stable"/>
    <n v="2459.08"/>
    <n v="2002.74"/>
    <n v="18.559999999999999"/>
    <n v="0"/>
    <m/>
    <m/>
    <m/>
    <m/>
    <m/>
    <m/>
    <m/>
    <m/>
    <m/>
    <m/>
    <m/>
    <m/>
  </r>
  <r>
    <x v="6"/>
    <s v="Chain 1_Depot 1_SKU 1_44743"/>
    <x v="0"/>
    <x v="0"/>
    <x v="0"/>
    <x v="0"/>
    <x v="0"/>
    <x v="0"/>
    <s v="History"/>
    <n v="11004.07"/>
    <m/>
    <n v="11620.397832995999"/>
    <n v="-310.47667012660401"/>
    <m/>
    <m/>
    <n v="0"/>
    <n v="0"/>
    <n v="0"/>
    <m/>
    <m/>
    <b v="0"/>
    <n v="3678"/>
    <n v="0"/>
    <n v="1186"/>
    <s v="Stable"/>
    <n v="2426.65"/>
    <n v="2031.67"/>
    <n v="16.28"/>
    <n v="0"/>
    <m/>
    <m/>
    <m/>
    <m/>
    <m/>
    <m/>
    <m/>
    <m/>
    <m/>
    <m/>
    <m/>
    <m/>
  </r>
  <r>
    <x v="7"/>
    <s v="Chain 1_Depot 1_SKU 1_44774"/>
    <x v="0"/>
    <x v="0"/>
    <x v="0"/>
    <x v="0"/>
    <x v="0"/>
    <x v="0"/>
    <s v="History"/>
    <n v="10961.62"/>
    <m/>
    <n v="11717.721323620401"/>
    <n v="-989.53321887212405"/>
    <m/>
    <m/>
    <n v="0"/>
    <n v="0"/>
    <n v="0"/>
    <m/>
    <m/>
    <b v="0"/>
    <n v="2540"/>
    <n v="0"/>
    <n v="2349"/>
    <s v="Stable"/>
    <n v="2443.0300000000002"/>
    <n v="1976.6"/>
    <n v="19.09"/>
    <n v="0"/>
    <m/>
    <m/>
    <m/>
    <m/>
    <m/>
    <m/>
    <m/>
    <m/>
    <m/>
    <m/>
    <m/>
    <m/>
  </r>
  <r>
    <x v="8"/>
    <s v="Chain 1_Depot 1_SKU 1_44866"/>
    <x v="0"/>
    <x v="0"/>
    <x v="0"/>
    <x v="0"/>
    <x v="0"/>
    <x v="0"/>
    <s v="History"/>
    <n v="10443.18"/>
    <m/>
    <n v="12006.5523299508"/>
    <n v="-1565.7599388461799"/>
    <m/>
    <m/>
    <n v="0"/>
    <n v="0"/>
    <n v="0"/>
    <m/>
    <m/>
    <b v="0"/>
    <n v="3183"/>
    <n v="0"/>
    <n v="2794"/>
    <s v="Stable"/>
    <n v="2439.44"/>
    <n v="1989.26"/>
    <n v="18.45"/>
    <n v="0"/>
    <m/>
    <m/>
    <m/>
    <m/>
    <m/>
    <m/>
    <m/>
    <m/>
    <m/>
    <m/>
    <m/>
    <m/>
  </r>
  <r>
    <x v="9"/>
    <s v="Chain 1_Depot 1_SKU 1_44896"/>
    <x v="0"/>
    <x v="0"/>
    <x v="0"/>
    <x v="0"/>
    <x v="0"/>
    <x v="0"/>
    <s v="History"/>
    <n v="10612.66"/>
    <m/>
    <n v="12100.7363540386"/>
    <n v="-1490.6089542919799"/>
    <m/>
    <m/>
    <n v="0"/>
    <n v="0"/>
    <n v="0"/>
    <m/>
    <m/>
    <b v="0"/>
    <n v="3722"/>
    <n v="0"/>
    <n v="1659"/>
    <s v="Stable"/>
    <n v="2439.29"/>
    <n v="1965.83"/>
    <n v="19.41"/>
    <n v="0"/>
    <m/>
    <m/>
    <m/>
    <m/>
    <m/>
    <m/>
    <m/>
    <m/>
    <m/>
    <m/>
    <m/>
    <m/>
  </r>
  <r>
    <x v="10"/>
    <s v="Chain 1_Depot 1_SKU 1_44927"/>
    <x v="0"/>
    <x v="0"/>
    <x v="0"/>
    <x v="0"/>
    <x v="0"/>
    <x v="0"/>
    <s v="History"/>
    <n v="10505.6"/>
    <m/>
    <n v="12198.0598459506"/>
    <n v="-743.09351743489196"/>
    <m/>
    <m/>
    <n v="0"/>
    <n v="0"/>
    <n v="0"/>
    <m/>
    <m/>
    <b v="0"/>
    <n v="3819"/>
    <n v="0"/>
    <n v="1763"/>
    <s v="Stable"/>
    <n v="2480.0300000000002"/>
    <n v="2022.35"/>
    <n v="18.45"/>
    <n v="0"/>
    <m/>
    <m/>
    <m/>
    <m/>
    <m/>
    <m/>
    <m/>
    <m/>
    <m/>
    <m/>
    <m/>
    <m/>
  </r>
  <r>
    <x v="11"/>
    <s v="Chain 1_Depot 1_SKU 1_44958"/>
    <x v="0"/>
    <x v="0"/>
    <x v="0"/>
    <x v="0"/>
    <x v="0"/>
    <x v="0"/>
    <s v="History"/>
    <n v="10812.69"/>
    <m/>
    <n v="12295.383338118199"/>
    <n v="-660.40217687940606"/>
    <m/>
    <m/>
    <n v="0"/>
    <n v="0"/>
    <n v="0"/>
    <m/>
    <m/>
    <b v="0"/>
    <n v="4625"/>
    <n v="0"/>
    <n v="1954"/>
    <s v="Stable"/>
    <n v="2422.66"/>
    <n v="1913.78"/>
    <n v="21.01"/>
    <n v="0"/>
    <m/>
    <m/>
    <m/>
    <m/>
    <m/>
    <m/>
    <m/>
    <m/>
    <m/>
    <m/>
    <m/>
    <m/>
  </r>
  <r>
    <x v="12"/>
    <s v="Chain 1_Depot 1_SKU 1_44986"/>
    <x v="0"/>
    <x v="0"/>
    <x v="0"/>
    <x v="0"/>
    <x v="0"/>
    <x v="0"/>
    <s v="History"/>
    <n v="11808.07"/>
    <m/>
    <n v="12383.2884282368"/>
    <n v="26.601707828841501"/>
    <m/>
    <m/>
    <n v="1"/>
    <n v="0"/>
    <n v="0"/>
    <m/>
    <m/>
    <b v="0"/>
    <n v="4729"/>
    <n v="0"/>
    <n v="2955"/>
    <s v="Stable"/>
    <n v="2466.65"/>
    <n v="2004.78"/>
    <n v="18.72"/>
    <n v="0"/>
    <m/>
    <m/>
    <m/>
    <m/>
    <m/>
    <m/>
    <m/>
    <m/>
    <m/>
    <m/>
    <m/>
    <m/>
  </r>
  <r>
    <x v="13"/>
    <s v="Chain 1_Depot 1_SKU 1_45017"/>
    <x v="0"/>
    <x v="0"/>
    <x v="0"/>
    <x v="0"/>
    <x v="0"/>
    <x v="0"/>
    <s v="History"/>
    <n v="11880.17"/>
    <m/>
    <n v="12480.6119204836"/>
    <n v="-486.62858928260198"/>
    <m/>
    <m/>
    <n v="1"/>
    <n v="0"/>
    <n v="0"/>
    <m/>
    <m/>
    <b v="0"/>
    <n v="4604"/>
    <n v="0"/>
    <n v="1402"/>
    <s v="Stable"/>
    <n v="2489.13"/>
    <n v="2015.94"/>
    <n v="19.010000000000002"/>
    <n v="0"/>
    <m/>
    <m/>
    <m/>
    <m/>
    <m/>
    <m/>
    <m/>
    <m/>
    <m/>
    <m/>
    <m/>
    <m/>
  </r>
  <r>
    <x v="14"/>
    <s v="Chain 1_Depot 1_SKU 1_45047"/>
    <x v="0"/>
    <x v="0"/>
    <x v="0"/>
    <x v="0"/>
    <x v="0"/>
    <x v="0"/>
    <s v="History"/>
    <n v="12755.76"/>
    <m/>
    <n v="12574.795945181"/>
    <n v="-863.934785275222"/>
    <m/>
    <m/>
    <n v="1"/>
    <n v="0"/>
    <n v="0"/>
    <m/>
    <m/>
    <b v="0"/>
    <n v="3597"/>
    <n v="0"/>
    <n v="2369"/>
    <s v="Stable"/>
    <n v="2341.5100000000002"/>
    <n v="1890.1"/>
    <n v="19.28"/>
    <n v="0"/>
    <m/>
    <m/>
    <m/>
    <m/>
    <m/>
    <m/>
    <m/>
    <m/>
    <m/>
    <m/>
    <m/>
    <m/>
  </r>
  <r>
    <x v="15"/>
    <s v="Chain 1_Depot 1_SKU 1_45078"/>
    <x v="0"/>
    <x v="0"/>
    <x v="0"/>
    <x v="0"/>
    <x v="0"/>
    <x v="0"/>
    <s v="History"/>
    <n v="12656.52"/>
    <m/>
    <n v="12672.1194376372"/>
    <n v="-668.61421845816801"/>
    <m/>
    <m/>
    <n v="1"/>
    <n v="0"/>
    <n v="0"/>
    <m/>
    <m/>
    <b v="0"/>
    <n v="4693"/>
    <n v="2"/>
    <n v="2986"/>
    <s v="Stable"/>
    <n v="2492.4299999999998"/>
    <n v="2005.5"/>
    <n v="19.54"/>
    <n v="0"/>
    <m/>
    <m/>
    <m/>
    <m/>
    <m/>
    <m/>
    <m/>
    <m/>
    <m/>
    <m/>
    <m/>
    <m/>
  </r>
  <r>
    <x v="16"/>
    <s v="Chain 1_Depot 1_SKU 1_45108"/>
    <x v="0"/>
    <x v="0"/>
    <x v="0"/>
    <x v="0"/>
    <x v="0"/>
    <x v="0"/>
    <s v="History"/>
    <n v="13009.01"/>
    <m/>
    <n v="12766.3034624021"/>
    <n v="-65.048233235628601"/>
    <m/>
    <m/>
    <n v="1"/>
    <n v="0"/>
    <n v="0"/>
    <m/>
    <m/>
    <b v="0"/>
    <n v="2795"/>
    <n v="0"/>
    <n v="2534"/>
    <s v="Stable"/>
    <n v="2384.73"/>
    <n v="1915.65"/>
    <n v="19.670000000000002"/>
    <n v="0"/>
    <m/>
    <m/>
    <m/>
    <m/>
    <m/>
    <m/>
    <m/>
    <m/>
    <m/>
    <m/>
    <m/>
    <m/>
  </r>
  <r>
    <x v="17"/>
    <s v="Chain 1_Depot 1_SKU 1_45292"/>
    <x v="0"/>
    <x v="0"/>
    <x v="0"/>
    <x v="0"/>
    <x v="0"/>
    <x v="0"/>
    <s v="History"/>
    <n v="13702.6"/>
    <m/>
    <n v="13343.965482228299"/>
    <n v="-475.74446821812802"/>
    <m/>
    <m/>
    <n v="1"/>
    <n v="0"/>
    <n v="0"/>
    <m/>
    <m/>
    <b v="0"/>
    <n v="3663"/>
    <n v="0"/>
    <n v="1488"/>
    <s v="Stable"/>
    <n v="2410.87"/>
    <n v="1446.52"/>
    <n v="40"/>
    <n v="1"/>
    <m/>
    <m/>
    <m/>
    <m/>
    <m/>
    <m/>
    <m/>
    <m/>
    <m/>
    <m/>
    <m/>
    <m/>
  </r>
  <r>
    <x v="18"/>
    <s v="Chain 1_Depot 1_SKU 1_45323"/>
    <x v="0"/>
    <x v="0"/>
    <x v="0"/>
    <x v="0"/>
    <x v="0"/>
    <x v="0"/>
    <s v="History"/>
    <n v="13701.21"/>
    <m/>
    <n v="13441.1801226936"/>
    <n v="-903.17417058528201"/>
    <m/>
    <m/>
    <n v="1"/>
    <n v="0"/>
    <n v="0"/>
    <m/>
    <m/>
    <b v="0"/>
    <n v="3529"/>
    <n v="0"/>
    <n v="1928"/>
    <s v="Stable"/>
    <n v="2378.38"/>
    <n v="1899.34"/>
    <n v="20.14"/>
    <n v="0"/>
    <m/>
    <m/>
    <m/>
    <m/>
    <m/>
    <m/>
    <m/>
    <m/>
    <m/>
    <m/>
    <m/>
    <m/>
  </r>
  <r>
    <x v="19"/>
    <s v="Chain 1_Depot 1_SKU 1_45352"/>
    <x v="0"/>
    <x v="0"/>
    <x v="0"/>
    <x v="0"/>
    <x v="0"/>
    <x v="0"/>
    <s v="History"/>
    <n v="13532.26"/>
    <m/>
    <n v="13532.087035315"/>
    <n v="-661.09074718742397"/>
    <m/>
    <m/>
    <n v="1"/>
    <n v="0"/>
    <n v="0"/>
    <m/>
    <m/>
    <b v="0"/>
    <n v="4038"/>
    <n v="0"/>
    <n v="2959"/>
    <s v="Stable"/>
    <n v="2477.36"/>
    <n v="1972.81"/>
    <n v="20.37"/>
    <n v="0"/>
    <m/>
    <m/>
    <m/>
    <m/>
    <m/>
    <m/>
    <m/>
    <m/>
    <m/>
    <m/>
    <m/>
    <m/>
  </r>
  <r>
    <x v="20"/>
    <s v="Chain 1_Depot 1_SKU 1_45383"/>
    <x v="0"/>
    <x v="0"/>
    <x v="0"/>
    <x v="0"/>
    <x v="0"/>
    <x v="0"/>
    <s v="History"/>
    <n v="13968.55"/>
    <m/>
    <n v="13629.2633893731"/>
    <n v="218.68937729950301"/>
    <m/>
    <m/>
    <n v="1"/>
    <n v="0"/>
    <n v="0"/>
    <m/>
    <m/>
    <b v="0"/>
    <n v="3496"/>
    <n v="0"/>
    <n v="2663"/>
    <s v="Stable"/>
    <n v="2481.92"/>
    <n v="1990.21"/>
    <n v="19.809999999999999"/>
    <n v="0"/>
    <m/>
    <m/>
    <m/>
    <m/>
    <m/>
    <m/>
    <m/>
    <m/>
    <m/>
    <m/>
    <m/>
    <m/>
  </r>
  <r>
    <x v="21"/>
    <s v="Chain 1_Depot 1_SKU 1_45413"/>
    <x v="0"/>
    <x v="0"/>
    <x v="0"/>
    <x v="0"/>
    <x v="0"/>
    <x v="0"/>
    <s v="History"/>
    <n v="10467.56"/>
    <m/>
    <n v="13723.305022332401"/>
    <n v="-1600.9701713018701"/>
    <m/>
    <m/>
    <n v="1"/>
    <n v="0"/>
    <n v="1"/>
    <m/>
    <m/>
    <b v="0"/>
    <n v="4237"/>
    <n v="0"/>
    <n v="1550"/>
    <s v="Stable"/>
    <n v="2454.91"/>
    <n v="1961.8"/>
    <n v="20.09"/>
    <n v="0"/>
    <m/>
    <m/>
    <m/>
    <m/>
    <m/>
    <m/>
    <m/>
    <m/>
    <m/>
    <m/>
    <m/>
    <m/>
  </r>
  <r>
    <x v="22"/>
    <s v="Chain 1_Depot 1_SKU 1_45444"/>
    <x v="0"/>
    <x v="0"/>
    <x v="0"/>
    <x v="0"/>
    <x v="0"/>
    <x v="0"/>
    <s v="History"/>
    <n v="13190.34"/>
    <m/>
    <n v="13820.4813763904"/>
    <n v="82.938179064398696"/>
    <m/>
    <m/>
    <n v="1"/>
    <n v="0"/>
    <n v="0"/>
    <m/>
    <m/>
    <b v="0"/>
    <n v="3408"/>
    <n v="0"/>
    <n v="1337"/>
    <s v="Stable"/>
    <n v="2339.67"/>
    <n v="1866.03"/>
    <n v="20.239999999999998"/>
    <n v="0"/>
    <m/>
    <m/>
    <m/>
    <m/>
    <m/>
    <m/>
    <m/>
    <m/>
    <m/>
    <m/>
    <m/>
    <m/>
  </r>
  <r>
    <x v="23"/>
    <s v="Chain 1_Depot 1_SKU 1_45505"/>
    <x v="0"/>
    <x v="0"/>
    <x v="0"/>
    <x v="0"/>
    <x v="0"/>
    <x v="0"/>
    <s v="History"/>
    <n v="13247.87"/>
    <n v="12128.9"/>
    <n v="14011.699363407801"/>
    <n v="-526.51322755685999"/>
    <n v="12328.9"/>
    <n v="11928.9"/>
    <n v="1"/>
    <n v="0"/>
    <n v="0"/>
    <m/>
    <m/>
    <b v="0"/>
    <n v="3306"/>
    <n v="0"/>
    <n v="1640"/>
    <s v="Stable"/>
    <n v="2441.35"/>
    <n v="2019.43"/>
    <n v="17.28"/>
    <n v="0"/>
    <m/>
    <m/>
    <m/>
    <m/>
    <m/>
    <m/>
    <m/>
    <m/>
    <m/>
    <m/>
    <m/>
    <m/>
  </r>
  <r>
    <x v="24"/>
    <s v="Chain 1_Depot 1_SKU 1_45536"/>
    <x v="0"/>
    <x v="0"/>
    <x v="0"/>
    <x v="0"/>
    <x v="0"/>
    <x v="0"/>
    <s v="History"/>
    <n v="13715.31"/>
    <n v="12394.04"/>
    <n v="14108.8757174658"/>
    <n v="-383.178923030362"/>
    <n v="12594.04"/>
    <n v="12194.04"/>
    <n v="1"/>
    <n v="0"/>
    <n v="0"/>
    <m/>
    <m/>
    <b v="0"/>
    <n v="4680"/>
    <n v="1"/>
    <n v="2802"/>
    <s v="Stable"/>
    <n v="2460.98"/>
    <n v="1975.48"/>
    <n v="19.73"/>
    <n v="0"/>
    <m/>
    <m/>
    <m/>
    <m/>
    <m/>
    <m/>
    <m/>
    <m/>
    <m/>
    <m/>
    <m/>
    <m/>
  </r>
  <r>
    <x v="25"/>
    <s v="Chain 1_Depot 1_SKU 1_45597"/>
    <x v="0"/>
    <x v="0"/>
    <x v="0"/>
    <x v="0"/>
    <x v="0"/>
    <x v="0"/>
    <s v="Forecast"/>
    <m/>
    <n v="12255.67"/>
    <n v="14300.093704483201"/>
    <n v="-2228.4832644431599"/>
    <n v="12455.67"/>
    <n v="12055.67"/>
    <m/>
    <m/>
    <m/>
    <m/>
    <m/>
    <m/>
    <m/>
    <m/>
    <n v="1472"/>
    <n v="0"/>
    <n v="2433.4299999999998"/>
    <n v="1985.58"/>
    <n v="18.399999999999999"/>
    <n v="0"/>
    <m/>
    <m/>
    <m/>
    <m/>
    <m/>
    <m/>
    <m/>
    <m/>
    <m/>
    <m/>
    <m/>
    <m/>
  </r>
  <r>
    <x v="0"/>
    <s v="Chain 1_Depot 1_SKU 15_44562"/>
    <x v="1"/>
    <x v="0"/>
    <x v="0"/>
    <x v="0"/>
    <x v="1"/>
    <x v="1"/>
    <s v="History"/>
    <n v="12640.95"/>
    <m/>
    <n v="12352.91145032"/>
    <n v="219.36627146000299"/>
    <m/>
    <m/>
    <n v="0"/>
    <n v="0"/>
    <n v="0"/>
    <m/>
    <m/>
    <b v="0"/>
    <n v="4923"/>
    <n v="1"/>
    <n v="1117"/>
    <s v="Stable"/>
    <n v="1821.14"/>
    <n v="1509.56"/>
    <n v="17.11"/>
    <n v="0"/>
    <m/>
    <m/>
    <m/>
    <m/>
    <m/>
    <m/>
    <m/>
    <m/>
    <m/>
    <m/>
    <m/>
    <m/>
  </r>
  <r>
    <x v="1"/>
    <s v="Chain 1_Depot 1_SKU 15_44593"/>
    <x v="1"/>
    <x v="0"/>
    <x v="0"/>
    <x v="0"/>
    <x v="1"/>
    <x v="1"/>
    <s v="History"/>
    <n v="12491.43"/>
    <m/>
    <n v="12476.3045919673"/>
    <n v="90.578891576243194"/>
    <m/>
    <m/>
    <n v="0"/>
    <n v="0"/>
    <n v="0"/>
    <m/>
    <m/>
    <b v="0"/>
    <n v="3716"/>
    <n v="0"/>
    <n v="2260"/>
    <s v="Stable"/>
    <n v="1829.88"/>
    <n v="1494.89"/>
    <n v="18.309999999999999"/>
    <n v="0"/>
    <m/>
    <m/>
    <m/>
    <m/>
    <m/>
    <m/>
    <m/>
    <m/>
    <m/>
    <m/>
    <m/>
    <m/>
  </r>
  <r>
    <x v="13"/>
    <s v="Chain 1_Depot 1_SKU 15_45017"/>
    <x v="1"/>
    <x v="0"/>
    <x v="0"/>
    <x v="0"/>
    <x v="1"/>
    <x v="1"/>
    <s v="History"/>
    <n v="13888.19"/>
    <m/>
    <n v="14164.004345118999"/>
    <n v="-286.33737979450501"/>
    <m/>
    <m/>
    <n v="0"/>
    <n v="0"/>
    <n v="0"/>
    <m/>
    <m/>
    <b v="0"/>
    <n v="4027"/>
    <n v="0"/>
    <n v="1686"/>
    <s v="Stable"/>
    <n v="1786.56"/>
    <n v="1453.04"/>
    <n v="18.670000000000002"/>
    <n v="0"/>
    <m/>
    <m/>
    <m/>
    <m/>
    <m/>
    <m/>
    <m/>
    <m/>
    <m/>
    <m/>
    <m/>
    <m/>
  </r>
  <r>
    <x v="14"/>
    <s v="Chain 1_Depot 1_SKU 15_45047"/>
    <x v="1"/>
    <x v="0"/>
    <x v="0"/>
    <x v="0"/>
    <x v="1"/>
    <x v="1"/>
    <s v="History"/>
    <n v="14030.87"/>
    <m/>
    <n v="14283.4170637929"/>
    <n v="-264.36472221648302"/>
    <m/>
    <m/>
    <n v="0"/>
    <n v="0"/>
    <n v="0"/>
    <m/>
    <m/>
    <b v="0"/>
    <n v="2817"/>
    <n v="0"/>
    <n v="2305"/>
    <s v="Stable"/>
    <n v="1813.86"/>
    <n v="1482.66"/>
    <n v="18.260000000000002"/>
    <n v="0"/>
    <m/>
    <m/>
    <m/>
    <m/>
    <m/>
    <m/>
    <m/>
    <m/>
    <m/>
    <m/>
    <m/>
    <m/>
  </r>
  <r>
    <x v="15"/>
    <s v="Chain 1_Depot 1_SKU 15_45078"/>
    <x v="1"/>
    <x v="0"/>
    <x v="0"/>
    <x v="0"/>
    <x v="1"/>
    <x v="1"/>
    <s v="History"/>
    <n v="14066.34"/>
    <m/>
    <n v="14406.8102064088"/>
    <n v="-218.394133588849"/>
    <m/>
    <m/>
    <n v="0"/>
    <n v="0"/>
    <n v="0"/>
    <m/>
    <m/>
    <b v="0"/>
    <n v="3174"/>
    <n v="0"/>
    <n v="2464"/>
    <s v="Stable"/>
    <n v="1859.72"/>
    <n v="1493.34"/>
    <n v="19.7"/>
    <n v="0"/>
    <m/>
    <m/>
    <m/>
    <m/>
    <m/>
    <m/>
    <m/>
    <m/>
    <m/>
    <m/>
    <m/>
    <m/>
  </r>
  <r>
    <x v="16"/>
    <s v="Chain 1_Depot 1_SKU 15_45108"/>
    <x v="1"/>
    <x v="0"/>
    <x v="0"/>
    <x v="0"/>
    <x v="1"/>
    <x v="1"/>
    <s v="History"/>
    <n v="14686.02"/>
    <m/>
    <n v="14526.2229252705"/>
    <n v="94.535015999880102"/>
    <m/>
    <m/>
    <n v="0"/>
    <n v="0"/>
    <n v="0"/>
    <m/>
    <m/>
    <b v="0"/>
    <n v="3164"/>
    <n v="3"/>
    <n v="2316"/>
    <s v="Stable"/>
    <n v="1792.21"/>
    <n v="1454.82"/>
    <n v="18.829999999999998"/>
    <n v="0"/>
    <m/>
    <m/>
    <m/>
    <m/>
    <m/>
    <m/>
    <m/>
    <m/>
    <m/>
    <m/>
    <m/>
    <m/>
  </r>
  <r>
    <x v="26"/>
    <s v="Chain 1_Depot 1_SKU 15_45139"/>
    <x v="1"/>
    <x v="0"/>
    <x v="0"/>
    <x v="0"/>
    <x v="1"/>
    <x v="1"/>
    <s v="History"/>
    <n v="14457.16"/>
    <m/>
    <n v="14649.5148925788"/>
    <n v="-263.45611122662399"/>
    <m/>
    <m/>
    <n v="0"/>
    <n v="0"/>
    <n v="0"/>
    <m/>
    <m/>
    <b v="0"/>
    <n v="3092"/>
    <n v="0"/>
    <n v="1737"/>
    <s v="Stable"/>
    <n v="1813.07"/>
    <n v="1477.79"/>
    <n v="18.489999999999998"/>
    <n v="0"/>
    <m/>
    <m/>
    <m/>
    <m/>
    <m/>
    <m/>
    <m/>
    <m/>
    <m/>
    <m/>
    <m/>
    <m/>
  </r>
  <r>
    <x v="27"/>
    <s v="Chain 1_Depot 1_SKU 15_45170"/>
    <x v="1"/>
    <x v="0"/>
    <x v="0"/>
    <x v="0"/>
    <x v="1"/>
    <x v="1"/>
    <s v="History"/>
    <n v="14662.52"/>
    <m/>
    <n v="14716.602347481799"/>
    <n v="-31.271700619619399"/>
    <m/>
    <m/>
    <n v="0"/>
    <n v="0"/>
    <n v="0"/>
    <m/>
    <m/>
    <b v="0"/>
    <n v="3283"/>
    <n v="0"/>
    <n v="2030"/>
    <s v="Stable"/>
    <n v="1808.43"/>
    <n v="1496.24"/>
    <n v="17.260000000000002"/>
    <n v="0"/>
    <m/>
    <m/>
    <m/>
    <m/>
    <m/>
    <m/>
    <m/>
    <m/>
    <m/>
    <m/>
    <m/>
    <m/>
  </r>
  <r>
    <x v="28"/>
    <s v="Chain 1_Depot 1_SKU 15_45231"/>
    <x v="1"/>
    <x v="0"/>
    <x v="0"/>
    <x v="0"/>
    <x v="1"/>
    <x v="1"/>
    <s v="History"/>
    <n v="15464.74"/>
    <m/>
    <n v="14848.1467408791"/>
    <n v="617.15378642277801"/>
    <m/>
    <m/>
    <n v="0"/>
    <n v="0"/>
    <n v="0"/>
    <m/>
    <m/>
    <b v="0"/>
    <n v="2845"/>
    <n v="1"/>
    <n v="1935"/>
    <s v="Stable"/>
    <n v="1842.16"/>
    <n v="1533.93"/>
    <n v="16.73"/>
    <n v="0"/>
    <m/>
    <m/>
    <m/>
    <m/>
    <m/>
    <m/>
    <m/>
    <m/>
    <m/>
    <m/>
    <m/>
    <m/>
  </r>
  <r>
    <x v="29"/>
    <s v="Chain 1_Depot 1_SKU 15_45261"/>
    <x v="1"/>
    <x v="0"/>
    <x v="0"/>
    <x v="0"/>
    <x v="1"/>
    <x v="1"/>
    <s v="History"/>
    <n v="15403.21"/>
    <m/>
    <n v="14912.7800192633"/>
    <n v="489.11312930384099"/>
    <m/>
    <m/>
    <n v="0"/>
    <n v="0"/>
    <n v="0"/>
    <m/>
    <m/>
    <b v="0"/>
    <n v="3991"/>
    <n v="0"/>
    <n v="2115"/>
    <s v="Stable"/>
    <n v="1859.33"/>
    <n v="1513.13"/>
    <n v="18.62"/>
    <n v="0"/>
    <m/>
    <m/>
    <m/>
    <m/>
    <m/>
    <m/>
    <m/>
    <m/>
    <m/>
    <m/>
    <m/>
    <m/>
  </r>
  <r>
    <x v="17"/>
    <s v="Chain 1_Depot 1_SKU 15_45292"/>
    <x v="1"/>
    <x v="0"/>
    <x v="0"/>
    <x v="0"/>
    <x v="1"/>
    <x v="1"/>
    <s v="History"/>
    <n v="15128.32"/>
    <m/>
    <n v="14979.4959423041"/>
    <n v="218.13600290634199"/>
    <m/>
    <m/>
    <n v="0"/>
    <n v="0"/>
    <n v="0"/>
    <m/>
    <m/>
    <b v="1"/>
    <n v="2520"/>
    <n v="1"/>
    <n v="2958"/>
    <s v="Stable"/>
    <n v="1926.88"/>
    <n v="1549.11"/>
    <n v="19.61"/>
    <n v="0"/>
    <m/>
    <m/>
    <m/>
    <m/>
    <m/>
    <m/>
    <m/>
    <m/>
    <m/>
    <m/>
    <m/>
    <m/>
  </r>
  <r>
    <x v="18"/>
    <s v="Chain 1_Depot 1_SKU 15_45323"/>
    <x v="1"/>
    <x v="0"/>
    <x v="0"/>
    <x v="0"/>
    <x v="1"/>
    <x v="1"/>
    <s v="History"/>
    <n v="15212.45"/>
    <m/>
    <n v="15046.2118652556"/>
    <n v="92.701686065550106"/>
    <m/>
    <m/>
    <n v="0"/>
    <n v="0"/>
    <n v="0"/>
    <m/>
    <m/>
    <b v="0"/>
    <n v="2370"/>
    <n v="0"/>
    <n v="2213"/>
    <s v="Stable"/>
    <n v="1697.08"/>
    <n v="1361.29"/>
    <n v="19.79"/>
    <n v="0"/>
    <m/>
    <m/>
    <m/>
    <m/>
    <m/>
    <m/>
    <m/>
    <m/>
    <m/>
    <m/>
    <m/>
    <m/>
  </r>
  <r>
    <x v="19"/>
    <s v="Chain 1_Depot 1_SKU 15_45352"/>
    <x v="1"/>
    <x v="0"/>
    <x v="0"/>
    <x v="0"/>
    <x v="1"/>
    <x v="1"/>
    <s v="History"/>
    <n v="15220.44"/>
    <m/>
    <n v="15108.3087645328"/>
    <n v="109.42592020733601"/>
    <m/>
    <m/>
    <n v="0"/>
    <n v="0"/>
    <n v="0"/>
    <m/>
    <m/>
    <b v="0"/>
    <n v="3442"/>
    <n v="0"/>
    <n v="2894"/>
    <s v="Stable"/>
    <n v="1821.63"/>
    <n v="1092.98"/>
    <n v="40"/>
    <n v="1"/>
    <m/>
    <m/>
    <m/>
    <m/>
    <m/>
    <m/>
    <m/>
    <m/>
    <m/>
    <m/>
    <m/>
    <m/>
  </r>
  <r>
    <x v="20"/>
    <s v="Chain 1_Depot 1_SKU 15_45383"/>
    <x v="1"/>
    <x v="0"/>
    <x v="0"/>
    <x v="0"/>
    <x v="1"/>
    <x v="1"/>
    <s v="History"/>
    <n v="14867.06"/>
    <m/>
    <n v="15174.500962073"/>
    <n v="-294.23451886891797"/>
    <m/>
    <m/>
    <n v="0"/>
    <n v="0"/>
    <n v="0"/>
    <m/>
    <m/>
    <b v="0"/>
    <n v="2100"/>
    <n v="1"/>
    <n v="1475"/>
    <s v="Stable"/>
    <n v="1761.78"/>
    <n v="1412.21"/>
    <n v="19.84"/>
    <n v="0"/>
    <m/>
    <m/>
    <m/>
    <m/>
    <m/>
    <m/>
    <m/>
    <m/>
    <m/>
    <m/>
    <m/>
    <m/>
  </r>
  <r>
    <x v="21"/>
    <s v="Chain 1_Depot 1_SKU 15_45413"/>
    <x v="1"/>
    <x v="0"/>
    <x v="0"/>
    <x v="0"/>
    <x v="1"/>
    <x v="1"/>
    <s v="History"/>
    <n v="14968.64"/>
    <m/>
    <n v="15238.520333004901"/>
    <n v="-262.02923963417697"/>
    <m/>
    <m/>
    <n v="0"/>
    <n v="0"/>
    <n v="0"/>
    <m/>
    <m/>
    <b v="0"/>
    <n v="2660"/>
    <n v="0"/>
    <n v="2534"/>
    <s v="Stable"/>
    <n v="1810.73"/>
    <n v="1465.7"/>
    <n v="19.05"/>
    <n v="0"/>
    <m/>
    <m/>
    <m/>
    <m/>
    <m/>
    <m/>
    <m/>
    <m/>
    <m/>
    <m/>
    <m/>
    <m/>
  </r>
  <r>
    <x v="22"/>
    <s v="Chain 1_Depot 1_SKU 15_45444"/>
    <x v="1"/>
    <x v="0"/>
    <x v="0"/>
    <x v="0"/>
    <x v="1"/>
    <x v="1"/>
    <s v="History"/>
    <n v="15214.6"/>
    <m/>
    <n v="15304.6627856949"/>
    <n v="-211.34280607085"/>
    <m/>
    <m/>
    <n v="0"/>
    <n v="0"/>
    <n v="0"/>
    <m/>
    <m/>
    <b v="0"/>
    <n v="3681"/>
    <n v="0"/>
    <n v="2485"/>
    <s v="Stable"/>
    <n v="1874.04"/>
    <n v="1522.76"/>
    <n v="18.739999999999998"/>
    <n v="0"/>
    <m/>
    <m/>
    <m/>
    <m/>
    <m/>
    <m/>
    <m/>
    <m/>
    <m/>
    <m/>
    <m/>
    <m/>
  </r>
  <r>
    <x v="30"/>
    <s v="Chain 1_Depot 1_SKU 15_45474"/>
    <x v="1"/>
    <x v="0"/>
    <x v="0"/>
    <x v="0"/>
    <x v="1"/>
    <x v="1"/>
    <s v="History"/>
    <n v="15390.51"/>
    <n v="15507.14"/>
    <n v="15368.6716108787"/>
    <n v="91.788952616864506"/>
    <n v="15707.14"/>
    <n v="15307.14"/>
    <n v="0"/>
    <n v="0"/>
    <n v="0"/>
    <m/>
    <m/>
    <b v="0"/>
    <n v="2242"/>
    <n v="1"/>
    <n v="1052"/>
    <s v="Stable"/>
    <n v="1889.89"/>
    <n v="1561.97"/>
    <n v="17.350000000000001"/>
    <n v="0"/>
    <m/>
    <m/>
    <m/>
    <m/>
    <m/>
    <m/>
    <m/>
    <m/>
    <m/>
    <m/>
    <m/>
    <m/>
  </r>
  <r>
    <x v="23"/>
    <s v="Chain 1_Depot 1_SKU 15_45505"/>
    <x v="1"/>
    <x v="0"/>
    <x v="0"/>
    <x v="0"/>
    <x v="1"/>
    <x v="1"/>
    <s v="History"/>
    <n v="15104.23"/>
    <n v="15157.33"/>
    <n v="15434.8140635687"/>
    <n v="-262.97584388309099"/>
    <n v="15357.33"/>
    <n v="14957.33"/>
    <n v="0"/>
    <n v="0"/>
    <n v="0"/>
    <m/>
    <m/>
    <b v="0"/>
    <n v="4800"/>
    <n v="1"/>
    <n v="1753"/>
    <s v="Stable"/>
    <n v="1892.24"/>
    <n v="1561.54"/>
    <n v="17.48"/>
    <n v="0"/>
    <m/>
    <m/>
    <m/>
    <m/>
    <m/>
    <m/>
    <m/>
    <m/>
    <m/>
    <m/>
    <m/>
    <m/>
  </r>
  <r>
    <x v="24"/>
    <s v="Chain 1_Depot 1_SKU 15_45536"/>
    <x v="1"/>
    <x v="0"/>
    <x v="0"/>
    <x v="0"/>
    <x v="1"/>
    <x v="1"/>
    <s v="History"/>
    <n v="15485.68"/>
    <n v="15267.86"/>
    <n v="15500.9565162586"/>
    <n v="-38.051244489679704"/>
    <n v="15467.86"/>
    <n v="15067.86"/>
    <n v="0"/>
    <n v="0"/>
    <n v="0"/>
    <m/>
    <m/>
    <b v="0"/>
    <n v="2511"/>
    <n v="0"/>
    <n v="1485"/>
    <s v="Stable"/>
    <n v="1891.76"/>
    <n v="1529.72"/>
    <n v="19.14"/>
    <n v="0"/>
    <m/>
    <m/>
    <m/>
    <m/>
    <m/>
    <m/>
    <m/>
    <m/>
    <m/>
    <m/>
    <m/>
    <m/>
  </r>
  <r>
    <x v="31"/>
    <s v="Chain 1_Depot 1_SKU 15_45566"/>
    <x v="1"/>
    <x v="0"/>
    <x v="0"/>
    <x v="0"/>
    <x v="1"/>
    <x v="1"/>
    <s v="Forecast"/>
    <m/>
    <n v="15101.03"/>
    <n v="15564.965341442499"/>
    <n v="-540.889591562188"/>
    <n v="15301.03"/>
    <n v="14901.03"/>
    <m/>
    <m/>
    <m/>
    <m/>
    <m/>
    <m/>
    <m/>
    <m/>
    <n v="2667"/>
    <n v="0"/>
    <n v="1821.3"/>
    <n v="1480.59"/>
    <n v="18.71"/>
    <n v="0"/>
    <m/>
    <m/>
    <m/>
    <m/>
    <m/>
    <m/>
    <m/>
    <m/>
    <m/>
    <m/>
    <m/>
    <m/>
  </r>
  <r>
    <x v="25"/>
    <s v="Chain 1_Depot 1_SKU 15_45597"/>
    <x v="1"/>
    <x v="0"/>
    <x v="0"/>
    <x v="0"/>
    <x v="1"/>
    <x v="1"/>
    <s v="Forecast"/>
    <m/>
    <n v="15856.86"/>
    <n v="15631.1077941324"/>
    <n v="643.15451905835903"/>
    <n v="16056.86"/>
    <n v="15656.86"/>
    <m/>
    <m/>
    <m/>
    <m/>
    <m/>
    <m/>
    <m/>
    <m/>
    <n v="2513"/>
    <n v="0"/>
    <n v="1899.93"/>
    <n v="1518.23"/>
    <n v="20.09"/>
    <n v="0"/>
    <m/>
    <m/>
    <m/>
    <m/>
    <m/>
    <m/>
    <m/>
    <m/>
    <m/>
    <m/>
    <m/>
    <m/>
  </r>
  <r>
    <x v="32"/>
    <s v="Chain 1_Depot 1_SKU 15_45627"/>
    <x v="1"/>
    <x v="0"/>
    <x v="0"/>
    <x v="0"/>
    <x v="1"/>
    <x v="1"/>
    <s v="Forecast"/>
    <m/>
    <n v="15935.07"/>
    <n v="15695.116619316301"/>
    <n v="469.88495555204702"/>
    <n v="16135.07"/>
    <n v="15735.07"/>
    <m/>
    <m/>
    <m/>
    <m/>
    <m/>
    <m/>
    <m/>
    <m/>
    <n v="2387"/>
    <n v="0"/>
    <n v="1909.84"/>
    <n v="1517.68"/>
    <n v="20.53"/>
    <n v="0"/>
    <m/>
    <m/>
    <m/>
    <m/>
    <m/>
    <m/>
    <m/>
    <m/>
    <m/>
    <m/>
    <m/>
    <m/>
  </r>
  <r>
    <x v="33"/>
    <s v="Chain 1_Depot 1_SKU 19_44835"/>
    <x v="2"/>
    <x v="0"/>
    <x v="0"/>
    <x v="0"/>
    <x v="2"/>
    <x v="2"/>
    <s v="History"/>
    <n v="10046.65"/>
    <m/>
    <n v="10147.6555144999"/>
    <n v="-320.24234973557702"/>
    <m/>
    <m/>
    <n v="0"/>
    <n v="0"/>
    <n v="0"/>
    <m/>
    <m/>
    <b v="1"/>
    <n v="2144"/>
    <n v="1"/>
    <n v="2330"/>
    <s v="Stable"/>
    <n v="1328.04"/>
    <n v="1140.1500000000001"/>
    <n v="14.15"/>
    <n v="0"/>
    <m/>
    <m/>
    <m/>
    <m/>
    <m/>
    <m/>
    <m/>
    <m/>
    <m/>
    <m/>
    <m/>
    <m/>
  </r>
  <r>
    <x v="8"/>
    <s v="Chain 1_Depot 1_SKU 19_44866"/>
    <x v="2"/>
    <x v="0"/>
    <x v="0"/>
    <x v="0"/>
    <x v="2"/>
    <x v="2"/>
    <s v="History"/>
    <n v="9601.15"/>
    <m/>
    <n v="10155.005160750799"/>
    <n v="-561.00591124525795"/>
    <m/>
    <m/>
    <n v="0"/>
    <n v="0"/>
    <n v="0"/>
    <m/>
    <m/>
    <b v="0"/>
    <n v="2761"/>
    <n v="0"/>
    <n v="2377"/>
    <s v="Stable"/>
    <n v="1320.64"/>
    <n v="1136.67"/>
    <n v="13.93"/>
    <n v="0"/>
    <m/>
    <m/>
    <m/>
    <m/>
    <m/>
    <m/>
    <m/>
    <m/>
    <m/>
    <m/>
    <m/>
    <m/>
  </r>
  <r>
    <x v="9"/>
    <s v="Chain 1_Depot 1_SKU 19_44896"/>
    <x v="2"/>
    <x v="0"/>
    <x v="0"/>
    <x v="0"/>
    <x v="2"/>
    <x v="2"/>
    <s v="History"/>
    <n v="9180.58"/>
    <m/>
    <n v="10162.117721956"/>
    <n v="-642.64643507613198"/>
    <m/>
    <m/>
    <n v="0"/>
    <n v="0"/>
    <n v="0"/>
    <m/>
    <m/>
    <b v="0"/>
    <n v="3377"/>
    <n v="0"/>
    <n v="1392"/>
    <s v="Stable"/>
    <n v="1229.67"/>
    <n v="1055.99"/>
    <n v="14.12"/>
    <n v="0"/>
    <m/>
    <m/>
    <m/>
    <m/>
    <m/>
    <m/>
    <m/>
    <m/>
    <m/>
    <m/>
    <m/>
    <m/>
  </r>
  <r>
    <x v="10"/>
    <s v="Chain 1_Depot 1_SKU 19_44927"/>
    <x v="2"/>
    <x v="0"/>
    <x v="0"/>
    <x v="0"/>
    <x v="2"/>
    <x v="2"/>
    <s v="History"/>
    <n v="9735.9599999999991"/>
    <m/>
    <n v="10169.4673688777"/>
    <n v="-212.125712206164"/>
    <m/>
    <m/>
    <n v="0"/>
    <n v="0"/>
    <n v="0"/>
    <m/>
    <m/>
    <b v="0"/>
    <n v="3825"/>
    <n v="1"/>
    <n v="1203"/>
    <s v="Stable"/>
    <n v="1221.57"/>
    <n v="1049.27"/>
    <n v="14.1"/>
    <n v="0"/>
    <m/>
    <m/>
    <m/>
    <m/>
    <m/>
    <m/>
    <m/>
    <m/>
    <m/>
    <m/>
    <m/>
    <m/>
  </r>
  <r>
    <x v="11"/>
    <s v="Chain 1_Depot 1_SKU 19_44958"/>
    <x v="2"/>
    <x v="0"/>
    <x v="0"/>
    <x v="0"/>
    <x v="2"/>
    <x v="2"/>
    <s v="History"/>
    <n v="9496.06"/>
    <m/>
    <n v="10176.817016066399"/>
    <n v="-534.35280266899804"/>
    <m/>
    <m/>
    <n v="0"/>
    <n v="0"/>
    <n v="0"/>
    <m/>
    <m/>
    <b v="0"/>
    <n v="2928"/>
    <n v="1"/>
    <n v="1257"/>
    <s v="Stable"/>
    <n v="1122.0899999999999"/>
    <n v="963.64"/>
    <n v="14.12"/>
    <n v="0"/>
    <m/>
    <m/>
    <m/>
    <m/>
    <m/>
    <m/>
    <m/>
    <m/>
    <m/>
    <m/>
    <m/>
    <m/>
  </r>
  <r>
    <x v="12"/>
    <s v="Chain 1_Depot 1_SKU 19_44986"/>
    <x v="2"/>
    <x v="0"/>
    <x v="0"/>
    <x v="0"/>
    <x v="2"/>
    <x v="2"/>
    <s v="History"/>
    <n v="9896.98"/>
    <m/>
    <n v="10183.4554067874"/>
    <n v="-359.59044482903602"/>
    <m/>
    <m/>
    <n v="0"/>
    <n v="0"/>
    <n v="0"/>
    <m/>
    <m/>
    <b v="0"/>
    <n v="2793"/>
    <n v="0"/>
    <n v="1485"/>
    <s v="Stable"/>
    <n v="1178.92"/>
    <n v="992.07"/>
    <n v="15.85"/>
    <n v="0"/>
    <m/>
    <m/>
    <m/>
    <m/>
    <m/>
    <m/>
    <m/>
    <m/>
    <m/>
    <m/>
    <m/>
    <m/>
  </r>
  <r>
    <x v="13"/>
    <s v="Chain 1_Depot 1_SKU 19_45017"/>
    <x v="2"/>
    <x v="0"/>
    <x v="0"/>
    <x v="0"/>
    <x v="2"/>
    <x v="2"/>
    <s v="History"/>
    <n v="11249.05"/>
    <m/>
    <n v="10190.8050536558"/>
    <n v="704.48202306872895"/>
    <m/>
    <m/>
    <n v="0"/>
    <n v="0"/>
    <n v="1"/>
    <m/>
    <m/>
    <b v="0"/>
    <n v="3601"/>
    <n v="1"/>
    <n v="2540"/>
    <s v="Stable"/>
    <n v="1186.03"/>
    <n v="1034.4000000000001"/>
    <n v="12.78"/>
    <n v="0"/>
    <m/>
    <m/>
    <m/>
    <m/>
    <m/>
    <m/>
    <m/>
    <m/>
    <m/>
    <m/>
    <m/>
    <m/>
  </r>
  <r>
    <x v="14"/>
    <s v="Chain 1_Depot 1_SKU 19_45047"/>
    <x v="2"/>
    <x v="0"/>
    <x v="0"/>
    <x v="0"/>
    <x v="2"/>
    <x v="2"/>
    <s v="History"/>
    <n v="10155.39"/>
    <m/>
    <n v="10197.9176146262"/>
    <n v="-101.67715237073701"/>
    <m/>
    <m/>
    <n v="0"/>
    <n v="0"/>
    <n v="0"/>
    <m/>
    <m/>
    <b v="0"/>
    <n v="3660"/>
    <n v="1"/>
    <n v="1445"/>
    <s v="Stable"/>
    <n v="1259.76"/>
    <n v="1122.23"/>
    <n v="10.92"/>
    <n v="0"/>
    <m/>
    <m/>
    <m/>
    <m/>
    <m/>
    <m/>
    <m/>
    <m/>
    <m/>
    <m/>
    <m/>
    <m/>
  </r>
  <r>
    <x v="15"/>
    <s v="Chain 1_Depot 1_SKU 19_45078"/>
    <x v="2"/>
    <x v="0"/>
    <x v="0"/>
    <x v="0"/>
    <x v="2"/>
    <x v="2"/>
    <s v="History"/>
    <n v="10159.4"/>
    <m/>
    <n v="10205.2490312349"/>
    <n v="73.672251653707406"/>
    <m/>
    <m/>
    <n v="0"/>
    <n v="0"/>
    <n v="0"/>
    <m/>
    <m/>
    <b v="1"/>
    <n v="2318"/>
    <n v="1"/>
    <n v="2732"/>
    <s v="Stable"/>
    <n v="1236.69"/>
    <n v="1069.99"/>
    <n v="13.48"/>
    <n v="0"/>
    <m/>
    <m/>
    <m/>
    <m/>
    <m/>
    <m/>
    <m/>
    <m/>
    <m/>
    <m/>
    <m/>
    <m/>
  </r>
  <r>
    <x v="16"/>
    <s v="Chain 1_Depot 1_SKU 19_45108"/>
    <x v="2"/>
    <x v="0"/>
    <x v="0"/>
    <x v="0"/>
    <x v="2"/>
    <x v="2"/>
    <s v="History"/>
    <n v="10617.67"/>
    <m/>
    <n v="10212.328253583601"/>
    <n v="290.80744376387401"/>
    <m/>
    <m/>
    <n v="0"/>
    <n v="0"/>
    <n v="0"/>
    <m/>
    <m/>
    <b v="0"/>
    <n v="3110"/>
    <n v="0"/>
    <n v="2203"/>
    <s v="Stable"/>
    <n v="1185.73"/>
    <n v="1008.9"/>
    <n v="14.91"/>
    <n v="0"/>
    <m/>
    <m/>
    <m/>
    <m/>
    <m/>
    <m/>
    <m/>
    <m/>
    <m/>
    <m/>
    <m/>
    <m/>
  </r>
  <r>
    <x v="34"/>
    <s v="Chain 1_Depot 1_SKU 19_45200"/>
    <x v="2"/>
    <x v="0"/>
    <x v="0"/>
    <x v="0"/>
    <x v="2"/>
    <x v="2"/>
    <s v="History"/>
    <n v="9767.25"/>
    <m/>
    <n v="10234.008932423199"/>
    <n v="-249.658688453515"/>
    <m/>
    <m/>
    <n v="0"/>
    <n v="1"/>
    <n v="0"/>
    <m/>
    <m/>
    <b v="0"/>
    <n v="2846"/>
    <n v="0"/>
    <n v="1132"/>
    <s v="Stable"/>
    <n v="1279.3900000000001"/>
    <n v="1108.05"/>
    <n v="13.39"/>
    <n v="0"/>
    <m/>
    <m/>
    <m/>
    <m/>
    <m/>
    <m/>
    <m/>
    <m/>
    <m/>
    <m/>
    <m/>
    <m/>
  </r>
  <r>
    <x v="28"/>
    <s v="Chain 1_Depot 1_SKU 19_45231"/>
    <x v="2"/>
    <x v="0"/>
    <x v="0"/>
    <x v="0"/>
    <x v="2"/>
    <x v="2"/>
    <s v="History"/>
    <n v="9605.0400000000009"/>
    <m/>
    <n v="10241.289769777501"/>
    <n v="-624.20881377236606"/>
    <m/>
    <m/>
    <n v="0"/>
    <n v="1"/>
    <n v="0"/>
    <m/>
    <m/>
    <b v="0"/>
    <n v="3801"/>
    <n v="0"/>
    <n v="1442"/>
    <s v="Stable"/>
    <n v="1158.02"/>
    <n v="1123.28"/>
    <n v="3"/>
    <n v="1"/>
    <m/>
    <m/>
    <m/>
    <m/>
    <m/>
    <m/>
    <m/>
    <m/>
    <m/>
    <m/>
    <m/>
    <m/>
  </r>
  <r>
    <x v="29"/>
    <s v="Chain 1_Depot 1_SKU 19_45261"/>
    <x v="2"/>
    <x v="0"/>
    <x v="0"/>
    <x v="0"/>
    <x v="2"/>
    <x v="2"/>
    <s v="History"/>
    <n v="10006.83"/>
    <m/>
    <n v="10248.126492712599"/>
    <n v="-580.738136592415"/>
    <m/>
    <m/>
    <n v="0"/>
    <n v="1"/>
    <n v="0"/>
    <m/>
    <m/>
    <b v="1"/>
    <n v="2782"/>
    <n v="1"/>
    <n v="2859"/>
    <s v="Stable"/>
    <n v="1246.5899999999999"/>
    <n v="1084.22"/>
    <n v="13.02"/>
    <n v="0"/>
    <m/>
    <m/>
    <m/>
    <m/>
    <m/>
    <m/>
    <m/>
    <m/>
    <m/>
    <m/>
    <m/>
    <m/>
  </r>
  <r>
    <x v="17"/>
    <s v="Chain 1_Depot 1_SKU 19_45292"/>
    <x v="2"/>
    <x v="0"/>
    <x v="0"/>
    <x v="0"/>
    <x v="2"/>
    <x v="2"/>
    <s v="History"/>
    <n v="10042.700000000001"/>
    <m/>
    <n v="10098.4086354554"/>
    <n v="-277.19024022534501"/>
    <m/>
    <m/>
    <n v="0"/>
    <n v="1"/>
    <n v="0"/>
    <m/>
    <m/>
    <b v="0"/>
    <n v="4089"/>
    <n v="0"/>
    <n v="1252"/>
    <s v="Stable"/>
    <n v="1183.83"/>
    <n v="996.29"/>
    <n v="15.84"/>
    <n v="0"/>
    <m/>
    <m/>
    <m/>
    <m/>
    <m/>
    <m/>
    <m/>
    <m/>
    <m/>
    <m/>
    <m/>
    <m/>
  </r>
  <r>
    <x v="18"/>
    <s v="Chain 1_Depot 1_SKU 19_45323"/>
    <x v="2"/>
    <x v="0"/>
    <x v="0"/>
    <x v="0"/>
    <x v="2"/>
    <x v="2"/>
    <s v="History"/>
    <n v="9624.69"/>
    <m/>
    <n v="9948.6554784257696"/>
    <n v="-472.24081937557497"/>
    <m/>
    <m/>
    <n v="0"/>
    <n v="1"/>
    <n v="0"/>
    <m/>
    <m/>
    <b v="0"/>
    <n v="3116"/>
    <n v="0"/>
    <n v="1264"/>
    <s v="Stable"/>
    <n v="1298.0899999999999"/>
    <n v="1129.02"/>
    <n v="13.02"/>
    <n v="0"/>
    <m/>
    <m/>
    <m/>
    <m/>
    <m/>
    <m/>
    <m/>
    <m/>
    <m/>
    <m/>
    <m/>
    <m/>
  </r>
  <r>
    <x v="19"/>
    <s v="Chain 1_Depot 1_SKU 19_45352"/>
    <x v="2"/>
    <x v="0"/>
    <x v="0"/>
    <x v="0"/>
    <x v="2"/>
    <x v="2"/>
    <s v="History"/>
    <n v="9569.48"/>
    <m/>
    <n v="9808.5391820197201"/>
    <n v="-160.355256605954"/>
    <m/>
    <m/>
    <n v="0"/>
    <n v="1"/>
    <n v="0"/>
    <m/>
    <m/>
    <b v="0"/>
    <n v="3750"/>
    <n v="0"/>
    <n v="1092"/>
    <s v="Stable"/>
    <n v="1292.21"/>
    <n v="1117.24"/>
    <n v="13.54"/>
    <n v="0"/>
    <m/>
    <m/>
    <m/>
    <m/>
    <m/>
    <m/>
    <m/>
    <m/>
    <m/>
    <m/>
    <m/>
    <m/>
  </r>
  <r>
    <x v="20"/>
    <s v="Chain 1_Depot 1_SKU 19_45383"/>
    <x v="2"/>
    <x v="0"/>
    <x v="0"/>
    <x v="0"/>
    <x v="2"/>
    <x v="2"/>
    <s v="History"/>
    <n v="9826.75"/>
    <m/>
    <n v="9658.7596925178896"/>
    <n v="524.08242299245796"/>
    <m/>
    <m/>
    <n v="0"/>
    <n v="1"/>
    <n v="0"/>
    <m/>
    <m/>
    <b v="0"/>
    <n v="4576"/>
    <n v="1"/>
    <n v="2685"/>
    <s v="Stable"/>
    <n v="1208.0999999999999"/>
    <n v="1029.6199999999999"/>
    <n v="14.77"/>
    <n v="0"/>
    <m/>
    <m/>
    <m/>
    <m/>
    <m/>
    <m/>
    <m/>
    <m/>
    <m/>
    <m/>
    <m/>
    <m/>
  </r>
  <r>
    <x v="21"/>
    <s v="Chain 1_Depot 1_SKU 19_45413"/>
    <x v="2"/>
    <x v="0"/>
    <x v="0"/>
    <x v="0"/>
    <x v="2"/>
    <x v="2"/>
    <s v="History"/>
    <n v="9532.4599999999991"/>
    <m/>
    <n v="9513.8117992077405"/>
    <n v="65.517361623535706"/>
    <m/>
    <m/>
    <n v="0"/>
    <n v="1"/>
    <n v="0"/>
    <m/>
    <m/>
    <b v="0"/>
    <n v="3649"/>
    <n v="0"/>
    <n v="2434"/>
    <s v="Stable"/>
    <n v="1214.7"/>
    <n v="1029.93"/>
    <n v="15.21"/>
    <n v="0"/>
    <m/>
    <m/>
    <m/>
    <m/>
    <m/>
    <m/>
    <m/>
    <m/>
    <m/>
    <m/>
    <m/>
    <m/>
  </r>
  <r>
    <x v="22"/>
    <s v="Chain 1_Depot 1_SKU 19_45444"/>
    <x v="2"/>
    <x v="0"/>
    <x v="0"/>
    <x v="0"/>
    <x v="2"/>
    <x v="2"/>
    <s v="History"/>
    <n v="9378.85"/>
    <m/>
    <n v="9364.0323094539108"/>
    <n v="-99.479578117550105"/>
    <m/>
    <m/>
    <n v="0"/>
    <n v="1"/>
    <n v="0"/>
    <m/>
    <m/>
    <b v="0"/>
    <n v="2291"/>
    <n v="1"/>
    <n v="1137"/>
    <s v="Stable"/>
    <n v="1229.94"/>
    <n v="1061.97"/>
    <n v="13.66"/>
    <n v="0"/>
    <m/>
    <m/>
    <m/>
    <m/>
    <m/>
    <m/>
    <m/>
    <m/>
    <m/>
    <m/>
    <m/>
    <m/>
  </r>
  <r>
    <x v="30"/>
    <s v="Chain 1_Depot 1_SKU 19_45474"/>
    <x v="2"/>
    <x v="0"/>
    <x v="0"/>
    <x v="0"/>
    <x v="2"/>
    <x v="2"/>
    <s v="History"/>
    <n v="9585.85"/>
    <n v="10909.76"/>
    <n v="9219.0844161437599"/>
    <n v="482.21872126072998"/>
    <n v="11109.76"/>
    <n v="10709.76"/>
    <n v="0"/>
    <n v="1"/>
    <n v="0"/>
    <m/>
    <m/>
    <b v="0"/>
    <n v="2968"/>
    <n v="0"/>
    <n v="2231"/>
    <s v="Stable"/>
    <n v="1140.3599999999999"/>
    <n v="999.29"/>
    <n v="12.37"/>
    <n v="0"/>
    <m/>
    <m/>
    <m/>
    <m/>
    <m/>
    <m/>
    <m/>
    <m/>
    <m/>
    <m/>
    <m/>
    <m/>
  </r>
  <r>
    <x v="23"/>
    <s v="Chain 1_Depot 1_SKU 19_45505"/>
    <x v="2"/>
    <x v="0"/>
    <x v="0"/>
    <x v="0"/>
    <x v="2"/>
    <x v="2"/>
    <s v="History"/>
    <n v="9489.2800000000007"/>
    <n v="10881"/>
    <n v="9069.3049263899393"/>
    <n v="417.35997630940199"/>
    <n v="11081"/>
    <n v="10681"/>
    <n v="0"/>
    <n v="1"/>
    <n v="0"/>
    <m/>
    <m/>
    <b v="0"/>
    <n v="3487"/>
    <n v="1"/>
    <n v="2001"/>
    <s v="Stable"/>
    <n v="1269.8"/>
    <n v="1091.95"/>
    <n v="14.01"/>
    <n v="0"/>
    <m/>
    <m/>
    <m/>
    <m/>
    <m/>
    <m/>
    <m/>
    <m/>
    <m/>
    <m/>
    <m/>
    <m/>
  </r>
  <r>
    <x v="24"/>
    <s v="Chain 1_Depot 1_SKU 19_45536"/>
    <x v="2"/>
    <x v="0"/>
    <x v="0"/>
    <x v="0"/>
    <x v="2"/>
    <x v="2"/>
    <s v="History"/>
    <n v="9745.69"/>
    <n v="11242.26"/>
    <n v="8919.5254366361205"/>
    <n v="826.63339669166703"/>
    <n v="11442.26"/>
    <n v="11042.26"/>
    <n v="0"/>
    <n v="1"/>
    <n v="0"/>
    <m/>
    <m/>
    <b v="0"/>
    <n v="3842"/>
    <n v="2"/>
    <n v="2660"/>
    <s v="Stable"/>
    <n v="1239.3599999999999"/>
    <n v="1058.03"/>
    <n v="14.63"/>
    <n v="0"/>
    <m/>
    <m/>
    <m/>
    <m/>
    <m/>
    <m/>
    <m/>
    <m/>
    <m/>
    <m/>
    <m/>
    <m/>
  </r>
  <r>
    <x v="31"/>
    <s v="Chain 1_Depot 1_SKU 19_45566"/>
    <x v="2"/>
    <x v="0"/>
    <x v="0"/>
    <x v="0"/>
    <x v="2"/>
    <x v="2"/>
    <s v="Forecast"/>
    <m/>
    <n v="11292.34"/>
    <n v="8774.5775433259696"/>
    <n v="-461.17482188456"/>
    <n v="11492.34"/>
    <n v="11092.34"/>
    <m/>
    <m/>
    <m/>
    <m/>
    <m/>
    <m/>
    <m/>
    <m/>
    <n v="2769"/>
    <n v="0"/>
    <n v="1301.51"/>
    <n v="1124.68"/>
    <n v="13.59"/>
    <n v="0"/>
    <m/>
    <m/>
    <m/>
    <m/>
    <m/>
    <m/>
    <m/>
    <m/>
    <m/>
    <m/>
    <m/>
    <m/>
  </r>
  <r>
    <x v="25"/>
    <s v="Chain 1_Depot 1_SKU 19_45597"/>
    <x v="2"/>
    <x v="0"/>
    <x v="0"/>
    <x v="0"/>
    <x v="2"/>
    <x v="2"/>
    <s v="Forecast"/>
    <m/>
    <n v="11635.78"/>
    <n v="8624.7980535721508"/>
    <n v="-434.85628980263903"/>
    <n v="11835.78"/>
    <n v="11435.78"/>
    <m/>
    <m/>
    <m/>
    <m/>
    <m/>
    <m/>
    <m/>
    <m/>
    <n v="2596"/>
    <n v="0"/>
    <n v="1198.08"/>
    <n v="1054.82"/>
    <n v="11.96"/>
    <n v="0"/>
    <m/>
    <m/>
    <m/>
    <m/>
    <m/>
    <m/>
    <m/>
    <m/>
    <m/>
    <m/>
    <m/>
    <m/>
  </r>
  <r>
    <x v="32"/>
    <s v="Chain 1_Depot 1_SKU 19_45627"/>
    <x v="2"/>
    <x v="0"/>
    <x v="0"/>
    <x v="0"/>
    <x v="2"/>
    <x v="2"/>
    <s v="Forecast"/>
    <m/>
    <n v="12125.47"/>
    <n v="8479.8501602619999"/>
    <n v="-766.32503702233896"/>
    <n v="12325.47"/>
    <n v="11925.47"/>
    <m/>
    <m/>
    <m/>
    <m/>
    <m/>
    <m/>
    <m/>
    <m/>
    <n v="1306"/>
    <n v="0"/>
    <n v="1222.04"/>
    <n v="1058.94"/>
    <n v="13.35"/>
    <n v="0"/>
    <m/>
    <m/>
    <m/>
    <m/>
    <m/>
    <m/>
    <m/>
    <m/>
    <m/>
    <m/>
    <m/>
    <m/>
  </r>
  <r>
    <x v="0"/>
    <s v="Chain 2_Depot 2_SKU 14_44562"/>
    <x v="3"/>
    <x v="1"/>
    <x v="1"/>
    <x v="1"/>
    <x v="3"/>
    <x v="3"/>
    <s v="History"/>
    <n v="16454.84"/>
    <m/>
    <n v="15711.95482015"/>
    <n v="445.66926153638201"/>
    <m/>
    <m/>
    <n v="0"/>
    <n v="0"/>
    <n v="0"/>
    <m/>
    <m/>
    <b v="0"/>
    <n v="3553"/>
    <n v="0"/>
    <n v="2099"/>
    <s v="Stable"/>
    <n v="2809.56"/>
    <n v="2429.36"/>
    <n v="13.53"/>
    <n v="0"/>
    <m/>
    <m/>
    <m/>
    <m/>
    <m/>
    <m/>
    <m/>
    <m/>
    <m/>
    <m/>
    <m/>
    <m/>
  </r>
  <r>
    <x v="5"/>
    <s v="Chain 2_Depot 2_SKU 14_44713"/>
    <x v="3"/>
    <x v="1"/>
    <x v="1"/>
    <x v="1"/>
    <x v="3"/>
    <x v="3"/>
    <s v="History"/>
    <n v="17304.41"/>
    <m/>
    <n v="16535.3567580897"/>
    <n v="901.520412420664"/>
    <m/>
    <m/>
    <n v="0"/>
    <n v="0"/>
    <n v="0"/>
    <m/>
    <m/>
    <b v="0"/>
    <n v="2018"/>
    <n v="0"/>
    <n v="1108"/>
    <s v="Stable"/>
    <n v="2849.19"/>
    <n v="2484.9899999999998"/>
    <n v="12.78"/>
    <n v="0"/>
    <m/>
    <m/>
    <m/>
    <m/>
    <m/>
    <m/>
    <m/>
    <m/>
    <m/>
    <m/>
    <m/>
    <m/>
  </r>
  <r>
    <x v="6"/>
    <s v="Chain 2_Depot 2_SKU 14_44743"/>
    <x v="3"/>
    <x v="1"/>
    <x v="1"/>
    <x v="1"/>
    <x v="3"/>
    <x v="3"/>
    <s v="History"/>
    <n v="17395.439999999999"/>
    <m/>
    <n v="16698.946547226202"/>
    <n v="468.10738066208597"/>
    <m/>
    <m/>
    <n v="0"/>
    <n v="0"/>
    <n v="0"/>
    <m/>
    <m/>
    <b v="0"/>
    <n v="3407"/>
    <n v="0"/>
    <n v="1640"/>
    <s v="Stable"/>
    <n v="2817.79"/>
    <n v="2458.12"/>
    <n v="12.76"/>
    <n v="0"/>
    <m/>
    <m/>
    <m/>
    <m/>
    <m/>
    <m/>
    <m/>
    <m/>
    <m/>
    <m/>
    <m/>
    <m/>
  </r>
  <r>
    <x v="7"/>
    <s v="Chain 2_Depot 2_SKU 14_44774"/>
    <x v="3"/>
    <x v="1"/>
    <x v="1"/>
    <x v="1"/>
    <x v="3"/>
    <x v="3"/>
    <s v="History"/>
    <n v="17301.93"/>
    <m/>
    <n v="16867.989329288899"/>
    <n v="-685.23015727956499"/>
    <m/>
    <m/>
    <n v="0"/>
    <n v="0"/>
    <n v="0"/>
    <m/>
    <m/>
    <b v="0"/>
    <n v="3216"/>
    <n v="0"/>
    <n v="2545"/>
    <s v="Stable"/>
    <n v="2888.16"/>
    <n v="2555.48"/>
    <n v="11.52"/>
    <n v="0"/>
    <m/>
    <m/>
    <m/>
    <m/>
    <m/>
    <m/>
    <m/>
    <m/>
    <m/>
    <m/>
    <m/>
    <m/>
  </r>
  <r>
    <x v="35"/>
    <s v="Chain 2_Depot 2_SKU 14_44805"/>
    <x v="3"/>
    <x v="1"/>
    <x v="1"/>
    <x v="1"/>
    <x v="3"/>
    <x v="3"/>
    <s v="History"/>
    <n v="17405.599999999999"/>
    <m/>
    <n v="17037.032111087799"/>
    <n v="-990.16779381259596"/>
    <m/>
    <m/>
    <n v="0"/>
    <n v="0"/>
    <n v="0"/>
    <m/>
    <m/>
    <b v="0"/>
    <n v="4284"/>
    <n v="1"/>
    <n v="2070"/>
    <s v="Stable"/>
    <n v="2814.82"/>
    <n v="2410.61"/>
    <n v="14.36"/>
    <n v="0"/>
    <m/>
    <m/>
    <m/>
    <m/>
    <m/>
    <m/>
    <m/>
    <m/>
    <m/>
    <m/>
    <m/>
    <m/>
  </r>
  <r>
    <x v="33"/>
    <s v="Chain 2_Depot 2_SKU 14_44835"/>
    <x v="3"/>
    <x v="1"/>
    <x v="1"/>
    <x v="1"/>
    <x v="3"/>
    <x v="3"/>
    <s v="History"/>
    <n v="17592.03"/>
    <m/>
    <n v="17200.621899695201"/>
    <n v="365.167635019579"/>
    <m/>
    <m/>
    <n v="0"/>
    <n v="0"/>
    <n v="0"/>
    <m/>
    <m/>
    <b v="0"/>
    <n v="3410"/>
    <n v="2"/>
    <n v="1378"/>
    <s v="Stable"/>
    <n v="2803.9"/>
    <n v="2437.87"/>
    <n v="13.05"/>
    <n v="0"/>
    <m/>
    <m/>
    <m/>
    <m/>
    <m/>
    <m/>
    <m/>
    <m/>
    <m/>
    <m/>
    <m/>
    <m/>
  </r>
  <r>
    <x v="8"/>
    <s v="Chain 2_Depot 2_SKU 14_44866"/>
    <x v="3"/>
    <x v="1"/>
    <x v="1"/>
    <x v="1"/>
    <x v="3"/>
    <x v="3"/>
    <s v="History"/>
    <n v="17849.39"/>
    <m/>
    <n v="17369.6646812988"/>
    <n v="501.42039691930199"/>
    <m/>
    <m/>
    <n v="0"/>
    <n v="0"/>
    <n v="0"/>
    <m/>
    <m/>
    <b v="1"/>
    <n v="2276"/>
    <n v="0"/>
    <n v="2850"/>
    <s v="Stable"/>
    <n v="2826.74"/>
    <n v="2447.19"/>
    <n v="13.43"/>
    <n v="0"/>
    <m/>
    <m/>
    <m/>
    <m/>
    <m/>
    <m/>
    <m/>
    <m/>
    <m/>
    <m/>
    <m/>
    <m/>
  </r>
  <r>
    <x v="9"/>
    <s v="Chain 2_Depot 2_SKU 14_44896"/>
    <x v="3"/>
    <x v="1"/>
    <x v="1"/>
    <x v="1"/>
    <x v="3"/>
    <x v="3"/>
    <s v="History"/>
    <n v="17643.169999999998"/>
    <m/>
    <n v="17533.254470190801"/>
    <n v="95.810988738140097"/>
    <m/>
    <m/>
    <n v="0"/>
    <n v="0"/>
    <n v="0"/>
    <m/>
    <m/>
    <b v="0"/>
    <n v="2744"/>
    <n v="0"/>
    <n v="2119"/>
    <s v="Stable"/>
    <n v="2820.47"/>
    <n v="2505.14"/>
    <n v="11.18"/>
    <n v="0"/>
    <m/>
    <m/>
    <m/>
    <m/>
    <m/>
    <m/>
    <m/>
    <m/>
    <m/>
    <m/>
    <m/>
    <m/>
  </r>
  <r>
    <x v="10"/>
    <s v="Chain 2_Depot 2_SKU 14_44927"/>
    <x v="3"/>
    <x v="1"/>
    <x v="1"/>
    <x v="1"/>
    <x v="3"/>
    <x v="3"/>
    <s v="History"/>
    <n v="17650.75"/>
    <m/>
    <n v="17702.297252162301"/>
    <n v="266.14413029172499"/>
    <m/>
    <m/>
    <n v="0"/>
    <n v="0"/>
    <n v="0"/>
    <m/>
    <m/>
    <b v="0"/>
    <n v="2551"/>
    <n v="0"/>
    <n v="1957"/>
    <s v="Stable"/>
    <n v="2862.63"/>
    <n v="2489.9899999999998"/>
    <n v="13.02"/>
    <n v="0"/>
    <m/>
    <m/>
    <m/>
    <m/>
    <m/>
    <m/>
    <m/>
    <m/>
    <m/>
    <m/>
    <m/>
    <m/>
  </r>
  <r>
    <x v="11"/>
    <s v="Chain 2_Depot 2_SKU 14_44958"/>
    <x v="3"/>
    <x v="1"/>
    <x v="1"/>
    <x v="1"/>
    <x v="3"/>
    <x v="3"/>
    <s v="History"/>
    <n v="17297.18"/>
    <m/>
    <n v="17871.340033931101"/>
    <n v="-595.20748687756395"/>
    <m/>
    <m/>
    <n v="0"/>
    <n v="0"/>
    <n v="0"/>
    <m/>
    <m/>
    <b v="0"/>
    <n v="3176"/>
    <n v="0"/>
    <n v="1102"/>
    <s v="Stable"/>
    <n v="2811.88"/>
    <n v="2413.27"/>
    <n v="14.18"/>
    <n v="0"/>
    <m/>
    <m/>
    <m/>
    <m/>
    <m/>
    <m/>
    <m/>
    <m/>
    <m/>
    <m/>
    <m/>
    <m/>
  </r>
  <r>
    <x v="12"/>
    <s v="Chain 2_Depot 2_SKU 14_44986"/>
    <x v="3"/>
    <x v="1"/>
    <x v="1"/>
    <x v="1"/>
    <x v="3"/>
    <x v="3"/>
    <s v="History"/>
    <n v="17807.830000000002"/>
    <m/>
    <n v="18024.023836876699"/>
    <n v="617.37835093189506"/>
    <m/>
    <m/>
    <n v="0"/>
    <n v="0"/>
    <n v="0"/>
    <m/>
    <m/>
    <b v="0"/>
    <n v="2638"/>
    <n v="0"/>
    <n v="1891"/>
    <s v="Stable"/>
    <n v="2846.26"/>
    <n v="2495.6999999999998"/>
    <n v="12.32"/>
    <n v="0"/>
    <m/>
    <m/>
    <m/>
    <m/>
    <m/>
    <m/>
    <m/>
    <m/>
    <m/>
    <m/>
    <m/>
    <m/>
  </r>
  <r>
    <x v="13"/>
    <s v="Chain 2_Depot 2_SKU 14_45017"/>
    <x v="3"/>
    <x v="1"/>
    <x v="1"/>
    <x v="1"/>
    <x v="3"/>
    <x v="3"/>
    <s v="History"/>
    <n v="17993.29"/>
    <m/>
    <n v="18193.066618812201"/>
    <n v="1335.9464186279799"/>
    <m/>
    <m/>
    <n v="0"/>
    <n v="0"/>
    <n v="0"/>
    <m/>
    <m/>
    <b v="0"/>
    <n v="2236"/>
    <n v="2"/>
    <n v="1853"/>
    <s v="Stable"/>
    <n v="2921.75"/>
    <n v="2544.5500000000002"/>
    <n v="12.91"/>
    <n v="0"/>
    <m/>
    <m/>
    <m/>
    <m/>
    <m/>
    <m/>
    <m/>
    <m/>
    <m/>
    <m/>
    <m/>
    <m/>
  </r>
  <r>
    <x v="14"/>
    <s v="Chain 2_Depot 2_SKU 14_45047"/>
    <x v="3"/>
    <x v="1"/>
    <x v="1"/>
    <x v="1"/>
    <x v="3"/>
    <x v="3"/>
    <s v="History"/>
    <n v="10477.58"/>
    <m/>
    <n v="18356.656407980001"/>
    <n v="-3372.8667148075101"/>
    <m/>
    <m/>
    <n v="0"/>
    <n v="0"/>
    <n v="1"/>
    <m/>
    <m/>
    <b v="0"/>
    <n v="2997"/>
    <n v="1"/>
    <n v="2169"/>
    <s v="Stable"/>
    <n v="2848.11"/>
    <n v="2475.1"/>
    <n v="13.1"/>
    <n v="0"/>
    <m/>
    <m/>
    <m/>
    <m/>
    <m/>
    <m/>
    <m/>
    <m/>
    <m/>
    <m/>
    <m/>
    <m/>
  </r>
  <r>
    <x v="15"/>
    <s v="Chain 2_Depot 2_SKU 14_45078"/>
    <x v="3"/>
    <x v="1"/>
    <x v="1"/>
    <x v="1"/>
    <x v="3"/>
    <x v="3"/>
    <s v="History"/>
    <n v="18512.400000000001"/>
    <m/>
    <n v="18525.703651310901"/>
    <n v="1053.63015926823"/>
    <m/>
    <m/>
    <n v="0"/>
    <n v="0"/>
    <n v="0"/>
    <m/>
    <m/>
    <b v="0"/>
    <n v="4102"/>
    <n v="0"/>
    <n v="2903"/>
    <s v="Stable"/>
    <n v="2917.84"/>
    <n v="2532.69"/>
    <n v="13.2"/>
    <n v="0"/>
    <m/>
    <m/>
    <m/>
    <m/>
    <m/>
    <m/>
    <m/>
    <m/>
    <m/>
    <m/>
    <m/>
    <m/>
  </r>
  <r>
    <x v="16"/>
    <s v="Chain 2_Depot 2_SKU 14_45108"/>
    <x v="3"/>
    <x v="1"/>
    <x v="1"/>
    <x v="1"/>
    <x v="3"/>
    <x v="3"/>
    <s v="History"/>
    <n v="21351.27"/>
    <m/>
    <n v="18689.2977576636"/>
    <n v="303.807807555963"/>
    <m/>
    <m/>
    <n v="1"/>
    <n v="0"/>
    <n v="0"/>
    <m/>
    <m/>
    <b v="0"/>
    <n v="4003"/>
    <n v="0"/>
    <n v="2965"/>
    <s v="Stable"/>
    <n v="2902.1"/>
    <n v="2517.88"/>
    <n v="13.24"/>
    <n v="0"/>
    <m/>
    <m/>
    <m/>
    <m/>
    <m/>
    <m/>
    <m/>
    <m/>
    <m/>
    <m/>
    <m/>
    <m/>
  </r>
  <r>
    <x v="19"/>
    <s v="Chain 2_Depot 2_SKU 14_45352"/>
    <x v="3"/>
    <x v="1"/>
    <x v="1"/>
    <x v="1"/>
    <x v="3"/>
    <x v="3"/>
    <s v="History"/>
    <n v="22059.56"/>
    <m/>
    <n v="20019.863155064799"/>
    <n v="1197.0214609371201"/>
    <m/>
    <m/>
    <n v="1"/>
    <n v="0"/>
    <n v="0"/>
    <m/>
    <m/>
    <b v="0"/>
    <n v="3394"/>
    <n v="1"/>
    <n v="2105"/>
    <s v="Stable"/>
    <n v="2805.99"/>
    <n v="2458.63"/>
    <n v="12.38"/>
    <n v="0"/>
    <m/>
    <m/>
    <m/>
    <m/>
    <m/>
    <m/>
    <m/>
    <m/>
    <m/>
    <m/>
    <m/>
    <m/>
  </r>
  <r>
    <x v="20"/>
    <s v="Chain 2_Depot 2_SKU 14_45383"/>
    <x v="3"/>
    <x v="1"/>
    <x v="1"/>
    <x v="1"/>
    <x v="3"/>
    <x v="3"/>
    <s v="History"/>
    <n v="22499.81"/>
    <m/>
    <n v="20188.910398042601"/>
    <n v="697.83032534836002"/>
    <m/>
    <m/>
    <n v="1"/>
    <n v="0"/>
    <n v="0"/>
    <m/>
    <m/>
    <b v="0"/>
    <n v="2372"/>
    <n v="0"/>
    <n v="1427"/>
    <s v="Stable"/>
    <n v="2765.65"/>
    <n v="2682.68"/>
    <n v="3"/>
    <n v="1"/>
    <m/>
    <m/>
    <m/>
    <m/>
    <m/>
    <m/>
    <m/>
    <m/>
    <m/>
    <m/>
    <m/>
    <m/>
  </r>
  <r>
    <x v="21"/>
    <s v="Chain 2_Depot 2_SKU 14_45413"/>
    <x v="3"/>
    <x v="1"/>
    <x v="1"/>
    <x v="1"/>
    <x v="3"/>
    <x v="3"/>
    <s v="History"/>
    <n v="22056.57"/>
    <m/>
    <n v="20352.504504253"/>
    <n v="-2834.2113696483102"/>
    <m/>
    <m/>
    <n v="1"/>
    <n v="0"/>
    <n v="0"/>
    <m/>
    <m/>
    <b v="0"/>
    <n v="3520"/>
    <n v="0"/>
    <n v="2607"/>
    <s v="Stable"/>
    <n v="2889.96"/>
    <n v="2458.11"/>
    <n v="14.94"/>
    <n v="0"/>
    <m/>
    <m/>
    <m/>
    <m/>
    <m/>
    <m/>
    <m/>
    <m/>
    <m/>
    <m/>
    <m/>
    <m/>
  </r>
  <r>
    <x v="22"/>
    <s v="Chain 2_Depot 2_SKU 14_45444"/>
    <x v="3"/>
    <x v="1"/>
    <x v="1"/>
    <x v="1"/>
    <x v="3"/>
    <x v="3"/>
    <s v="History"/>
    <n v="22177.93"/>
    <m/>
    <n v="20521.551747337198"/>
    <n v="595.84648813797605"/>
    <m/>
    <m/>
    <n v="1"/>
    <n v="0"/>
    <n v="0"/>
    <m/>
    <m/>
    <b v="0"/>
    <n v="4248"/>
    <n v="0"/>
    <n v="1821"/>
    <s v="Stable"/>
    <n v="2870.52"/>
    <n v="2562.2199999999998"/>
    <n v="10.74"/>
    <n v="0"/>
    <m/>
    <m/>
    <m/>
    <m/>
    <m/>
    <m/>
    <m/>
    <m/>
    <m/>
    <m/>
    <m/>
    <m/>
  </r>
  <r>
    <x v="30"/>
    <s v="Chain 2_Depot 2_SKU 14_45474"/>
    <x v="3"/>
    <x v="1"/>
    <x v="1"/>
    <x v="1"/>
    <x v="3"/>
    <x v="3"/>
    <s v="History"/>
    <n v="18922.169999999998"/>
    <n v="20312"/>
    <n v="20685.145853547601"/>
    <n v="797.36591617172201"/>
    <n v="20512"/>
    <n v="20112"/>
    <n v="1"/>
    <n v="1"/>
    <n v="0"/>
    <m/>
    <m/>
    <b v="0"/>
    <n v="2848"/>
    <n v="0"/>
    <n v="2502"/>
    <s v="Stable"/>
    <n v="2755.97"/>
    <n v="2374.2800000000002"/>
    <n v="13.85"/>
    <n v="0"/>
    <m/>
    <m/>
    <m/>
    <m/>
    <m/>
    <m/>
    <m/>
    <m/>
    <m/>
    <m/>
    <m/>
    <m/>
  </r>
  <r>
    <x v="23"/>
    <s v="Chain 2_Depot 2_SKU 14_45505"/>
    <x v="3"/>
    <x v="1"/>
    <x v="1"/>
    <x v="1"/>
    <x v="3"/>
    <x v="3"/>
    <s v="History"/>
    <n v="18712.849999999999"/>
    <n v="19914.2"/>
    <n v="20854.1930966318"/>
    <n v="-1069.11013115579"/>
    <n v="20114.2"/>
    <n v="19714.2"/>
    <n v="1"/>
    <n v="1"/>
    <n v="0"/>
    <m/>
    <m/>
    <b v="0"/>
    <n v="4556"/>
    <n v="1"/>
    <n v="2789"/>
    <s v="Stable"/>
    <n v="2804.66"/>
    <n v="2397.85"/>
    <n v="14.5"/>
    <n v="0"/>
    <m/>
    <m/>
    <m/>
    <m/>
    <m/>
    <m/>
    <m/>
    <m/>
    <m/>
    <m/>
    <m/>
    <m/>
  </r>
  <r>
    <x v="24"/>
    <s v="Chain 2_Depot 2_SKU 14_45536"/>
    <x v="3"/>
    <x v="1"/>
    <x v="1"/>
    <x v="1"/>
    <x v="3"/>
    <x v="3"/>
    <s v="History"/>
    <n v="19069.21"/>
    <n v="20469.59"/>
    <n v="21023.2403397159"/>
    <n v="-612.17984729221996"/>
    <n v="20669.59"/>
    <n v="20269.59"/>
    <n v="1"/>
    <n v="1"/>
    <n v="0"/>
    <m/>
    <m/>
    <b v="0"/>
    <n v="3345"/>
    <n v="0"/>
    <n v="2185"/>
    <s v="Stable"/>
    <n v="2850.95"/>
    <n v="2497.17"/>
    <n v="12.41"/>
    <n v="0"/>
    <m/>
    <m/>
    <m/>
    <m/>
    <m/>
    <m/>
    <m/>
    <m/>
    <m/>
    <m/>
    <m/>
    <m/>
  </r>
  <r>
    <x v="31"/>
    <s v="Chain 2_Depot 2_SKU 14_45566"/>
    <x v="3"/>
    <x v="1"/>
    <x v="1"/>
    <x v="1"/>
    <x v="3"/>
    <x v="3"/>
    <s v="Forecast"/>
    <m/>
    <n v="20645.82"/>
    <n v="21186.834445926299"/>
    <n v="19.476241270262001"/>
    <n v="20845.82"/>
    <n v="20445.82"/>
    <m/>
    <m/>
    <m/>
    <m/>
    <m/>
    <m/>
    <m/>
    <m/>
    <n v="2862"/>
    <n v="0"/>
    <n v="2864.13"/>
    <n v="2456.04"/>
    <n v="14.25"/>
    <n v="0"/>
    <m/>
    <m/>
    <m/>
    <m/>
    <m/>
    <m/>
    <m/>
    <m/>
    <m/>
    <m/>
    <m/>
    <m/>
  </r>
  <r>
    <x v="25"/>
    <s v="Chain 2_Depot 2_SKU 14_45597"/>
    <x v="3"/>
    <x v="1"/>
    <x v="1"/>
    <x v="1"/>
    <x v="3"/>
    <x v="3"/>
    <s v="Forecast"/>
    <m/>
    <n v="21038.86"/>
    <n v="21355.881689010501"/>
    <n v="854.92099155530605"/>
    <n v="21238.86"/>
    <n v="20838.86"/>
    <m/>
    <m/>
    <m/>
    <m/>
    <m/>
    <m/>
    <m/>
    <m/>
    <n v="1931"/>
    <n v="0"/>
    <n v="2766.08"/>
    <n v="2396.9499999999998"/>
    <n v="13.34"/>
    <n v="0"/>
    <m/>
    <m/>
    <m/>
    <m/>
    <m/>
    <m/>
    <m/>
    <m/>
    <m/>
    <m/>
    <m/>
    <m/>
  </r>
  <r>
    <x v="32"/>
    <s v="Chain 2_Depot 2_SKU 14_45627"/>
    <x v="3"/>
    <x v="1"/>
    <x v="1"/>
    <x v="1"/>
    <x v="3"/>
    <x v="3"/>
    <s v="Forecast"/>
    <m/>
    <n v="21233.66"/>
    <n v="21519.4757952209"/>
    <n v="-266.551883305741"/>
    <n v="21433.66"/>
    <n v="21033.66"/>
    <m/>
    <m/>
    <m/>
    <m/>
    <m/>
    <m/>
    <m/>
    <m/>
    <n v="2425"/>
    <n v="0"/>
    <n v="2837.54"/>
    <n v="2497.29"/>
    <n v="11.99"/>
    <n v="0"/>
    <m/>
    <m/>
    <m/>
    <m/>
    <m/>
    <m/>
    <m/>
    <m/>
    <m/>
    <m/>
    <m/>
    <m/>
  </r>
  <r>
    <x v="3"/>
    <s v="Chain 2_Depot 2_SKU 17_44652"/>
    <x v="4"/>
    <x v="1"/>
    <x v="1"/>
    <x v="1"/>
    <x v="4"/>
    <x v="4"/>
    <s v="History"/>
    <n v="14762.58"/>
    <m/>
    <n v="0"/>
    <n v="0"/>
    <m/>
    <m/>
    <n v="0"/>
    <n v="0"/>
    <n v="0"/>
    <m/>
    <m/>
    <b v="0"/>
    <n v="3741"/>
    <n v="0"/>
    <n v="2864"/>
    <s v="Stable"/>
    <n v="1503.79"/>
    <n v="1236.95"/>
    <n v="17.739999999999998"/>
    <n v="0"/>
    <m/>
    <m/>
    <m/>
    <m/>
    <m/>
    <m/>
    <m/>
    <m/>
    <m/>
    <m/>
    <m/>
    <m/>
  </r>
  <r>
    <x v="5"/>
    <s v="Chain 2_Depot 2_SKU 17_44713"/>
    <x v="4"/>
    <x v="1"/>
    <x v="1"/>
    <x v="1"/>
    <x v="4"/>
    <x v="4"/>
    <s v="History"/>
    <n v="15002.53"/>
    <m/>
    <n v="0"/>
    <n v="0"/>
    <m/>
    <m/>
    <n v="0"/>
    <n v="0"/>
    <n v="0"/>
    <m/>
    <m/>
    <b v="0"/>
    <n v="3734"/>
    <n v="0"/>
    <n v="2168"/>
    <s v="Stable"/>
    <n v="1470.2"/>
    <n v="1248.53"/>
    <n v="15.08"/>
    <n v="0"/>
    <m/>
    <m/>
    <m/>
    <m/>
    <m/>
    <m/>
    <m/>
    <m/>
    <m/>
    <m/>
    <m/>
    <m/>
  </r>
  <r>
    <x v="6"/>
    <s v="Chain 2_Depot 2_SKU 17_44743"/>
    <x v="4"/>
    <x v="1"/>
    <x v="1"/>
    <x v="1"/>
    <x v="4"/>
    <x v="4"/>
    <s v="History"/>
    <n v="15263.42"/>
    <m/>
    <n v="0"/>
    <n v="0"/>
    <m/>
    <m/>
    <n v="0"/>
    <n v="0"/>
    <n v="0"/>
    <m/>
    <m/>
    <b v="1"/>
    <n v="2625"/>
    <n v="0"/>
    <n v="2979"/>
    <s v="Stable"/>
    <n v="1527.4"/>
    <n v="1296.55"/>
    <n v="15.11"/>
    <n v="0"/>
    <m/>
    <m/>
    <m/>
    <m/>
    <m/>
    <m/>
    <m/>
    <m/>
    <m/>
    <m/>
    <m/>
    <m/>
  </r>
  <r>
    <x v="0"/>
    <s v="Chain 2_Depot 2_SKU 2_44562"/>
    <x v="5"/>
    <x v="1"/>
    <x v="1"/>
    <x v="1"/>
    <x v="0"/>
    <x v="5"/>
    <s v="History"/>
    <n v="705042"/>
    <m/>
    <n v="675656.33110499999"/>
    <n v="81513.002590956297"/>
    <m/>
    <m/>
    <n v="0"/>
    <n v="0"/>
    <n v="0"/>
    <n v="5"/>
    <m/>
    <b v="1"/>
    <n v="2825"/>
    <n v="0"/>
    <n v="2856"/>
    <s v="Stable"/>
    <n v="2769.01"/>
    <n v="2335.12"/>
    <n v="7.835"/>
    <n v="0"/>
    <m/>
    <m/>
    <m/>
    <m/>
    <m/>
    <m/>
    <m/>
    <m/>
    <m/>
    <m/>
    <m/>
    <m/>
  </r>
  <r>
    <x v="1"/>
    <s v="Chain 2_Depot 2_SKU 2_44593"/>
    <x v="5"/>
    <x v="1"/>
    <x v="1"/>
    <x v="1"/>
    <x v="0"/>
    <x v="5"/>
    <s v="History"/>
    <n v="901143"/>
    <m/>
    <n v="686173.40568247903"/>
    <n v="273852.51978058502"/>
    <m/>
    <m/>
    <n v="0"/>
    <n v="0"/>
    <n v="0"/>
    <n v="5"/>
    <m/>
    <b v="0"/>
    <n v="3649"/>
    <n v="1"/>
    <n v="2365"/>
    <s v="Stable"/>
    <n v="2725"/>
    <n v="2322.4"/>
    <n v="7.3849999999999998"/>
    <n v="0"/>
    <m/>
    <m/>
    <m/>
    <m/>
    <m/>
    <m/>
    <m/>
    <m/>
    <m/>
    <m/>
    <m/>
    <m/>
  </r>
  <r>
    <x v="2"/>
    <s v="Chain 2_Depot 2_SKU 2_44621"/>
    <x v="5"/>
    <x v="1"/>
    <x v="1"/>
    <x v="1"/>
    <x v="0"/>
    <x v="5"/>
    <s v="History"/>
    <n v="1101708"/>
    <m/>
    <n v="695672.69886493403"/>
    <n v="577932.83306776197"/>
    <m/>
    <m/>
    <n v="0"/>
    <n v="0"/>
    <n v="0"/>
    <n v="5"/>
    <m/>
    <b v="0"/>
    <n v="3516"/>
    <n v="0"/>
    <n v="1499"/>
    <s v="Stable"/>
    <n v="2753.65"/>
    <n v="2309.73"/>
    <n v="8.06"/>
    <n v="0"/>
    <m/>
    <m/>
    <m/>
    <m/>
    <m/>
    <m/>
    <m/>
    <m/>
    <m/>
    <m/>
    <m/>
    <m/>
  </r>
  <r>
    <x v="3"/>
    <s v="Chain 2_Depot 2_SKU 2_44652"/>
    <x v="5"/>
    <x v="1"/>
    <x v="1"/>
    <x v="1"/>
    <x v="0"/>
    <x v="5"/>
    <s v="History"/>
    <n v="665568.15"/>
    <m/>
    <n v="706189.77346144605"/>
    <n v="405549.57004673599"/>
    <m/>
    <m/>
    <n v="0"/>
    <n v="0"/>
    <n v="0"/>
    <n v="5"/>
    <m/>
    <b v="1"/>
    <n v="2412"/>
    <n v="0"/>
    <n v="2680"/>
    <s v="Stable"/>
    <n v="2793.74"/>
    <n v="2319.3200000000002"/>
    <n v="8.49"/>
    <n v="0"/>
    <m/>
    <m/>
    <m/>
    <m/>
    <m/>
    <m/>
    <m/>
    <m/>
    <m/>
    <m/>
    <m/>
    <m/>
  </r>
  <r>
    <x v="4"/>
    <s v="Chain 2_Depot 2_SKU 2_44682"/>
    <x v="5"/>
    <x v="1"/>
    <x v="1"/>
    <x v="1"/>
    <x v="0"/>
    <x v="5"/>
    <s v="History"/>
    <n v="1169856"/>
    <m/>
    <n v="716367.58759825397"/>
    <n v="483586.45726658602"/>
    <m/>
    <m/>
    <n v="0"/>
    <n v="0"/>
    <n v="0"/>
    <n v="5"/>
    <m/>
    <b v="0"/>
    <n v="2728"/>
    <n v="1"/>
    <n v="1510"/>
    <s v="Stable"/>
    <n v="2667.78"/>
    <n v="2243.08"/>
    <n v="7.96"/>
    <n v="0"/>
    <m/>
    <m/>
    <m/>
    <m/>
    <m/>
    <m/>
    <m/>
    <m/>
    <m/>
    <m/>
    <m/>
    <m/>
  </r>
  <r>
    <x v="5"/>
    <s v="Chain 2_Depot 2_SKU 2_44713"/>
    <x v="5"/>
    <x v="1"/>
    <x v="1"/>
    <x v="1"/>
    <x v="0"/>
    <x v="5"/>
    <s v="History"/>
    <n v="517308"/>
    <m/>
    <n v="726884.66221610794"/>
    <n v="-250961.25394960601"/>
    <m/>
    <m/>
    <n v="0"/>
    <n v="0"/>
    <n v="0"/>
    <n v="5"/>
    <m/>
    <b v="0"/>
    <n v="4808"/>
    <n v="1"/>
    <n v="2350"/>
    <s v="Stable"/>
    <n v="2853.14"/>
    <n v="2445.58"/>
    <n v="7.14"/>
    <n v="0"/>
    <m/>
    <m/>
    <m/>
    <m/>
    <m/>
    <m/>
    <m/>
    <m/>
    <m/>
    <m/>
    <m/>
    <m/>
  </r>
  <r>
    <x v="6"/>
    <s v="Chain 2_Depot 2_SKU 2_44743"/>
    <x v="5"/>
    <x v="1"/>
    <x v="1"/>
    <x v="1"/>
    <x v="0"/>
    <x v="5"/>
    <s v="History"/>
    <n v="258951"/>
    <m/>
    <n v="737062.47635828098"/>
    <n v="-565590.23839049903"/>
    <m/>
    <m/>
    <n v="0"/>
    <n v="0"/>
    <n v="0"/>
    <n v="5"/>
    <m/>
    <b v="0"/>
    <n v="2675"/>
    <n v="0"/>
    <n v="1216"/>
    <s v="Stable"/>
    <n v="2701.16"/>
    <n v="2257.4299999999998"/>
    <n v="8.2149999999999999"/>
    <n v="0"/>
    <m/>
    <m/>
    <m/>
    <m/>
    <m/>
    <m/>
    <m/>
    <m/>
    <m/>
    <m/>
    <m/>
    <m/>
  </r>
  <r>
    <x v="7"/>
    <s v="Chain 2_Depot 2_SKU 2_44774"/>
    <x v="5"/>
    <x v="1"/>
    <x v="1"/>
    <x v="1"/>
    <x v="0"/>
    <x v="5"/>
    <s v="History"/>
    <n v="416727"/>
    <m/>
    <n v="747579.55097909004"/>
    <n v="-446572.64845591702"/>
    <m/>
    <m/>
    <n v="0"/>
    <n v="0"/>
    <n v="0"/>
    <n v="5"/>
    <m/>
    <b v="0"/>
    <n v="3892"/>
    <n v="0"/>
    <n v="2324"/>
    <s v="Stable"/>
    <n v="2825.95"/>
    <n v="2419.71"/>
    <n v="7.19"/>
    <n v="0"/>
    <m/>
    <m/>
    <m/>
    <m/>
    <m/>
    <m/>
    <m/>
    <m/>
    <m/>
    <m/>
    <m/>
    <m/>
  </r>
  <r>
    <x v="35"/>
    <s v="Chain 2_Depot 2_SKU 2_44805"/>
    <x v="5"/>
    <x v="1"/>
    <x v="1"/>
    <x v="1"/>
    <x v="0"/>
    <x v="5"/>
    <s v="History"/>
    <n v="601380"/>
    <m/>
    <n v="758096.62560998905"/>
    <n v="-191353.37844258899"/>
    <m/>
    <m/>
    <n v="0"/>
    <n v="0"/>
    <n v="0"/>
    <n v="5"/>
    <m/>
    <b v="0"/>
    <n v="4504"/>
    <n v="0"/>
    <n v="2155"/>
    <s v="Stable"/>
    <n v="2787.6"/>
    <n v="2354.04"/>
    <n v="7.7750000000000004"/>
    <n v="0"/>
    <m/>
    <m/>
    <m/>
    <m/>
    <m/>
    <m/>
    <m/>
    <m/>
    <m/>
    <m/>
    <m/>
    <m/>
  </r>
  <r>
    <x v="33"/>
    <s v="Chain 2_Depot 2_SKU 2_44835"/>
    <x v="5"/>
    <x v="1"/>
    <x v="1"/>
    <x v="1"/>
    <x v="0"/>
    <x v="5"/>
    <s v="History"/>
    <n v="537699"/>
    <m/>
    <n v="768274.36947051901"/>
    <n v="-205898.481173379"/>
    <m/>
    <m/>
    <n v="0"/>
    <n v="0"/>
    <n v="0"/>
    <n v="5"/>
    <m/>
    <b v="0"/>
    <n v="4967"/>
    <n v="0"/>
    <n v="2827"/>
    <s v="Stable"/>
    <n v="2810.26"/>
    <n v="2400.5500000000002"/>
    <n v="7.29"/>
    <n v="0"/>
    <m/>
    <m/>
    <m/>
    <m/>
    <m/>
    <m/>
    <m/>
    <m/>
    <m/>
    <m/>
    <m/>
    <m/>
  </r>
  <r>
    <x v="8"/>
    <s v="Chain 2_Depot 2_SKU 2_44866"/>
    <x v="5"/>
    <x v="1"/>
    <x v="1"/>
    <x v="1"/>
    <x v="0"/>
    <x v="5"/>
    <s v="History"/>
    <n v="884340"/>
    <m/>
    <n v="778791.37143388798"/>
    <n v="10652.629711248201"/>
    <m/>
    <m/>
    <n v="0"/>
    <n v="0"/>
    <n v="0"/>
    <n v="5"/>
    <m/>
    <b v="0"/>
    <n v="4239"/>
    <n v="0"/>
    <n v="2093"/>
    <s v="Stable"/>
    <n v="2772.4"/>
    <n v="2340.1"/>
    <n v="7.7949999999999999"/>
    <n v="0"/>
    <m/>
    <m/>
    <m/>
    <m/>
    <m/>
    <m/>
    <m/>
    <m/>
    <m/>
    <m/>
    <m/>
    <m/>
  </r>
  <r>
    <x v="9"/>
    <s v="Chain 2_Depot 2_SKU 2_44896"/>
    <x v="5"/>
    <x v="1"/>
    <x v="1"/>
    <x v="1"/>
    <x v="0"/>
    <x v="5"/>
    <s v="History"/>
    <n v="614850"/>
    <m/>
    <n v="788969.11525934504"/>
    <n v="-130020.86522979201"/>
    <m/>
    <m/>
    <n v="0"/>
    <n v="0"/>
    <n v="0"/>
    <n v="5"/>
    <m/>
    <b v="0"/>
    <n v="4786"/>
    <n v="0"/>
    <n v="2275"/>
    <s v="Stable"/>
    <n v="2806.86"/>
    <n v="2349.4499999999998"/>
    <n v="8.15"/>
    <n v="0"/>
    <m/>
    <m/>
    <m/>
    <m/>
    <m/>
    <m/>
    <m/>
    <m/>
    <m/>
    <m/>
    <m/>
    <m/>
  </r>
  <r>
    <x v="10"/>
    <s v="Chain 2_Depot 2_SKU 2_44927"/>
    <x v="5"/>
    <x v="1"/>
    <x v="1"/>
    <x v="1"/>
    <x v="0"/>
    <x v="5"/>
    <s v="History"/>
    <n v="871347"/>
    <m/>
    <n v="799482.41184221499"/>
    <n v="81509.382040402299"/>
    <m/>
    <m/>
    <n v="0"/>
    <n v="0"/>
    <n v="0"/>
    <n v="5"/>
    <m/>
    <b v="0"/>
    <n v="3122"/>
    <n v="1"/>
    <n v="2438"/>
    <s v="Stable"/>
    <n v="2772.41"/>
    <n v="2379.48"/>
    <n v="7.085"/>
    <n v="0"/>
    <m/>
    <m/>
    <m/>
    <m/>
    <m/>
    <m/>
    <m/>
    <m/>
    <m/>
    <m/>
    <m/>
    <m/>
  </r>
  <r>
    <x v="11"/>
    <s v="Chain 2_Depot 2_SKU 2_44958"/>
    <x v="5"/>
    <x v="1"/>
    <x v="1"/>
    <x v="1"/>
    <x v="0"/>
    <x v="5"/>
    <s v="History"/>
    <n v="1040190"/>
    <m/>
    <n v="809992.01062470803"/>
    <n v="269425.97104370798"/>
    <m/>
    <m/>
    <n v="0"/>
    <n v="0"/>
    <n v="0"/>
    <n v="5"/>
    <m/>
    <b v="0"/>
    <n v="3571"/>
    <n v="1"/>
    <n v="2810"/>
    <s v="Stable"/>
    <n v="2768.19"/>
    <n v="2336.73"/>
    <n v="7.7949999999999999"/>
    <n v="0"/>
    <m/>
    <m/>
    <m/>
    <m/>
    <m/>
    <m/>
    <m/>
    <m/>
    <m/>
    <m/>
    <m/>
    <m/>
  </r>
  <r>
    <x v="12"/>
    <s v="Chain 2_Depot 2_SKU 2_44986"/>
    <x v="5"/>
    <x v="1"/>
    <x v="1"/>
    <x v="1"/>
    <x v="0"/>
    <x v="5"/>
    <s v="History"/>
    <n v="1672545"/>
    <m/>
    <n v="819481.008132371"/>
    <n v="578984.45937066502"/>
    <m/>
    <m/>
    <n v="0"/>
    <n v="0"/>
    <n v="0"/>
    <n v="5"/>
    <m/>
    <b v="0"/>
    <n v="2977"/>
    <n v="1"/>
    <n v="1444"/>
    <s v="Stable"/>
    <n v="2751.14"/>
    <n v="2320.7199999999998"/>
    <n v="7.8250000000000002"/>
    <n v="0"/>
    <m/>
    <m/>
    <m/>
    <m/>
    <m/>
    <m/>
    <m/>
    <m/>
    <m/>
    <m/>
    <m/>
    <m/>
  </r>
  <r>
    <x v="13"/>
    <s v="Chain 2_Depot 2_SKU 2_45017"/>
    <x v="5"/>
    <x v="1"/>
    <x v="1"/>
    <x v="1"/>
    <x v="0"/>
    <x v="5"/>
    <s v="History"/>
    <n v="1552584"/>
    <m/>
    <n v="829971.88449181104"/>
    <n v="404238.88417441602"/>
    <m/>
    <m/>
    <n v="0"/>
    <n v="0"/>
    <n v="0"/>
    <n v="5"/>
    <m/>
    <b v="0"/>
    <n v="3008"/>
    <n v="0"/>
    <n v="1875"/>
    <s v="Stable"/>
    <n v="2872.29"/>
    <n v="2441.33"/>
    <n v="7.5"/>
    <n v="0"/>
    <m/>
    <m/>
    <m/>
    <m/>
    <m/>
    <m/>
    <m/>
    <m/>
    <m/>
    <m/>
    <m/>
    <m/>
  </r>
  <r>
    <x v="14"/>
    <s v="Chain 2_Depot 2_SKU 2_45047"/>
    <x v="5"/>
    <x v="1"/>
    <x v="1"/>
    <x v="1"/>
    <x v="0"/>
    <x v="5"/>
    <s v="History"/>
    <n v="1538388"/>
    <m/>
    <n v="840104.94495878997"/>
    <n v="486984.86935571203"/>
    <m/>
    <m/>
    <n v="0"/>
    <n v="0"/>
    <n v="0"/>
    <n v="5"/>
    <m/>
    <b v="0"/>
    <n v="4143"/>
    <n v="0"/>
    <n v="2205"/>
    <s v="Stable"/>
    <n v="2814.35"/>
    <n v="2395.36"/>
    <n v="7.4450000000000003"/>
    <n v="0"/>
    <m/>
    <m/>
    <m/>
    <m/>
    <m/>
    <m/>
    <m/>
    <m/>
    <m/>
    <m/>
    <m/>
    <m/>
  </r>
  <r>
    <x v="15"/>
    <s v="Chain 2_Depot 2_SKU 2_45078"/>
    <x v="5"/>
    <x v="1"/>
    <x v="1"/>
    <x v="1"/>
    <x v="0"/>
    <x v="5"/>
    <s v="History"/>
    <n v="749922"/>
    <m/>
    <n v="850558.27207166003"/>
    <n v="-246062.798727938"/>
    <m/>
    <m/>
    <n v="0"/>
    <n v="0"/>
    <n v="0"/>
    <n v="5"/>
    <m/>
    <b v="0"/>
    <n v="3687"/>
    <n v="0"/>
    <n v="1166"/>
    <s v="Stable"/>
    <n v="2806.47"/>
    <n v="2385.54"/>
    <n v="7.5"/>
    <n v="0"/>
    <m/>
    <m/>
    <m/>
    <m/>
    <m/>
    <m/>
    <m/>
    <m/>
    <m/>
    <m/>
    <m/>
    <m/>
  </r>
  <r>
    <x v="16"/>
    <s v="Chain 2_Depot 2_SKU 2_45108"/>
    <x v="5"/>
    <x v="1"/>
    <x v="1"/>
    <x v="1"/>
    <x v="0"/>
    <x v="5"/>
    <s v="History"/>
    <n v="317928"/>
    <m/>
    <n v="860665.07675894396"/>
    <n v="-564157.85842084"/>
    <m/>
    <m/>
    <n v="0"/>
    <n v="0"/>
    <n v="0"/>
    <n v="5"/>
    <m/>
    <b v="0"/>
    <n v="4710"/>
    <n v="0"/>
    <n v="1090"/>
    <s v="Stable"/>
    <n v="2752.22"/>
    <n v="2279.88"/>
    <n v="8.58"/>
    <n v="0"/>
    <m/>
    <m/>
    <m/>
    <m/>
    <m/>
    <m/>
    <m/>
    <m/>
    <m/>
    <m/>
    <m/>
    <m/>
  </r>
  <r>
    <x v="26"/>
    <s v="Chain 2_Depot 2_SKU 2_45139"/>
    <x v="5"/>
    <x v="1"/>
    <x v="1"/>
    <x v="1"/>
    <x v="0"/>
    <x v="5"/>
    <s v="History"/>
    <n v="479640"/>
    <m/>
    <n v="871107.48765656503"/>
    <n v="-450295.11861496302"/>
    <m/>
    <m/>
    <n v="0"/>
    <n v="0"/>
    <n v="0"/>
    <n v="5"/>
    <m/>
    <b v="0"/>
    <n v="2036"/>
    <n v="0"/>
    <n v="1713"/>
    <s v="Stable"/>
    <n v="2784.26"/>
    <n v="2326.2800000000002"/>
    <n v="8.2249999999999996"/>
    <n v="0"/>
    <m/>
    <m/>
    <m/>
    <m/>
    <m/>
    <m/>
    <m/>
    <m/>
    <m/>
    <m/>
    <m/>
    <m/>
  </r>
  <r>
    <x v="27"/>
    <s v="Chain 2_Depot 2_SKU 2_45170"/>
    <x v="5"/>
    <x v="1"/>
    <x v="1"/>
    <x v="1"/>
    <x v="0"/>
    <x v="5"/>
    <s v="History"/>
    <n v="645000"/>
    <m/>
    <n v="881546.90457860404"/>
    <n v="-190228.995957987"/>
    <m/>
    <m/>
    <n v="0"/>
    <n v="0"/>
    <n v="1"/>
    <n v="5"/>
    <m/>
    <b v="0"/>
    <n v="3548"/>
    <n v="1"/>
    <n v="2881"/>
    <s v="Stable"/>
    <n v="2746.64"/>
    <n v="2294.3200000000002"/>
    <n v="8.2349999999999994"/>
    <n v="0"/>
    <m/>
    <m/>
    <m/>
    <m/>
    <m/>
    <m/>
    <m/>
    <m/>
    <m/>
    <m/>
    <m/>
    <m/>
  </r>
  <r>
    <x v="34"/>
    <s v="Chain 2_Depot 2_SKU 2_45200"/>
    <x v="5"/>
    <x v="1"/>
    <x v="1"/>
    <x v="1"/>
    <x v="0"/>
    <x v="5"/>
    <s v="History"/>
    <n v="706329"/>
    <m/>
    <n v="891649.01103375002"/>
    <n v="-208654.92752430399"/>
    <m/>
    <m/>
    <n v="0"/>
    <n v="0"/>
    <n v="0"/>
    <n v="5"/>
    <m/>
    <b v="0"/>
    <n v="4326"/>
    <n v="0"/>
    <n v="2554"/>
    <s v="Stable"/>
    <n v="2771.44"/>
    <n v="2311.64"/>
    <n v="8.2949999999999999"/>
    <n v="0"/>
    <m/>
    <m/>
    <m/>
    <m/>
    <m/>
    <m/>
    <m/>
    <m/>
    <m/>
    <m/>
    <m/>
    <m/>
  </r>
  <r>
    <x v="28"/>
    <s v="Chain 2_Depot 2_SKU 2_45231"/>
    <x v="5"/>
    <x v="1"/>
    <x v="1"/>
    <x v="1"/>
    <x v="0"/>
    <x v="5"/>
    <s v="History"/>
    <n v="821017"/>
    <m/>
    <n v="902087.85437645903"/>
    <n v="12176.5730451954"/>
    <m/>
    <m/>
    <n v="0"/>
    <n v="0"/>
    <n v="0"/>
    <n v="5"/>
    <m/>
    <b v="0"/>
    <n v="4264"/>
    <n v="0"/>
    <n v="1038"/>
    <s v="Stable"/>
    <n v="2735.54"/>
    <n v="1641.33"/>
    <n v="20"/>
    <n v="1"/>
    <m/>
    <m/>
    <m/>
    <m/>
    <m/>
    <m/>
    <m/>
    <m/>
    <m/>
    <m/>
    <m/>
    <m/>
  </r>
  <r>
    <x v="29"/>
    <s v="Chain 2_Depot 2_SKU 2_45261"/>
    <x v="5"/>
    <x v="1"/>
    <x v="1"/>
    <x v="1"/>
    <x v="0"/>
    <x v="5"/>
    <s v="History"/>
    <n v="821784"/>
    <m/>
    <n v="912189.96083014505"/>
    <n v="-131535.11329189001"/>
    <m/>
    <m/>
    <n v="0"/>
    <n v="0"/>
    <n v="0"/>
    <n v="5"/>
    <m/>
    <b v="0"/>
    <n v="4914"/>
    <n v="0"/>
    <n v="2149"/>
    <s v="Stable"/>
    <n v="2875.46"/>
    <n v="2401.5100000000002"/>
    <n v="8.24"/>
    <n v="0"/>
    <m/>
    <m/>
    <m/>
    <m/>
    <m/>
    <m/>
    <m/>
    <m/>
    <m/>
    <m/>
    <m/>
    <m/>
  </r>
  <r>
    <x v="17"/>
    <s v="Chain 2_Depot 2_SKU 2_45292"/>
    <x v="5"/>
    <x v="1"/>
    <x v="1"/>
    <x v="1"/>
    <x v="0"/>
    <x v="5"/>
    <s v="History"/>
    <n v="1067677"/>
    <m/>
    <n v="922628.80413878104"/>
    <n v="81483.338575373098"/>
    <m/>
    <m/>
    <n v="0"/>
    <n v="0"/>
    <n v="0"/>
    <n v="6"/>
    <m/>
    <b v="0"/>
    <n v="2872"/>
    <n v="1"/>
    <n v="2474"/>
    <s v="Stable"/>
    <n v="2758.15"/>
    <n v="2331.31"/>
    <n v="7.74"/>
    <n v="0"/>
    <m/>
    <m/>
    <m/>
    <m/>
    <m/>
    <m/>
    <m/>
    <m/>
    <m/>
    <m/>
    <m/>
    <m/>
  </r>
  <r>
    <x v="18"/>
    <s v="Chain 2_Depot 2_SKU 2_45323"/>
    <x v="5"/>
    <x v="1"/>
    <x v="1"/>
    <x v="1"/>
    <x v="0"/>
    <x v="5"/>
    <s v="History"/>
    <n v="1291718"/>
    <m/>
    <n v="933067.64744827698"/>
    <n v="265027.91507893702"/>
    <m/>
    <m/>
    <n v="0"/>
    <n v="0"/>
    <n v="0"/>
    <n v="6"/>
    <m/>
    <b v="0"/>
    <n v="3821"/>
    <n v="0"/>
    <n v="1172"/>
    <s v="Stable"/>
    <n v="2752.25"/>
    <n v="2330.6799999999998"/>
    <n v="7.66"/>
    <n v="0"/>
    <m/>
    <m/>
    <m/>
    <m/>
    <m/>
    <m/>
    <m/>
    <m/>
    <m/>
    <m/>
    <m/>
    <m/>
  </r>
  <r>
    <x v="19"/>
    <s v="Chain 2_Depot 2_SKU 2_45352"/>
    <x v="5"/>
    <x v="1"/>
    <x v="1"/>
    <x v="1"/>
    <x v="0"/>
    <x v="5"/>
    <s v="History"/>
    <n v="1418154"/>
    <m/>
    <n v="942833.016997147"/>
    <n v="575625.17744382995"/>
    <m/>
    <m/>
    <n v="0"/>
    <n v="0"/>
    <n v="0"/>
    <n v="6"/>
    <m/>
    <b v="0"/>
    <n v="3296"/>
    <n v="0"/>
    <n v="1652"/>
    <s v="Stable"/>
    <n v="2729.72"/>
    <n v="2298.06"/>
    <n v="7.9050000000000002"/>
    <n v="0"/>
    <m/>
    <m/>
    <m/>
    <m/>
    <m/>
    <m/>
    <m/>
    <m/>
    <m/>
    <m/>
    <m/>
    <m/>
  </r>
  <r>
    <x v="20"/>
    <s v="Chain 2_Depot 2_SKU 2_45383"/>
    <x v="5"/>
    <x v="1"/>
    <x v="1"/>
    <x v="1"/>
    <x v="0"/>
    <x v="5"/>
    <s v="History"/>
    <n v="1489530"/>
    <m/>
    <n v="953271.86030800699"/>
    <n v="408328.15783216897"/>
    <m/>
    <m/>
    <n v="0"/>
    <n v="0"/>
    <n v="0"/>
    <n v="6"/>
    <m/>
    <b v="0"/>
    <n v="4109"/>
    <n v="0"/>
    <n v="1753"/>
    <s v="Stable"/>
    <n v="2757.44"/>
    <n v="2309.6999999999998"/>
    <n v="8.1199999999999992"/>
    <n v="0"/>
    <m/>
    <m/>
    <m/>
    <m/>
    <m/>
    <m/>
    <m/>
    <m/>
    <m/>
    <m/>
    <m/>
    <m/>
  </r>
  <r>
    <x v="21"/>
    <s v="Chain 2_Depot 2_SKU 2_45413"/>
    <x v="5"/>
    <x v="1"/>
    <x v="1"/>
    <x v="1"/>
    <x v="0"/>
    <x v="5"/>
    <s v="History"/>
    <n v="1253460"/>
    <m/>
    <n v="963373.96673787199"/>
    <n v="476510.67524528399"/>
    <m/>
    <m/>
    <n v="0"/>
    <n v="0"/>
    <n v="0"/>
    <n v="6"/>
    <m/>
    <b v="0"/>
    <n v="2595"/>
    <n v="0"/>
    <n v="2243"/>
    <s v="Stable"/>
    <n v="2771.26"/>
    <n v="2368.42"/>
    <n v="7.27"/>
    <n v="0"/>
    <m/>
    <m/>
    <m/>
    <m/>
    <m/>
    <m/>
    <m/>
    <m/>
    <m/>
    <m/>
    <m/>
    <m/>
  </r>
  <r>
    <x v="22"/>
    <s v="Chain 2_Depot 2_SKU 2_45444"/>
    <x v="5"/>
    <x v="1"/>
    <x v="1"/>
    <x v="1"/>
    <x v="0"/>
    <x v="5"/>
    <s v="History"/>
    <n v="531312"/>
    <m/>
    <n v="973812.81004873302"/>
    <n v="-260595.62689230801"/>
    <m/>
    <m/>
    <n v="0"/>
    <n v="0"/>
    <n v="0"/>
    <n v="6"/>
    <m/>
    <b v="0"/>
    <n v="3903"/>
    <n v="0"/>
    <n v="2661"/>
    <s v="Stable"/>
    <n v="2793.53"/>
    <n v="2349.27"/>
    <n v="7.95"/>
    <n v="0"/>
    <m/>
    <m/>
    <m/>
    <m/>
    <m/>
    <m/>
    <m/>
    <m/>
    <m/>
    <m/>
    <m/>
    <m/>
  </r>
  <r>
    <x v="30"/>
    <s v="Chain 2_Depot 2_SKU 2_45474"/>
    <x v="5"/>
    <x v="1"/>
    <x v="1"/>
    <x v="1"/>
    <x v="0"/>
    <x v="5"/>
    <s v="History"/>
    <n v="304932"/>
    <n v="323227.92000000004"/>
    <n v="983914.91647859802"/>
    <n v="-568404.89717965305"/>
    <n v="294137.40720000002"/>
    <n v="378176.6664000001"/>
    <n v="0"/>
    <n v="0"/>
    <n v="0"/>
    <n v="6"/>
    <m/>
    <b v="0"/>
    <n v="2728"/>
    <n v="1"/>
    <n v="2081"/>
    <s v="Stable"/>
    <n v="2763.73"/>
    <n v="2352.64"/>
    <n v="7.4349999999999996"/>
    <n v="0"/>
    <m/>
    <m/>
    <m/>
    <m/>
    <m/>
    <m/>
    <m/>
    <m/>
    <m/>
    <m/>
    <m/>
    <m/>
  </r>
  <r>
    <x v="23"/>
    <s v="Chain 2_Depot 2_SKU 2_45505"/>
    <x v="5"/>
    <x v="1"/>
    <x v="1"/>
    <x v="1"/>
    <x v="0"/>
    <x v="5"/>
    <s v="History"/>
    <n v="383112"/>
    <n v="317982.95999999996"/>
    <n v="994353.75978945801"/>
    <n v="-439060.59239330201"/>
    <n v="276645.17519999994"/>
    <n v="375219.89279999991"/>
    <n v="0"/>
    <n v="0"/>
    <n v="0"/>
    <n v="6"/>
    <m/>
    <b v="1"/>
    <n v="1365"/>
    <n v="4"/>
    <n v="2683"/>
    <s v="Stable"/>
    <n v="2715.97"/>
    <n v="2271.0700000000002"/>
    <n v="8.19"/>
    <n v="0"/>
    <m/>
    <m/>
    <m/>
    <m/>
    <m/>
    <m/>
    <m/>
    <m/>
    <m/>
    <m/>
    <m/>
    <m/>
  </r>
  <r>
    <x v="24"/>
    <s v="Chain 2_Depot 2_SKU 2_45536"/>
    <x v="5"/>
    <x v="1"/>
    <x v="1"/>
    <x v="1"/>
    <x v="0"/>
    <x v="5"/>
    <s v="History"/>
    <n v="925078"/>
    <n v="559071.76"/>
    <n v="1004792.60310031"/>
    <n v="-193712.13977166201"/>
    <n v="660392.43119999999"/>
    <n v="834978.93599999999"/>
    <n v="0"/>
    <n v="0"/>
    <n v="1"/>
    <n v="6"/>
    <m/>
    <b v="0"/>
    <n v="2396"/>
    <n v="0"/>
    <n v="1475"/>
    <s v="Stable"/>
    <n v="2720.27"/>
    <n v="2301.41"/>
    <n v="15"/>
    <n v="1"/>
    <m/>
    <m/>
    <m/>
    <m/>
    <m/>
    <m/>
    <m/>
    <m/>
    <m/>
    <m/>
    <m/>
    <m/>
  </r>
  <r>
    <x v="31"/>
    <s v="Chain 2_Depot 2_SKU 2_45566"/>
    <x v="5"/>
    <x v="1"/>
    <x v="1"/>
    <x v="1"/>
    <x v="0"/>
    <x v="5"/>
    <s v="Forecast"/>
    <m/>
    <n v="651746.16"/>
    <n v="1014894.70953018"/>
    <n v="-200263.64799092701"/>
    <n v="547466.77439999999"/>
    <n v="736473.16079999995"/>
    <m/>
    <m/>
    <m/>
    <m/>
    <m/>
    <m/>
    <m/>
    <m/>
    <n v="1455"/>
    <n v="0"/>
    <n v="2720.27"/>
    <m/>
    <m/>
    <m/>
    <m/>
    <m/>
    <m/>
    <m/>
    <m/>
    <m/>
    <m/>
    <m/>
    <m/>
    <m/>
    <m/>
    <m/>
  </r>
  <r>
    <x v="25"/>
    <s v="Chain 2_Depot 2_SKU 2_45597"/>
    <x v="5"/>
    <x v="1"/>
    <x v="1"/>
    <x v="1"/>
    <x v="0"/>
    <x v="5"/>
    <s v="Forecast"/>
    <m/>
    <n v="1144468.7999999998"/>
    <n v="1025333.55284104"/>
    <n v="7457.28802210924"/>
    <n v="927019.72799999977"/>
    <n v="1270360.3679999998"/>
    <m/>
    <m/>
    <m/>
    <m/>
    <m/>
    <m/>
    <m/>
    <m/>
    <n v="1828"/>
    <n v="0"/>
    <n v="2720.27"/>
    <m/>
    <m/>
    <m/>
    <m/>
    <m/>
    <m/>
    <m/>
    <m/>
    <m/>
    <m/>
    <m/>
    <m/>
    <m/>
    <m/>
    <m/>
  </r>
  <r>
    <x v="32"/>
    <s v="Chain 2_Depot 2_SKU 2_45627"/>
    <x v="5"/>
    <x v="1"/>
    <x v="1"/>
    <x v="1"/>
    <x v="0"/>
    <x v="5"/>
    <s v="Forecast"/>
    <m/>
    <n v="742693.6412999999"/>
    <n v="1035435.65927091"/>
    <n v="-126844.64620520901"/>
    <n v="571874.10380099993"/>
    <n v="779828.32336499984"/>
    <m/>
    <m/>
    <m/>
    <m/>
    <m/>
    <m/>
    <m/>
    <m/>
    <n v="1894"/>
    <n v="0"/>
    <n v="2720.27"/>
    <m/>
    <m/>
    <m/>
    <m/>
    <m/>
    <m/>
    <m/>
    <m/>
    <m/>
    <m/>
    <m/>
    <m/>
    <m/>
    <m/>
    <m/>
  </r>
  <r>
    <x v="31"/>
    <s v="Chain 2_Depot 2_SKU 26_45566"/>
    <x v="6"/>
    <x v="1"/>
    <x v="1"/>
    <x v="1"/>
    <x v="3"/>
    <x v="6"/>
    <s v="Forecast"/>
    <m/>
    <n v="8840.41"/>
    <n v="0"/>
    <n v="0"/>
    <n v="9040.41"/>
    <n v="8640.41"/>
    <m/>
    <m/>
    <m/>
    <m/>
    <m/>
    <m/>
    <m/>
    <m/>
    <n v="2316"/>
    <n v="0"/>
    <n v="1144.8499999999999"/>
    <n v="988.63"/>
    <n v="13.65"/>
    <n v="0"/>
    <m/>
    <m/>
    <m/>
    <m/>
    <m/>
    <m/>
    <m/>
    <m/>
    <m/>
    <m/>
    <m/>
    <m/>
  </r>
  <r>
    <x v="25"/>
    <s v="Chain 2_Depot 2_SKU 26_45597"/>
    <x v="6"/>
    <x v="1"/>
    <x v="1"/>
    <x v="1"/>
    <x v="3"/>
    <x v="6"/>
    <s v="Forecast"/>
    <m/>
    <n v="9326.0400000000009"/>
    <n v="0"/>
    <n v="0"/>
    <n v="9526.0400000000009"/>
    <n v="9126.0400000000009"/>
    <m/>
    <m/>
    <m/>
    <m/>
    <m/>
    <m/>
    <m/>
    <m/>
    <n v="2218"/>
    <n v="0"/>
    <n v="1242.1500000000001"/>
    <n v="1082.71"/>
    <n v="12.84"/>
    <n v="0"/>
    <m/>
    <m/>
    <m/>
    <m/>
    <m/>
    <m/>
    <m/>
    <m/>
    <m/>
    <m/>
    <m/>
    <m/>
  </r>
  <r>
    <x v="32"/>
    <s v="Chain 2_Depot 2_SKU 26_45627"/>
    <x v="6"/>
    <x v="1"/>
    <x v="1"/>
    <x v="1"/>
    <x v="3"/>
    <x v="6"/>
    <s v="Forecast"/>
    <m/>
    <n v="8938.75"/>
    <n v="0"/>
    <n v="0"/>
    <n v="9138.75"/>
    <n v="8738.75"/>
    <m/>
    <m/>
    <m/>
    <m/>
    <m/>
    <m/>
    <m/>
    <m/>
    <n v="1291"/>
    <n v="0"/>
    <n v="1184.0999999999999"/>
    <n v="1009.1"/>
    <n v="14.78"/>
    <n v="0"/>
    <m/>
    <m/>
    <m/>
    <m/>
    <m/>
    <m/>
    <m/>
    <m/>
    <m/>
    <m/>
    <m/>
    <m/>
  </r>
  <r>
    <x v="6"/>
    <s v="Chain 2_Depot 5_SKU 11_44743"/>
    <x v="7"/>
    <x v="1"/>
    <x v="1"/>
    <x v="2"/>
    <x v="5"/>
    <x v="7"/>
    <s v="History"/>
    <n v="15677.44"/>
    <m/>
    <n v="16733.321127840001"/>
    <n v="-18.2320071108335"/>
    <m/>
    <m/>
    <n v="0"/>
    <n v="0"/>
    <n v="0"/>
    <m/>
    <m/>
    <b v="0"/>
    <n v="2832"/>
    <n v="0"/>
    <n v="1579"/>
    <s v="Stable"/>
    <n v="1267.23"/>
    <n v="1042.1300000000001"/>
    <n v="17.760000000000002"/>
    <n v="0"/>
    <m/>
    <m/>
    <m/>
    <m/>
    <m/>
    <m/>
    <m/>
    <m/>
    <m/>
    <m/>
    <m/>
    <m/>
  </r>
  <r>
    <x v="7"/>
    <s v="Chain 2_Depot 5_SKU 11_44774"/>
    <x v="7"/>
    <x v="1"/>
    <x v="1"/>
    <x v="2"/>
    <x v="5"/>
    <x v="7"/>
    <s v="History"/>
    <n v="15974.65"/>
    <m/>
    <n v="16758.262006451001"/>
    <n v="-1425.5926659276099"/>
    <m/>
    <m/>
    <n v="0"/>
    <n v="0"/>
    <n v="0"/>
    <m/>
    <m/>
    <b v="0"/>
    <n v="4888"/>
    <n v="1"/>
    <n v="1474"/>
    <s v="Stable"/>
    <n v="1213.47"/>
    <n v="971.75"/>
    <n v="19.920000000000002"/>
    <n v="0"/>
    <m/>
    <m/>
    <m/>
    <m/>
    <m/>
    <m/>
    <m/>
    <m/>
    <m/>
    <m/>
    <m/>
    <m/>
  </r>
  <r>
    <x v="33"/>
    <s v="Chain 2_Depot 5_SKU 11_44835"/>
    <x v="7"/>
    <x v="1"/>
    <x v="1"/>
    <x v="2"/>
    <x v="5"/>
    <x v="7"/>
    <s v="History"/>
    <n v="16371.84"/>
    <m/>
    <n v="16807.339216092201"/>
    <n v="86.569536650399399"/>
    <m/>
    <m/>
    <n v="0"/>
    <n v="0"/>
    <n v="0"/>
    <m/>
    <m/>
    <b v="0"/>
    <n v="3241"/>
    <n v="0"/>
    <n v="1636"/>
    <s v="Stable"/>
    <n v="1229.32"/>
    <n v="998.27"/>
    <n v="18.8"/>
    <n v="0"/>
    <m/>
    <m/>
    <m/>
    <m/>
    <m/>
    <m/>
    <m/>
    <m/>
    <m/>
    <m/>
    <m/>
    <m/>
  </r>
  <r>
    <x v="8"/>
    <s v="Chain 2_Depot 5_SKU 11_44866"/>
    <x v="7"/>
    <x v="1"/>
    <x v="1"/>
    <x v="2"/>
    <x v="5"/>
    <x v="7"/>
    <s v="History"/>
    <n v="15897.17"/>
    <m/>
    <n v="16832.280097131501"/>
    <n v="353.99853617603702"/>
    <m/>
    <m/>
    <n v="0"/>
    <n v="0"/>
    <n v="0"/>
    <m/>
    <m/>
    <b v="0"/>
    <n v="3672"/>
    <n v="0"/>
    <n v="1426"/>
    <s v="Stable"/>
    <n v="1253.72"/>
    <n v="1012.59"/>
    <n v="19.23"/>
    <n v="0"/>
    <m/>
    <m/>
    <m/>
    <m/>
    <m/>
    <m/>
    <m/>
    <m/>
    <m/>
    <m/>
    <m/>
    <m/>
  </r>
  <r>
    <x v="10"/>
    <s v="Chain 2_Depot 5_SKU 11_44927"/>
    <x v="7"/>
    <x v="1"/>
    <x v="1"/>
    <x v="2"/>
    <x v="5"/>
    <x v="7"/>
    <s v="History"/>
    <n v="15765.57"/>
    <m/>
    <n v="16881.3573127626"/>
    <n v="-4956.7182294537697"/>
    <m/>
    <m/>
    <n v="0"/>
    <n v="0"/>
    <n v="0"/>
    <m/>
    <m/>
    <b v="0"/>
    <n v="2690"/>
    <n v="0"/>
    <n v="2082"/>
    <s v="Stable"/>
    <n v="1263.01"/>
    <n v="1012.45"/>
    <n v="19.84"/>
    <n v="0"/>
    <m/>
    <m/>
    <m/>
    <m/>
    <m/>
    <m/>
    <m/>
    <m/>
    <m/>
    <m/>
    <m/>
    <m/>
  </r>
  <r>
    <x v="11"/>
    <s v="Chain 2_Depot 5_SKU 11_44958"/>
    <x v="7"/>
    <x v="1"/>
    <x v="1"/>
    <x v="2"/>
    <x v="5"/>
    <x v="7"/>
    <s v="History"/>
    <n v="15887.57"/>
    <m/>
    <n v="16906.298196526201"/>
    <n v="-5.62109563596497"/>
    <m/>
    <m/>
    <n v="0"/>
    <n v="0"/>
    <n v="0"/>
    <m/>
    <m/>
    <b v="0"/>
    <n v="2527"/>
    <n v="0"/>
    <n v="2459"/>
    <s v="Stable"/>
    <n v="1256.98"/>
    <n v="1007.86"/>
    <n v="19.82"/>
    <n v="0"/>
    <m/>
    <m/>
    <m/>
    <m/>
    <m/>
    <m/>
    <m/>
    <m/>
    <m/>
    <m/>
    <m/>
    <m/>
  </r>
  <r>
    <x v="12"/>
    <s v="Chain 2_Depot 5_SKU 11_44986"/>
    <x v="7"/>
    <x v="1"/>
    <x v="1"/>
    <x v="2"/>
    <x v="5"/>
    <x v="7"/>
    <s v="History"/>
    <n v="16425.18"/>
    <m/>
    <n v="16928.825447654999"/>
    <n v="-361.074882318074"/>
    <m/>
    <m/>
    <n v="0"/>
    <n v="0"/>
    <n v="0"/>
    <m/>
    <m/>
    <b v="0"/>
    <n v="3495"/>
    <n v="0"/>
    <n v="1096"/>
    <s v="Stable"/>
    <n v="1263.05"/>
    <n v="1004.14"/>
    <n v="20.5"/>
    <n v="0"/>
    <m/>
    <m/>
    <m/>
    <m/>
    <m/>
    <m/>
    <m/>
    <m/>
    <m/>
    <m/>
    <m/>
    <m/>
  </r>
  <r>
    <x v="13"/>
    <s v="Chain 2_Depot 5_SKU 11_45017"/>
    <x v="7"/>
    <x v="1"/>
    <x v="1"/>
    <x v="2"/>
    <x v="5"/>
    <x v="7"/>
    <s v="History"/>
    <n v="16347.06"/>
    <m/>
    <n v="16953.766328642399"/>
    <n v="1143.4931427916599"/>
    <m/>
    <m/>
    <n v="0"/>
    <n v="0"/>
    <n v="0"/>
    <m/>
    <m/>
    <b v="0"/>
    <n v="4893"/>
    <n v="0"/>
    <n v="1495"/>
    <s v="Stable"/>
    <n v="1304.79"/>
    <n v="1053.53"/>
    <n v="19.260000000000002"/>
    <n v="0"/>
    <m/>
    <m/>
    <m/>
    <m/>
    <m/>
    <m/>
    <m/>
    <m/>
    <m/>
    <m/>
    <m/>
    <m/>
  </r>
  <r>
    <x v="15"/>
    <s v="Chain 2_Depot 5_SKU 11_45078"/>
    <x v="7"/>
    <x v="1"/>
    <x v="1"/>
    <x v="2"/>
    <x v="5"/>
    <x v="7"/>
    <s v="History"/>
    <n v="17247.259999999998"/>
    <m/>
    <n v="17002.843541696901"/>
    <n v="1662.0852853772999"/>
    <m/>
    <m/>
    <n v="0"/>
    <n v="0"/>
    <n v="0"/>
    <m/>
    <m/>
    <b v="0"/>
    <n v="2386"/>
    <n v="0"/>
    <n v="1660"/>
    <s v="Stable"/>
    <n v="1225.1500000000001"/>
    <n v="992.05"/>
    <n v="19.03"/>
    <n v="0"/>
    <m/>
    <m/>
    <m/>
    <m/>
    <m/>
    <m/>
    <m/>
    <m/>
    <m/>
    <m/>
    <m/>
    <m/>
  </r>
  <r>
    <x v="16"/>
    <s v="Chain 2_Depot 5_SKU 11_45108"/>
    <x v="7"/>
    <x v="1"/>
    <x v="1"/>
    <x v="2"/>
    <x v="5"/>
    <x v="7"/>
    <s v="History"/>
    <n v="17276.849999999999"/>
    <m/>
    <n v="17026.9798713583"/>
    <n v="-525.69768080436802"/>
    <m/>
    <m/>
    <n v="0"/>
    <n v="0"/>
    <n v="0"/>
    <m/>
    <m/>
    <b v="0"/>
    <n v="3249"/>
    <n v="0"/>
    <n v="2301"/>
    <s v="Stable"/>
    <n v="1237.0999999999999"/>
    <n v="986.82"/>
    <n v="20.23"/>
    <n v="0"/>
    <m/>
    <m/>
    <m/>
    <m/>
    <m/>
    <m/>
    <m/>
    <m/>
    <m/>
    <m/>
    <m/>
    <m/>
  </r>
  <r>
    <x v="26"/>
    <s v="Chain 2_Depot 5_SKU 11_45139"/>
    <x v="7"/>
    <x v="1"/>
    <x v="1"/>
    <x v="2"/>
    <x v="5"/>
    <x v="7"/>
    <s v="History"/>
    <n v="17947.18"/>
    <m/>
    <n v="17051.9207425942"/>
    <n v="-887.64557662335699"/>
    <m/>
    <m/>
    <n v="0"/>
    <n v="0"/>
    <n v="0"/>
    <m/>
    <m/>
    <b v="0"/>
    <n v="4528"/>
    <n v="0"/>
    <n v="2288"/>
    <s v="Stable"/>
    <n v="1303.51"/>
    <n v="1056.97"/>
    <n v="18.91"/>
    <n v="0"/>
    <m/>
    <m/>
    <m/>
    <m/>
    <m/>
    <m/>
    <m/>
    <m/>
    <m/>
    <m/>
    <m/>
    <m/>
  </r>
  <r>
    <x v="27"/>
    <s v="Chain 2_Depot 5_SKU 11_45170"/>
    <x v="7"/>
    <x v="1"/>
    <x v="1"/>
    <x v="2"/>
    <x v="5"/>
    <x v="7"/>
    <s v="History"/>
    <n v="18045.52"/>
    <m/>
    <n v="17076.8616125876"/>
    <n v="435.65896634556702"/>
    <m/>
    <m/>
    <n v="0"/>
    <n v="0"/>
    <n v="0"/>
    <m/>
    <m/>
    <b v="0"/>
    <n v="3777"/>
    <n v="0"/>
    <n v="1008"/>
    <s v="Stable"/>
    <n v="1247.6199999999999"/>
    <n v="1015.44"/>
    <n v="18.61"/>
    <n v="0"/>
    <m/>
    <m/>
    <m/>
    <m/>
    <m/>
    <m/>
    <m/>
    <m/>
    <m/>
    <m/>
    <m/>
    <m/>
  </r>
  <r>
    <x v="34"/>
    <s v="Chain 2_Depot 5_SKU 11_45200"/>
    <x v="7"/>
    <x v="1"/>
    <x v="1"/>
    <x v="2"/>
    <x v="5"/>
    <x v="7"/>
    <s v="History"/>
    <n v="18255.95"/>
    <m/>
    <n v="17100.997935687999"/>
    <n v="639.55937389484802"/>
    <m/>
    <m/>
    <n v="0"/>
    <n v="0"/>
    <n v="0"/>
    <m/>
    <m/>
    <b v="0"/>
    <n v="2407"/>
    <n v="0"/>
    <n v="1456"/>
    <s v="Stable"/>
    <n v="1223.3"/>
    <n v="966.93"/>
    <n v="20.96"/>
    <n v="0"/>
    <m/>
    <m/>
    <m/>
    <m/>
    <m/>
    <m/>
    <m/>
    <m/>
    <m/>
    <m/>
    <m/>
    <m/>
  </r>
  <r>
    <x v="28"/>
    <s v="Chain 2_Depot 5_SKU 11_45231"/>
    <x v="7"/>
    <x v="1"/>
    <x v="1"/>
    <x v="2"/>
    <x v="5"/>
    <x v="7"/>
    <s v="History"/>
    <n v="18208.55"/>
    <m/>
    <n v="17125.938803899899"/>
    <n v="-202.465822247125"/>
    <m/>
    <m/>
    <n v="0"/>
    <n v="0"/>
    <n v="0"/>
    <m/>
    <m/>
    <b v="0"/>
    <n v="3676"/>
    <n v="0"/>
    <n v="2818"/>
    <s v="Stable"/>
    <n v="1210.44"/>
    <n v="967.87"/>
    <n v="20.04"/>
    <n v="0"/>
    <m/>
    <m/>
    <m/>
    <m/>
    <m/>
    <m/>
    <m/>
    <m/>
    <m/>
    <m/>
    <m/>
    <m/>
  </r>
  <r>
    <x v="29"/>
    <s v="Chain 2_Depot 5_SKU 11_45261"/>
    <x v="7"/>
    <x v="1"/>
    <x v="1"/>
    <x v="2"/>
    <x v="5"/>
    <x v="7"/>
    <s v="History"/>
    <n v="18549.63"/>
    <m/>
    <n v="17150.0751299699"/>
    <n v="1367.20104271072"/>
    <m/>
    <m/>
    <n v="0"/>
    <n v="0"/>
    <n v="0"/>
    <m/>
    <m/>
    <b v="0"/>
    <n v="2897"/>
    <n v="1"/>
    <n v="1272"/>
    <s v="Stable"/>
    <n v="1255.6500000000001"/>
    <n v="1022.5"/>
    <n v="18.57"/>
    <n v="0"/>
    <m/>
    <m/>
    <m/>
    <m/>
    <m/>
    <m/>
    <m/>
    <m/>
    <m/>
    <m/>
    <m/>
    <m/>
  </r>
  <r>
    <x v="17"/>
    <s v="Chain 2_Depot 5_SKU 11_45292"/>
    <x v="7"/>
    <x v="1"/>
    <x v="1"/>
    <x v="2"/>
    <x v="5"/>
    <x v="7"/>
    <s v="History"/>
    <n v="7863.86"/>
    <m/>
    <n v="17175.016002102398"/>
    <n v="-5474.32008535146"/>
    <m/>
    <m/>
    <n v="0"/>
    <n v="0"/>
    <n v="1"/>
    <m/>
    <m/>
    <b v="0"/>
    <n v="2710"/>
    <n v="0"/>
    <n v="1939"/>
    <s v="Stable"/>
    <n v="1199.26"/>
    <n v="954.69"/>
    <n v="20.39"/>
    <n v="0"/>
    <m/>
    <m/>
    <m/>
    <m/>
    <m/>
    <m/>
    <m/>
    <m/>
    <m/>
    <m/>
    <m/>
    <m/>
  </r>
  <r>
    <x v="18"/>
    <s v="Chain 2_Depot 5_SKU 11_45323"/>
    <x v="7"/>
    <x v="1"/>
    <x v="1"/>
    <x v="2"/>
    <x v="5"/>
    <x v="7"/>
    <s v="History"/>
    <n v="18597.57"/>
    <m/>
    <n v="17199.9568759375"/>
    <n v="436.83622868782101"/>
    <m/>
    <m/>
    <n v="0"/>
    <n v="0"/>
    <n v="0"/>
    <m/>
    <m/>
    <b v="0"/>
    <n v="4686"/>
    <n v="0"/>
    <n v="2836"/>
    <s v="Stable"/>
    <n v="1306.24"/>
    <n v="1055.25"/>
    <n v="19.21"/>
    <n v="0"/>
    <m/>
    <m/>
    <m/>
    <m/>
    <m/>
    <m/>
    <m/>
    <m/>
    <m/>
    <m/>
    <m/>
    <m/>
  </r>
  <r>
    <x v="19"/>
    <s v="Chain 2_Depot 5_SKU 11_45352"/>
    <x v="7"/>
    <x v="1"/>
    <x v="1"/>
    <x v="2"/>
    <x v="5"/>
    <x v="7"/>
    <s v="History"/>
    <n v="18460.55"/>
    <m/>
    <n v="17223.2886634237"/>
    <n v="1022.42580794702"/>
    <m/>
    <m/>
    <n v="0"/>
    <n v="0"/>
    <n v="0"/>
    <m/>
    <m/>
    <b v="0"/>
    <n v="3682"/>
    <n v="0"/>
    <n v="2031"/>
    <s v="Stable"/>
    <n v="1190.1099999999999"/>
    <n v="955.24"/>
    <n v="19.73"/>
    <n v="0"/>
    <m/>
    <m/>
    <m/>
    <m/>
    <m/>
    <m/>
    <m/>
    <m/>
    <m/>
    <m/>
    <m/>
    <m/>
  </r>
  <r>
    <x v="20"/>
    <s v="Chain 2_Depot 5_SKU 11_45383"/>
    <x v="7"/>
    <x v="1"/>
    <x v="1"/>
    <x v="2"/>
    <x v="5"/>
    <x v="7"/>
    <s v="History"/>
    <n v="18645.79"/>
    <m/>
    <n v="17248.229535682"/>
    <n v="-328.21154376636298"/>
    <m/>
    <m/>
    <n v="0"/>
    <n v="0"/>
    <n v="0"/>
    <m/>
    <m/>
    <b v="0"/>
    <n v="4862"/>
    <n v="0"/>
    <n v="1207"/>
    <s v="Stable"/>
    <n v="1315.9"/>
    <n v="1060.45"/>
    <n v="19.41"/>
    <n v="0"/>
    <m/>
    <m/>
    <m/>
    <m/>
    <m/>
    <m/>
    <m/>
    <m/>
    <m/>
    <m/>
    <m/>
    <m/>
  </r>
  <r>
    <x v="21"/>
    <s v="Chain 2_Depot 5_SKU 11_45413"/>
    <x v="7"/>
    <x v="1"/>
    <x v="1"/>
    <x v="2"/>
    <x v="5"/>
    <x v="7"/>
    <s v="History"/>
    <n v="18434.55"/>
    <m/>
    <n v="17272.365862056799"/>
    <n v="1171.75643279837"/>
    <m/>
    <m/>
    <n v="0"/>
    <n v="0"/>
    <n v="0"/>
    <m/>
    <m/>
    <b v="1"/>
    <n v="2917"/>
    <n v="0"/>
    <n v="2937"/>
    <s v="Stable"/>
    <n v="1227.74"/>
    <n v="985.82"/>
    <n v="19.7"/>
    <n v="0"/>
    <m/>
    <m/>
    <m/>
    <m/>
    <m/>
    <m/>
    <m/>
    <m/>
    <m/>
    <m/>
    <m/>
    <m/>
  </r>
  <r>
    <x v="22"/>
    <s v="Chain 2_Depot 5_SKU 11_45444"/>
    <x v="7"/>
    <x v="1"/>
    <x v="1"/>
    <x v="2"/>
    <x v="5"/>
    <x v="7"/>
    <s v="History"/>
    <n v="18874.43"/>
    <m/>
    <n v="17297.306732644"/>
    <n v="125.111518634026"/>
    <m/>
    <m/>
    <n v="0"/>
    <n v="0"/>
    <n v="0"/>
    <m/>
    <m/>
    <b v="0"/>
    <n v="4250"/>
    <n v="0"/>
    <n v="2660"/>
    <s v="Stable"/>
    <n v="1188.1600000000001"/>
    <n v="962.44"/>
    <n v="19"/>
    <n v="0"/>
    <m/>
    <m/>
    <m/>
    <m/>
    <m/>
    <m/>
    <m/>
    <m/>
    <m/>
    <m/>
    <m/>
    <m/>
  </r>
  <r>
    <x v="30"/>
    <s v="Chain 2_Depot 5_SKU 11_45474"/>
    <x v="7"/>
    <x v="1"/>
    <x v="1"/>
    <x v="2"/>
    <x v="5"/>
    <x v="7"/>
    <s v="History"/>
    <n v="18490.919999999998"/>
    <n v="18578.78"/>
    <n v="17321.4430590187"/>
    <n v="997.86938356486701"/>
    <n v="18778.78"/>
    <n v="18378.78"/>
    <n v="0"/>
    <n v="0"/>
    <n v="0"/>
    <m/>
    <m/>
    <b v="0"/>
    <n v="2416"/>
    <n v="1"/>
    <n v="2146"/>
    <s v="Stable"/>
    <n v="1251.46"/>
    <n v="991.59"/>
    <n v="20.77"/>
    <n v="0"/>
    <m/>
    <m/>
    <m/>
    <m/>
    <m/>
    <m/>
    <m/>
    <m/>
    <m/>
    <m/>
    <m/>
    <m/>
  </r>
  <r>
    <x v="23"/>
    <s v="Chain 2_Depot 5_SKU 11_45505"/>
    <x v="7"/>
    <x v="1"/>
    <x v="1"/>
    <x v="2"/>
    <x v="5"/>
    <x v="7"/>
    <s v="History"/>
    <n v="12434.84"/>
    <n v="18513.21"/>
    <n v="17346.383929605901"/>
    <n v="-2500.20283391664"/>
    <n v="18713.21"/>
    <n v="18313.21"/>
    <n v="0"/>
    <n v="0"/>
    <n v="1"/>
    <m/>
    <m/>
    <b v="0"/>
    <n v="2415"/>
    <n v="0"/>
    <n v="2056"/>
    <s v="Stable"/>
    <n v="1194.3499999999999"/>
    <n v="947.63"/>
    <n v="20.66"/>
    <n v="0"/>
    <m/>
    <m/>
    <m/>
    <m/>
    <m/>
    <m/>
    <m/>
    <m/>
    <m/>
    <m/>
    <m/>
    <m/>
  </r>
  <r>
    <x v="24"/>
    <s v="Chain 2_Depot 5_SKU 11_45536"/>
    <x v="7"/>
    <x v="1"/>
    <x v="1"/>
    <x v="2"/>
    <x v="5"/>
    <x v="7"/>
    <s v="History"/>
    <n v="18961.12"/>
    <n v="19032.349999999999"/>
    <n v="17371.324800193099"/>
    <n v="2087.5772260343201"/>
    <n v="19232.349999999999"/>
    <n v="18832.349999999999"/>
    <n v="0"/>
    <n v="0"/>
    <n v="0"/>
    <m/>
    <m/>
    <b v="0"/>
    <n v="3471"/>
    <n v="1"/>
    <n v="2536"/>
    <s v="Stable"/>
    <n v="1243.72"/>
    <n v="1016.38"/>
    <n v="18.28"/>
    <n v="0"/>
    <m/>
    <m/>
    <m/>
    <m/>
    <m/>
    <m/>
    <m/>
    <m/>
    <m/>
    <m/>
    <m/>
    <m/>
  </r>
  <r>
    <x v="31"/>
    <s v="Chain 2_Depot 5_SKU 11_45566"/>
    <x v="7"/>
    <x v="1"/>
    <x v="1"/>
    <x v="2"/>
    <x v="5"/>
    <x v="7"/>
    <s v="Forecast"/>
    <m/>
    <n v="19260.28"/>
    <n v="17395.4611265678"/>
    <n v="-1019.67250472295"/>
    <n v="19460.28"/>
    <n v="19060.28"/>
    <m/>
    <m/>
    <m/>
    <m/>
    <m/>
    <m/>
    <m/>
    <m/>
    <n v="1203"/>
    <n v="0"/>
    <n v="1213.1199999999999"/>
    <n v="999.09"/>
    <n v="17.64"/>
    <n v="0"/>
    <m/>
    <m/>
    <m/>
    <m/>
    <m/>
    <m/>
    <m/>
    <m/>
    <m/>
    <m/>
    <m/>
    <m/>
  </r>
  <r>
    <x v="25"/>
    <s v="Chain 2_Depot 5_SKU 11_45597"/>
    <x v="7"/>
    <x v="1"/>
    <x v="1"/>
    <x v="2"/>
    <x v="5"/>
    <x v="7"/>
    <s v="Forecast"/>
    <m/>
    <n v="19720.29"/>
    <n v="17420.401997155001"/>
    <n v="1465.77787272202"/>
    <n v="19920.29"/>
    <n v="19520.29"/>
    <m/>
    <m/>
    <m/>
    <m/>
    <m/>
    <m/>
    <m/>
    <m/>
    <n v="1517"/>
    <n v="0"/>
    <n v="1289.25"/>
    <n v="1034.6400000000001"/>
    <n v="19.75"/>
    <n v="0"/>
    <m/>
    <m/>
    <m/>
    <m/>
    <m/>
    <m/>
    <m/>
    <m/>
    <m/>
    <m/>
    <m/>
    <m/>
  </r>
  <r>
    <x v="32"/>
    <s v="Chain 2_Depot 5_SKU 11_45627"/>
    <x v="7"/>
    <x v="1"/>
    <x v="1"/>
    <x v="2"/>
    <x v="5"/>
    <x v="7"/>
    <s v="Forecast"/>
    <m/>
    <n v="19780.810000000001"/>
    <n v="17444.538323529701"/>
    <n v="-335.22776338152198"/>
    <n v="19980.810000000001"/>
    <n v="19580.810000000001"/>
    <m/>
    <m/>
    <m/>
    <m/>
    <m/>
    <m/>
    <m/>
    <m/>
    <n v="2832"/>
    <n v="0"/>
    <n v="1248.8399999999999"/>
    <n v="749.3"/>
    <n v="40"/>
    <n v="1"/>
    <m/>
    <m/>
    <m/>
    <m/>
    <m/>
    <m/>
    <m/>
    <m/>
    <m/>
    <m/>
    <m/>
    <m/>
  </r>
  <r>
    <x v="33"/>
    <s v="Chain 2_Depot 5_SKU 20_44835"/>
    <x v="8"/>
    <x v="1"/>
    <x v="1"/>
    <x v="2"/>
    <x v="3"/>
    <x v="8"/>
    <s v="History"/>
    <n v="14257.83"/>
    <m/>
    <n v="13283.47658749"/>
    <n v="980.54194104877195"/>
    <m/>
    <m/>
    <n v="0"/>
    <n v="0"/>
    <n v="0"/>
    <m/>
    <m/>
    <b v="0"/>
    <n v="4827"/>
    <n v="0"/>
    <n v="2573"/>
    <s v="Stable"/>
    <n v="2003.16"/>
    <n v="1802.28"/>
    <n v="10.029999999999999"/>
    <n v="0"/>
    <m/>
    <m/>
    <m/>
    <m/>
    <m/>
    <m/>
    <m/>
    <m/>
    <m/>
    <m/>
    <m/>
    <m/>
  </r>
  <r>
    <x v="8"/>
    <s v="Chain 2_Depot 5_SKU 20_44866"/>
    <x v="8"/>
    <x v="1"/>
    <x v="1"/>
    <x v="2"/>
    <x v="3"/>
    <x v="8"/>
    <s v="History"/>
    <n v="13856.93"/>
    <m/>
    <n v="13577.002034408501"/>
    <n v="325.00796193374902"/>
    <m/>
    <m/>
    <n v="0"/>
    <n v="0"/>
    <n v="0"/>
    <m/>
    <m/>
    <b v="0"/>
    <n v="2837"/>
    <n v="0"/>
    <n v="2722"/>
    <s v="Stable"/>
    <n v="1930.02"/>
    <n v="1752.14"/>
    <n v="9.2200000000000006"/>
    <n v="0"/>
    <m/>
    <m/>
    <m/>
    <m/>
    <m/>
    <m/>
    <m/>
    <m/>
    <m/>
    <m/>
    <m/>
    <m/>
  </r>
  <r>
    <x v="9"/>
    <s v="Chain 2_Depot 5_SKU 20_44896"/>
    <x v="8"/>
    <x v="1"/>
    <x v="1"/>
    <x v="2"/>
    <x v="3"/>
    <x v="8"/>
    <s v="History"/>
    <n v="14356.19"/>
    <m/>
    <n v="13861.058918065301"/>
    <n v="726.23100882507504"/>
    <m/>
    <m/>
    <n v="0"/>
    <n v="0"/>
    <n v="0"/>
    <m/>
    <m/>
    <b v="0"/>
    <n v="4962"/>
    <n v="0"/>
    <n v="2408"/>
    <s v="Stable"/>
    <n v="1979.43"/>
    <n v="1793.85"/>
    <n v="9.3800000000000008"/>
    <n v="0"/>
    <m/>
    <m/>
    <m/>
    <m/>
    <m/>
    <m/>
    <m/>
    <m/>
    <m/>
    <m/>
    <m/>
    <m/>
  </r>
  <r>
    <x v="11"/>
    <s v="Chain 2_Depot 5_SKU 20_44958"/>
    <x v="8"/>
    <x v="1"/>
    <x v="1"/>
    <x v="2"/>
    <x v="3"/>
    <x v="8"/>
    <s v="History"/>
    <n v="14337.93"/>
    <m/>
    <n v="14448.109821760399"/>
    <n v="206.692516831207"/>
    <m/>
    <m/>
    <n v="0"/>
    <n v="0"/>
    <n v="0"/>
    <m/>
    <m/>
    <b v="0"/>
    <n v="2552"/>
    <n v="0"/>
    <n v="1754"/>
    <s v="Stable"/>
    <n v="1952.18"/>
    <n v="1736.46"/>
    <n v="11.05"/>
    <n v="0"/>
    <m/>
    <m/>
    <m/>
    <m/>
    <m/>
    <m/>
    <m/>
    <m/>
    <m/>
    <m/>
    <m/>
    <m/>
  </r>
  <r>
    <x v="12"/>
    <s v="Chain 2_Depot 5_SKU 20_44986"/>
    <x v="8"/>
    <x v="1"/>
    <x v="1"/>
    <x v="2"/>
    <x v="3"/>
    <x v="8"/>
    <s v="History"/>
    <n v="14147.27"/>
    <m/>
    <n v="14713.2295890572"/>
    <n v="116.529399402088"/>
    <m/>
    <m/>
    <n v="0"/>
    <n v="0"/>
    <n v="0"/>
    <m/>
    <m/>
    <b v="0"/>
    <n v="2180"/>
    <n v="0"/>
    <n v="1299"/>
    <s v="Stable"/>
    <n v="1946.89"/>
    <n v="1736.52"/>
    <n v="10.81"/>
    <n v="0"/>
    <m/>
    <m/>
    <m/>
    <m/>
    <m/>
    <m/>
    <m/>
    <m/>
    <m/>
    <m/>
    <m/>
    <m/>
  </r>
  <r>
    <x v="13"/>
    <s v="Chain 2_Depot 5_SKU 20_45017"/>
    <x v="8"/>
    <x v="1"/>
    <x v="1"/>
    <x v="2"/>
    <x v="3"/>
    <x v="8"/>
    <s v="History"/>
    <n v="14437.15"/>
    <m/>
    <n v="15006.7550399305"/>
    <n v="2206.4986667073999"/>
    <m/>
    <m/>
    <n v="0"/>
    <n v="0"/>
    <n v="0"/>
    <m/>
    <m/>
    <b v="0"/>
    <n v="2156"/>
    <n v="1"/>
    <n v="1814"/>
    <s v="Stable"/>
    <n v="1992.76"/>
    <n v="1779.48"/>
    <n v="10.7"/>
    <n v="0"/>
    <m/>
    <m/>
    <m/>
    <m/>
    <m/>
    <m/>
    <m/>
    <m/>
    <m/>
    <m/>
    <m/>
    <m/>
  </r>
  <r>
    <x v="14"/>
    <s v="Chain 2_Depot 5_SKU 20_45047"/>
    <x v="8"/>
    <x v="1"/>
    <x v="1"/>
    <x v="2"/>
    <x v="3"/>
    <x v="8"/>
    <s v="History"/>
    <n v="14776.06"/>
    <m/>
    <n v="15290.811923766099"/>
    <n v="-183.450792867682"/>
    <m/>
    <m/>
    <n v="0"/>
    <n v="0"/>
    <n v="0"/>
    <m/>
    <m/>
    <b v="0"/>
    <n v="3477"/>
    <n v="0"/>
    <n v="1546"/>
    <s v="Stable"/>
    <n v="2040.15"/>
    <n v="1826.59"/>
    <n v="10.47"/>
    <n v="0"/>
    <m/>
    <m/>
    <m/>
    <m/>
    <m/>
    <m/>
    <m/>
    <m/>
    <m/>
    <m/>
    <m/>
    <m/>
  </r>
  <r>
    <x v="15"/>
    <s v="Chain 2_Depot 5_SKU 20_45078"/>
    <x v="8"/>
    <x v="1"/>
    <x v="1"/>
    <x v="2"/>
    <x v="3"/>
    <x v="8"/>
    <s v="History"/>
    <n v="14887.55"/>
    <m/>
    <n v="15584.337372928099"/>
    <n v="-1588.3052635075801"/>
    <m/>
    <m/>
    <n v="0"/>
    <n v="0"/>
    <n v="0"/>
    <m/>
    <m/>
    <b v="0"/>
    <n v="2570"/>
    <n v="0"/>
    <n v="1726"/>
    <s v="Stable"/>
    <n v="2099.52"/>
    <n v="1891.99"/>
    <n v="9.8800000000000008"/>
    <n v="0"/>
    <m/>
    <m/>
    <m/>
    <m/>
    <m/>
    <m/>
    <m/>
    <m/>
    <m/>
    <m/>
    <m/>
    <m/>
  </r>
  <r>
    <x v="16"/>
    <s v="Chain 2_Depot 5_SKU 20_45108"/>
    <x v="8"/>
    <x v="1"/>
    <x v="1"/>
    <x v="2"/>
    <x v="3"/>
    <x v="8"/>
    <s v="History"/>
    <n v="17264.34"/>
    <m/>
    <n v="15868.394259982801"/>
    <n v="486.50990651438099"/>
    <m/>
    <m/>
    <n v="1"/>
    <n v="0"/>
    <n v="0"/>
    <m/>
    <m/>
    <b v="0"/>
    <n v="2856"/>
    <n v="2"/>
    <n v="1730"/>
    <s v="Stable"/>
    <n v="2041.95"/>
    <n v="1849.24"/>
    <n v="9.44"/>
    <n v="0"/>
    <m/>
    <m/>
    <m/>
    <m/>
    <m/>
    <m/>
    <m/>
    <m/>
    <m/>
    <m/>
    <m/>
    <m/>
  </r>
  <r>
    <x v="26"/>
    <s v="Chain 2_Depot 5_SKU 20_45139"/>
    <x v="8"/>
    <x v="1"/>
    <x v="1"/>
    <x v="2"/>
    <x v="3"/>
    <x v="8"/>
    <s v="History"/>
    <n v="17233.16"/>
    <m/>
    <n v="16161.9188914361"/>
    <n v="-976.20902248271102"/>
    <m/>
    <m/>
    <n v="1"/>
    <n v="0"/>
    <n v="0"/>
    <m/>
    <m/>
    <b v="0"/>
    <n v="3784"/>
    <n v="0"/>
    <n v="1827"/>
    <s v="Stable"/>
    <n v="2063.2399999999998"/>
    <n v="1852.71"/>
    <n v="10.199999999999999"/>
    <n v="0"/>
    <m/>
    <m/>
    <m/>
    <m/>
    <m/>
    <m/>
    <m/>
    <m/>
    <m/>
    <m/>
    <m/>
    <m/>
  </r>
  <r>
    <x v="27"/>
    <s v="Chain 2_Depot 5_SKU 20_45170"/>
    <x v="8"/>
    <x v="1"/>
    <x v="1"/>
    <x v="2"/>
    <x v="3"/>
    <x v="8"/>
    <s v="History"/>
    <n v="16879.349999999999"/>
    <m/>
    <n v="16455.203604488001"/>
    <n v="-131.67011379421101"/>
    <m/>
    <m/>
    <n v="1"/>
    <n v="0"/>
    <n v="0"/>
    <m/>
    <m/>
    <b v="0"/>
    <n v="3727"/>
    <n v="0"/>
    <n v="1601"/>
    <s v="Stable"/>
    <n v="2026.33"/>
    <n v="1820.93"/>
    <n v="10.14"/>
    <n v="0"/>
    <m/>
    <m/>
    <m/>
    <m/>
    <m/>
    <m/>
    <m/>
    <m/>
    <m/>
    <m/>
    <m/>
    <m/>
  </r>
  <r>
    <x v="28"/>
    <s v="Chain 2_Depot 5_SKU 20_45231"/>
    <x v="8"/>
    <x v="1"/>
    <x v="1"/>
    <x v="2"/>
    <x v="3"/>
    <x v="8"/>
    <s v="History"/>
    <n v="17770.07"/>
    <m/>
    <n v="17031.7529539801"/>
    <n v="686.68225594713897"/>
    <m/>
    <m/>
    <n v="1"/>
    <n v="0"/>
    <n v="0"/>
    <m/>
    <m/>
    <b v="0"/>
    <n v="3496"/>
    <n v="0"/>
    <n v="2275"/>
    <s v="Stable"/>
    <n v="2041.59"/>
    <n v="1823.78"/>
    <n v="10.67"/>
    <n v="0"/>
    <m/>
    <m/>
    <m/>
    <m/>
    <m/>
    <m/>
    <m/>
    <m/>
    <m/>
    <m/>
    <m/>
    <m/>
  </r>
  <r>
    <x v="29"/>
    <s v="Chain 2_Depot 5_SKU 20_45261"/>
    <x v="8"/>
    <x v="1"/>
    <x v="1"/>
    <x v="2"/>
    <x v="3"/>
    <x v="8"/>
    <s v="History"/>
    <n v="17912.36"/>
    <m/>
    <n v="17315.059868355202"/>
    <n v="371.12148519016102"/>
    <m/>
    <m/>
    <n v="1"/>
    <n v="0"/>
    <n v="0"/>
    <m/>
    <m/>
    <b v="0"/>
    <n v="3423"/>
    <n v="0"/>
    <n v="2031"/>
    <s v="Stable"/>
    <n v="2004.72"/>
    <n v="1782.64"/>
    <n v="11.08"/>
    <n v="0"/>
    <m/>
    <m/>
    <m/>
    <m/>
    <m/>
    <m/>
    <m/>
    <m/>
    <m/>
    <m/>
    <m/>
    <m/>
  </r>
  <r>
    <x v="17"/>
    <s v="Chain 2_Depot 5_SKU 20_45292"/>
    <x v="8"/>
    <x v="1"/>
    <x v="1"/>
    <x v="2"/>
    <x v="3"/>
    <x v="8"/>
    <s v="History"/>
    <n v="17865.009999999998"/>
    <m/>
    <n v="17607.577611216599"/>
    <n v="247.50727732058101"/>
    <m/>
    <m/>
    <n v="1"/>
    <n v="0"/>
    <n v="0"/>
    <m/>
    <m/>
    <b v="0"/>
    <n v="4995"/>
    <n v="1"/>
    <n v="1767"/>
    <s v="Stable"/>
    <n v="2027.85"/>
    <n v="1786.37"/>
    <n v="11.91"/>
    <n v="0"/>
    <m/>
    <m/>
    <m/>
    <m/>
    <m/>
    <m/>
    <m/>
    <m/>
    <m/>
    <m/>
    <m/>
    <m/>
  </r>
  <r>
    <x v="18"/>
    <s v="Chain 2_Depot 5_SKU 20_45323"/>
    <x v="8"/>
    <x v="1"/>
    <x v="1"/>
    <x v="2"/>
    <x v="3"/>
    <x v="8"/>
    <s v="History"/>
    <n v="18090.830000000002"/>
    <m/>
    <n v="17899.907189794299"/>
    <n v="-115.84712718591101"/>
    <m/>
    <m/>
    <n v="1"/>
    <n v="0"/>
    <n v="0"/>
    <m/>
    <m/>
    <b v="0"/>
    <n v="2591"/>
    <n v="0"/>
    <n v="1874"/>
    <s v="Stable"/>
    <n v="1961.7"/>
    <n v="1748.9"/>
    <n v="10.85"/>
    <n v="0"/>
    <m/>
    <m/>
    <m/>
    <m/>
    <m/>
    <m/>
    <m/>
    <m/>
    <m/>
    <m/>
    <m/>
    <m/>
  </r>
  <r>
    <x v="19"/>
    <s v="Chain 2_Depot 5_SKU 20_45352"/>
    <x v="8"/>
    <x v="1"/>
    <x v="1"/>
    <x v="2"/>
    <x v="3"/>
    <x v="8"/>
    <s v="History"/>
    <n v="18095.849999999999"/>
    <m/>
    <n v="18173.243210436402"/>
    <n v="-820.18796032404703"/>
    <m/>
    <m/>
    <n v="1"/>
    <n v="0"/>
    <n v="0"/>
    <m/>
    <m/>
    <b v="0"/>
    <n v="4181"/>
    <n v="1"/>
    <n v="2231"/>
    <s v="Stable"/>
    <n v="2032.32"/>
    <n v="1835.6"/>
    <n v="9.68"/>
    <n v="0"/>
    <m/>
    <m/>
    <m/>
    <m/>
    <m/>
    <m/>
    <m/>
    <m/>
    <m/>
    <m/>
    <m/>
    <m/>
  </r>
  <r>
    <x v="20"/>
    <s v="Chain 2_Depot 5_SKU 20_45383"/>
    <x v="8"/>
    <x v="1"/>
    <x v="1"/>
    <x v="2"/>
    <x v="3"/>
    <x v="8"/>
    <s v="History"/>
    <n v="24502.97"/>
    <m/>
    <n v="18465.364015729599"/>
    <n v="3251.3889598123001"/>
    <m/>
    <m/>
    <n v="1"/>
    <n v="0"/>
    <n v="1"/>
    <m/>
    <m/>
    <b v="0"/>
    <n v="2420"/>
    <n v="0"/>
    <n v="1936"/>
    <s v="Stable"/>
    <n v="2002.97"/>
    <n v="1785.54"/>
    <n v="10.86"/>
    <n v="0"/>
    <m/>
    <m/>
    <m/>
    <m/>
    <m/>
    <m/>
    <m/>
    <m/>
    <m/>
    <m/>
    <m/>
    <m/>
  </r>
  <r>
    <x v="21"/>
    <s v="Chain 2_Depot 5_SKU 20_45413"/>
    <x v="8"/>
    <x v="1"/>
    <x v="1"/>
    <x v="2"/>
    <x v="3"/>
    <x v="8"/>
    <s v="History"/>
    <n v="17652.419999999998"/>
    <m/>
    <n v="18748.060843375799"/>
    <n v="-1345.76087702892"/>
    <m/>
    <m/>
    <n v="1"/>
    <n v="0"/>
    <n v="0"/>
    <m/>
    <m/>
    <b v="0"/>
    <n v="4260"/>
    <n v="0"/>
    <n v="1130"/>
    <s v="Stable"/>
    <n v="2020.56"/>
    <n v="1810.62"/>
    <n v="10.39"/>
    <n v="0"/>
    <m/>
    <m/>
    <m/>
    <m/>
    <m/>
    <m/>
    <m/>
    <m/>
    <m/>
    <m/>
    <m/>
    <m/>
  </r>
  <r>
    <x v="22"/>
    <s v="Chain 2_Depot 5_SKU 20_45444"/>
    <x v="8"/>
    <x v="1"/>
    <x v="1"/>
    <x v="2"/>
    <x v="3"/>
    <x v="8"/>
    <s v="History"/>
    <n v="17707.939999999999"/>
    <m/>
    <n v="19040.180898610299"/>
    <n v="-455.80749709288898"/>
    <m/>
    <m/>
    <n v="1"/>
    <n v="0"/>
    <n v="0"/>
    <m/>
    <m/>
    <b v="0"/>
    <n v="4947"/>
    <n v="0"/>
    <n v="2759"/>
    <s v="Stable"/>
    <n v="2004.75"/>
    <n v="1810.56"/>
    <n v="9.69"/>
    <n v="0"/>
    <m/>
    <m/>
    <m/>
    <m/>
    <m/>
    <m/>
    <m/>
    <m/>
    <m/>
    <m/>
    <m/>
    <m/>
  </r>
  <r>
    <x v="30"/>
    <s v="Chain 2_Depot 5_SKU 20_45474"/>
    <x v="8"/>
    <x v="1"/>
    <x v="1"/>
    <x v="2"/>
    <x v="3"/>
    <x v="8"/>
    <s v="History"/>
    <n v="17769.849999999999"/>
    <n v="16115.81"/>
    <n v="19322.8777262566"/>
    <n v="-613.357479062945"/>
    <n v="16315.81"/>
    <n v="15915.81"/>
    <n v="1"/>
    <n v="0"/>
    <n v="0"/>
    <m/>
    <m/>
    <b v="0"/>
    <n v="4529"/>
    <n v="1"/>
    <n v="2732"/>
    <s v="Stable"/>
    <n v="1995.14"/>
    <n v="1802.97"/>
    <n v="9.6300000000000008"/>
    <n v="0"/>
    <m/>
    <m/>
    <m/>
    <m/>
    <m/>
    <m/>
    <m/>
    <m/>
    <m/>
    <m/>
    <m/>
    <m/>
  </r>
  <r>
    <x v="23"/>
    <s v="Chain 2_Depot 5_SKU 20_45505"/>
    <x v="8"/>
    <x v="1"/>
    <x v="1"/>
    <x v="2"/>
    <x v="3"/>
    <x v="8"/>
    <s v="History"/>
    <n v="17705.62"/>
    <n v="16130.46"/>
    <n v="19614.997781491002"/>
    <n v="129.769611648938"/>
    <n v="16330.46"/>
    <n v="15930.46"/>
    <n v="1"/>
    <n v="0"/>
    <n v="0"/>
    <m/>
    <m/>
    <b v="1"/>
    <n v="2347"/>
    <n v="1"/>
    <n v="2677"/>
    <s v="Stable"/>
    <n v="2033.23"/>
    <n v="1804.86"/>
    <n v="11.23"/>
    <n v="0"/>
    <m/>
    <m/>
    <m/>
    <m/>
    <m/>
    <m/>
    <m/>
    <m/>
    <m/>
    <m/>
    <m/>
    <m/>
  </r>
  <r>
    <x v="24"/>
    <s v="Chain 2_Depot 5_SKU 20_45536"/>
    <x v="8"/>
    <x v="1"/>
    <x v="1"/>
    <x v="2"/>
    <x v="3"/>
    <x v="8"/>
    <s v="History"/>
    <n v="18196.88"/>
    <n v="16652.84"/>
    <n v="19907.117836725502"/>
    <n v="-1196.28086053842"/>
    <n v="16852.84"/>
    <n v="16452.84"/>
    <n v="1"/>
    <n v="0"/>
    <n v="0"/>
    <m/>
    <m/>
    <b v="1"/>
    <n v="2165"/>
    <n v="0"/>
    <n v="2787"/>
    <s v="Stable"/>
    <n v="1988.7"/>
    <n v="1806.62"/>
    <n v="9.16"/>
    <n v="0"/>
    <m/>
    <m/>
    <m/>
    <m/>
    <m/>
    <m/>
    <m/>
    <m/>
    <m/>
    <m/>
    <m/>
    <m/>
  </r>
  <r>
    <x v="31"/>
    <s v="Chain 2_Depot 5_SKU 20_45566"/>
    <x v="8"/>
    <x v="1"/>
    <x v="1"/>
    <x v="2"/>
    <x v="3"/>
    <x v="8"/>
    <s v="Forecast"/>
    <m/>
    <n v="16687.689999999999"/>
    <n v="20189.814664371799"/>
    <n v="1711.4264931871101"/>
    <n v="16887.689999999999"/>
    <n v="16487.689999999999"/>
    <m/>
    <m/>
    <m/>
    <m/>
    <m/>
    <m/>
    <m/>
    <m/>
    <n v="1607"/>
    <n v="0"/>
    <n v="1929.57"/>
    <n v="1755.42"/>
    <n v="9.0299999999999994"/>
    <n v="0"/>
    <m/>
    <m/>
    <m/>
    <m/>
    <m/>
    <m/>
    <m/>
    <m/>
    <m/>
    <m/>
    <m/>
    <m/>
  </r>
  <r>
    <x v="25"/>
    <s v="Chain 2_Depot 5_SKU 20_45597"/>
    <x v="8"/>
    <x v="1"/>
    <x v="1"/>
    <x v="2"/>
    <x v="3"/>
    <x v="8"/>
    <s v="Forecast"/>
    <m/>
    <n v="17212.39"/>
    <n v="20481.934719606201"/>
    <n v="-396.63646280015502"/>
    <n v="17412.39"/>
    <n v="17012.39"/>
    <m/>
    <m/>
    <m/>
    <m/>
    <m/>
    <m/>
    <m/>
    <m/>
    <n v="1025"/>
    <n v="0"/>
    <n v="1915.3"/>
    <n v="1699.21"/>
    <n v="11.28"/>
    <n v="0"/>
    <m/>
    <m/>
    <m/>
    <m/>
    <m/>
    <m/>
    <m/>
    <m/>
    <m/>
    <m/>
    <m/>
    <m/>
  </r>
  <r>
    <x v="32"/>
    <s v="Chain 2_Depot 5_SKU 20_45627"/>
    <x v="8"/>
    <x v="1"/>
    <x v="1"/>
    <x v="2"/>
    <x v="3"/>
    <x v="8"/>
    <s v="Forecast"/>
    <m/>
    <n v="17552.259999999998"/>
    <n v="20764.631547252498"/>
    <n v="1436.1440862634399"/>
    <n v="17752.259999999998"/>
    <n v="17352.259999999998"/>
    <m/>
    <m/>
    <m/>
    <m/>
    <m/>
    <m/>
    <m/>
    <m/>
    <n v="2646"/>
    <n v="0"/>
    <n v="2018.22"/>
    <n v="1210.93"/>
    <n v="40"/>
    <n v="1"/>
    <m/>
    <m/>
    <m/>
    <m/>
    <m/>
    <m/>
    <m/>
    <m/>
    <m/>
    <m/>
    <m/>
    <m/>
  </r>
  <r>
    <x v="0"/>
    <s v="Chain 2_Depot 5_SKU 3_44562"/>
    <x v="9"/>
    <x v="1"/>
    <x v="1"/>
    <x v="2"/>
    <x v="6"/>
    <x v="9"/>
    <s v="History"/>
    <n v="17511.22"/>
    <m/>
    <n v="18009.318624599899"/>
    <n v="-225.34469893878301"/>
    <m/>
    <m/>
    <n v="0"/>
    <n v="0"/>
    <n v="0"/>
    <m/>
    <m/>
    <b v="0"/>
    <n v="4297"/>
    <n v="0"/>
    <n v="1603"/>
    <s v="Weak"/>
    <n v="1234.44"/>
    <n v="1081.26"/>
    <n v="12.41"/>
    <n v="0"/>
    <m/>
    <m/>
    <m/>
    <m/>
    <m/>
    <m/>
    <m/>
    <m/>
    <m/>
    <m/>
    <m/>
    <m/>
  </r>
  <r>
    <x v="1"/>
    <s v="Chain 2_Depot 5_SKU 3_44593"/>
    <x v="9"/>
    <x v="1"/>
    <x v="1"/>
    <x v="2"/>
    <x v="6"/>
    <x v="9"/>
    <s v="History"/>
    <n v="17652.419999999998"/>
    <m/>
    <n v="18150.587594271201"/>
    <n v="-363.262132822578"/>
    <m/>
    <m/>
    <n v="0"/>
    <n v="0"/>
    <n v="0"/>
    <m/>
    <m/>
    <b v="0"/>
    <n v="2874"/>
    <n v="1"/>
    <n v="1781"/>
    <s v="Weak"/>
    <n v="1321.72"/>
    <n v="1157.42"/>
    <n v="12.43"/>
    <n v="0"/>
    <m/>
    <m/>
    <m/>
    <m/>
    <m/>
    <m/>
    <m/>
    <m/>
    <m/>
    <m/>
    <m/>
    <m/>
  </r>
  <r>
    <x v="2"/>
    <s v="Chain 2_Depot 5_SKU 3_44621"/>
    <x v="9"/>
    <x v="1"/>
    <x v="1"/>
    <x v="2"/>
    <x v="6"/>
    <x v="9"/>
    <s v="History"/>
    <n v="18584.599999999999"/>
    <m/>
    <n v="18278.185372340002"/>
    <n v="44.450851304408197"/>
    <m/>
    <m/>
    <n v="0"/>
    <n v="0"/>
    <n v="0"/>
    <m/>
    <m/>
    <b v="0"/>
    <n v="3464"/>
    <n v="0"/>
    <n v="2946"/>
    <s v="Weak"/>
    <n v="1327.48"/>
    <n v="1139.42"/>
    <n v="14.17"/>
    <n v="0"/>
    <m/>
    <m/>
    <m/>
    <m/>
    <m/>
    <m/>
    <m/>
    <m/>
    <m/>
    <m/>
    <m/>
    <m/>
  </r>
  <r>
    <x v="3"/>
    <s v="Chain 2_Depot 5_SKU 3_44652"/>
    <x v="9"/>
    <x v="1"/>
    <x v="1"/>
    <x v="2"/>
    <x v="6"/>
    <x v="9"/>
    <s v="History"/>
    <n v="18362.759999999998"/>
    <m/>
    <n v="18419.454339875399"/>
    <n v="-102.67135422077899"/>
    <m/>
    <m/>
    <n v="0"/>
    <n v="0"/>
    <n v="0"/>
    <m/>
    <m/>
    <b v="0"/>
    <n v="4243"/>
    <n v="0"/>
    <n v="2404"/>
    <s v="Weak"/>
    <n v="1205.97"/>
    <n v="1056.6500000000001"/>
    <n v="12.38"/>
    <n v="0"/>
    <m/>
    <m/>
    <m/>
    <m/>
    <m/>
    <m/>
    <m/>
    <m/>
    <m/>
    <m/>
    <m/>
    <m/>
  </r>
  <r>
    <x v="4"/>
    <s v="Chain 2_Depot 5_SKU 3_44682"/>
    <x v="9"/>
    <x v="1"/>
    <x v="1"/>
    <x v="2"/>
    <x v="6"/>
    <x v="9"/>
    <s v="History"/>
    <n v="18671.32"/>
    <m/>
    <n v="18556.089565656799"/>
    <n v="126.255209070543"/>
    <m/>
    <m/>
    <n v="0"/>
    <n v="0"/>
    <n v="0"/>
    <m/>
    <m/>
    <b v="0"/>
    <n v="2689"/>
    <n v="0"/>
    <n v="2000"/>
    <s v="Weak"/>
    <n v="1137.02"/>
    <n v="987.6"/>
    <n v="13.14"/>
    <n v="0"/>
    <m/>
    <m/>
    <m/>
    <m/>
    <m/>
    <m/>
    <m/>
    <m/>
    <m/>
    <m/>
    <m/>
    <m/>
  </r>
  <r>
    <x v="5"/>
    <s v="Chain 2_Depot 5_SKU 3_44713"/>
    <x v="9"/>
    <x v="1"/>
    <x v="1"/>
    <x v="2"/>
    <x v="6"/>
    <x v="9"/>
    <s v="History"/>
    <n v="18669.32"/>
    <m/>
    <n v="18697.184633610501"/>
    <n v="-72.254972310556496"/>
    <m/>
    <m/>
    <n v="0"/>
    <n v="0"/>
    <n v="0"/>
    <m/>
    <m/>
    <b v="0"/>
    <n v="4010"/>
    <n v="1"/>
    <n v="1679"/>
    <s v="Weak"/>
    <n v="1328.17"/>
    <n v="1183.3699999999999"/>
    <n v="10.9"/>
    <n v="0"/>
    <m/>
    <m/>
    <m/>
    <m/>
    <m/>
    <m/>
    <m/>
    <m/>
    <m/>
    <m/>
    <m/>
    <m/>
  </r>
  <r>
    <x v="6"/>
    <s v="Chain 2_Depot 5_SKU 3_44743"/>
    <x v="9"/>
    <x v="1"/>
    <x v="1"/>
    <x v="2"/>
    <x v="6"/>
    <x v="9"/>
    <s v="History"/>
    <n v="19277.88"/>
    <m/>
    <n v="18833.3663696269"/>
    <n v="44.0033222565187"/>
    <m/>
    <m/>
    <n v="0"/>
    <n v="0"/>
    <n v="0"/>
    <m/>
    <m/>
    <b v="0"/>
    <n v="4686"/>
    <n v="0"/>
    <n v="1057"/>
    <s v="Weak"/>
    <n v="1213.56"/>
    <n v="1064.3599999999999"/>
    <n v="12.29"/>
    <n v="0"/>
    <m/>
    <m/>
    <m/>
    <m/>
    <m/>
    <m/>
    <m/>
    <m/>
    <m/>
    <m/>
    <m/>
    <m/>
  </r>
  <r>
    <x v="7"/>
    <s v="Chain 2_Depot 5_SKU 3_44774"/>
    <x v="9"/>
    <x v="1"/>
    <x v="1"/>
    <x v="2"/>
    <x v="6"/>
    <x v="9"/>
    <s v="History"/>
    <n v="19328.43"/>
    <m/>
    <n v="18937.551846268201"/>
    <n v="293.23122265518498"/>
    <m/>
    <m/>
    <n v="0"/>
    <n v="0"/>
    <n v="0"/>
    <m/>
    <m/>
    <b v="0"/>
    <n v="3422"/>
    <n v="0"/>
    <n v="2819"/>
    <s v="Weak"/>
    <n v="1285.6400000000001"/>
    <n v="1129.8"/>
    <n v="12.12"/>
    <n v="0"/>
    <m/>
    <m/>
    <m/>
    <m/>
    <m/>
    <m/>
    <m/>
    <m/>
    <m/>
    <m/>
    <m/>
    <m/>
  </r>
  <r>
    <x v="35"/>
    <s v="Chain 2_Depot 5_SKU 3_44805"/>
    <x v="9"/>
    <x v="1"/>
    <x v="1"/>
    <x v="2"/>
    <x v="6"/>
    <x v="9"/>
    <s v="History"/>
    <n v="19285.310000000001"/>
    <m/>
    <n v="19041.737016551"/>
    <n v="152.770960791926"/>
    <m/>
    <m/>
    <n v="0"/>
    <n v="0"/>
    <n v="0"/>
    <m/>
    <m/>
    <b v="0"/>
    <n v="4001"/>
    <n v="0"/>
    <n v="2049"/>
    <s v="Weak"/>
    <n v="1196.72"/>
    <n v="1051.96"/>
    <n v="12.1"/>
    <n v="0"/>
    <m/>
    <m/>
    <m/>
    <m/>
    <m/>
    <m/>
    <m/>
    <m/>
    <m/>
    <m/>
    <m/>
    <m/>
  </r>
  <r>
    <x v="33"/>
    <s v="Chain 2_Depot 5_SKU 3_44835"/>
    <x v="9"/>
    <x v="1"/>
    <x v="1"/>
    <x v="2"/>
    <x v="6"/>
    <x v="9"/>
    <s v="History"/>
    <n v="19141.46"/>
    <m/>
    <n v="19142.561373973698"/>
    <n v="37.862493739912999"/>
    <m/>
    <m/>
    <n v="0"/>
    <n v="0"/>
    <n v="0"/>
    <m/>
    <m/>
    <b v="0"/>
    <n v="2671"/>
    <n v="0"/>
    <n v="1880"/>
    <s v="Weak"/>
    <n v="1339.89"/>
    <n v="1155.56"/>
    <n v="13.76"/>
    <n v="0"/>
    <m/>
    <m/>
    <m/>
    <m/>
    <m/>
    <m/>
    <m/>
    <m/>
    <m/>
    <m/>
    <m/>
    <m/>
  </r>
  <r>
    <x v="8"/>
    <s v="Chain 2_Depot 5_SKU 3_44866"/>
    <x v="9"/>
    <x v="1"/>
    <x v="1"/>
    <x v="2"/>
    <x v="6"/>
    <x v="9"/>
    <s v="History"/>
    <n v="18821.98"/>
    <m/>
    <n v="19246.746544195499"/>
    <n v="-142.94759335741901"/>
    <m/>
    <m/>
    <n v="0"/>
    <n v="0"/>
    <n v="0"/>
    <m/>
    <m/>
    <b v="0"/>
    <n v="3171"/>
    <n v="0"/>
    <n v="1446"/>
    <s v="Weak"/>
    <n v="1402.18"/>
    <n v="1253.56"/>
    <n v="10.6"/>
    <n v="0"/>
    <m/>
    <m/>
    <m/>
    <m/>
    <m/>
    <m/>
    <m/>
    <m/>
    <m/>
    <m/>
    <m/>
    <m/>
  </r>
  <r>
    <x v="9"/>
    <s v="Chain 2_Depot 5_SKU 3_44896"/>
    <x v="9"/>
    <x v="1"/>
    <x v="1"/>
    <x v="2"/>
    <x v="6"/>
    <x v="9"/>
    <s v="History"/>
    <n v="19136.939999999999"/>
    <m/>
    <n v="19347.570908857699"/>
    <n v="-70.363650457160503"/>
    <m/>
    <m/>
    <n v="0"/>
    <n v="0"/>
    <n v="0"/>
    <m/>
    <m/>
    <b v="0"/>
    <n v="3495"/>
    <n v="0"/>
    <n v="1065"/>
    <s v="Weak"/>
    <n v="1284.1400000000001"/>
    <n v="1102.23"/>
    <n v="14.17"/>
    <n v="0"/>
    <m/>
    <m/>
    <m/>
    <m/>
    <m/>
    <m/>
    <m/>
    <m/>
    <m/>
    <m/>
    <m/>
    <m/>
  </r>
  <r>
    <x v="10"/>
    <s v="Chain 2_Depot 5_SKU 3_44927"/>
    <x v="9"/>
    <x v="1"/>
    <x v="1"/>
    <x v="2"/>
    <x v="6"/>
    <x v="9"/>
    <s v="History"/>
    <n v="19040.48"/>
    <m/>
    <n v="19452.007785893598"/>
    <n v="-279.94932024938402"/>
    <m/>
    <m/>
    <n v="0"/>
    <n v="0"/>
    <n v="0"/>
    <m/>
    <m/>
    <b v="1"/>
    <n v="2943"/>
    <n v="0"/>
    <n v="2944"/>
    <s v="Weak"/>
    <n v="1270.29"/>
    <n v="1121.07"/>
    <n v="11.75"/>
    <n v="0"/>
    <m/>
    <m/>
    <m/>
    <m/>
    <m/>
    <m/>
    <m/>
    <m/>
    <m/>
    <m/>
    <m/>
    <m/>
  </r>
  <r>
    <x v="11"/>
    <s v="Chain 2_Depot 5_SKU 3_44958"/>
    <x v="9"/>
    <x v="1"/>
    <x v="1"/>
    <x v="2"/>
    <x v="6"/>
    <x v="9"/>
    <s v="History"/>
    <n v="19433.53"/>
    <m/>
    <n v="19556.8689755997"/>
    <n v="-313.628302501164"/>
    <m/>
    <m/>
    <n v="0"/>
    <n v="0"/>
    <n v="0"/>
    <m/>
    <m/>
    <b v="0"/>
    <n v="4246"/>
    <n v="0"/>
    <n v="2783"/>
    <s v="Weak"/>
    <n v="1258.8900000000001"/>
    <n v="1108.78"/>
    <n v="11.92"/>
    <n v="0"/>
    <m/>
    <m/>
    <m/>
    <m/>
    <m/>
    <m/>
    <m/>
    <m/>
    <m/>
    <m/>
    <m/>
    <m/>
  </r>
  <r>
    <x v="12"/>
    <s v="Chain 2_Depot 5_SKU 3_44986"/>
    <x v="9"/>
    <x v="1"/>
    <x v="1"/>
    <x v="2"/>
    <x v="6"/>
    <x v="9"/>
    <s v="History"/>
    <n v="19587.080000000002"/>
    <m/>
    <n v="19651.898958975198"/>
    <n v="-8.8423468464263397"/>
    <m/>
    <m/>
    <n v="0"/>
    <n v="0"/>
    <n v="0"/>
    <m/>
    <m/>
    <b v="0"/>
    <n v="3449"/>
    <n v="1"/>
    <n v="2277"/>
    <s v="Weak"/>
    <n v="1314.09"/>
    <n v="1142.99"/>
    <n v="13.02"/>
    <n v="0"/>
    <m/>
    <m/>
    <m/>
    <m/>
    <m/>
    <m/>
    <m/>
    <m/>
    <m/>
    <m/>
    <m/>
    <m/>
  </r>
  <r>
    <x v="13"/>
    <s v="Chain 2_Depot 5_SKU 3_45017"/>
    <x v="9"/>
    <x v="1"/>
    <x v="1"/>
    <x v="2"/>
    <x v="6"/>
    <x v="9"/>
    <s v="History"/>
    <n v="19487.55"/>
    <m/>
    <n v="19757.225839971499"/>
    <n v="-46.848415088262797"/>
    <m/>
    <m/>
    <n v="0"/>
    <n v="0"/>
    <n v="0"/>
    <m/>
    <m/>
    <b v="0"/>
    <n v="4539"/>
    <n v="1"/>
    <n v="2922"/>
    <s v="Weak"/>
    <n v="1303.3800000000001"/>
    <n v="1148.58"/>
    <n v="11.88"/>
    <n v="0"/>
    <m/>
    <m/>
    <m/>
    <m/>
    <m/>
    <m/>
    <m/>
    <m/>
    <m/>
    <m/>
    <m/>
    <m/>
  </r>
  <r>
    <x v="14"/>
    <s v="Chain 2_Depot 5_SKU 3_45047"/>
    <x v="9"/>
    <x v="1"/>
    <x v="1"/>
    <x v="2"/>
    <x v="6"/>
    <x v="9"/>
    <s v="History"/>
    <n v="20110.32"/>
    <m/>
    <n v="19992.192996871199"/>
    <n v="67.691355301898"/>
    <m/>
    <m/>
    <n v="0"/>
    <n v="0"/>
    <n v="0"/>
    <m/>
    <m/>
    <b v="1"/>
    <n v="2895"/>
    <n v="0"/>
    <n v="2991"/>
    <s v="Weak"/>
    <n v="1325.17"/>
    <n v="1154.75"/>
    <n v="12.86"/>
    <n v="0"/>
    <m/>
    <m/>
    <m/>
    <m/>
    <m/>
    <m/>
    <m/>
    <m/>
    <m/>
    <m/>
    <m/>
    <m/>
  </r>
  <r>
    <x v="15"/>
    <s v="Chain 2_Depot 5_SKU 3_45078"/>
    <x v="9"/>
    <x v="1"/>
    <x v="1"/>
    <x v="2"/>
    <x v="6"/>
    <x v="9"/>
    <s v="History"/>
    <n v="20393.22"/>
    <m/>
    <n v="20235.177736114201"/>
    <n v="-11.528489862058301"/>
    <m/>
    <m/>
    <n v="0"/>
    <n v="0"/>
    <n v="0"/>
    <m/>
    <m/>
    <b v="0"/>
    <n v="4189"/>
    <n v="0"/>
    <n v="2067"/>
    <s v="Weak"/>
    <n v="1243.5999999999999"/>
    <n v="1079.22"/>
    <n v="13.22"/>
    <n v="0"/>
    <m/>
    <m/>
    <m/>
    <m/>
    <m/>
    <m/>
    <m/>
    <m/>
    <m/>
    <m/>
    <m/>
    <m/>
  </r>
  <r>
    <x v="16"/>
    <s v="Chain 2_Depot 5_SKU 3_45108"/>
    <x v="9"/>
    <x v="1"/>
    <x v="1"/>
    <x v="2"/>
    <x v="6"/>
    <x v="9"/>
    <s v="History"/>
    <n v="20049.55"/>
    <m/>
    <n v="20470.490312206701"/>
    <n v="-18.9303948316734"/>
    <m/>
    <m/>
    <n v="0"/>
    <n v="0"/>
    <n v="0"/>
    <m/>
    <m/>
    <b v="0"/>
    <n v="3336"/>
    <n v="0"/>
    <n v="2120"/>
    <s v="Weak"/>
    <n v="1292.01"/>
    <n v="1136.01"/>
    <n v="12.07"/>
    <n v="0"/>
    <m/>
    <m/>
    <m/>
    <m/>
    <m/>
    <m/>
    <m/>
    <m/>
    <m/>
    <m/>
    <m/>
    <m/>
  </r>
  <r>
    <x v="26"/>
    <s v="Chain 2_Depot 5_SKU 3_45139"/>
    <x v="9"/>
    <x v="1"/>
    <x v="1"/>
    <x v="2"/>
    <x v="6"/>
    <x v="9"/>
    <s v="History"/>
    <n v="21100.51"/>
    <m/>
    <n v="20713.655960115801"/>
    <n v="354.713462133147"/>
    <m/>
    <m/>
    <n v="0"/>
    <n v="0"/>
    <n v="0"/>
    <m/>
    <m/>
    <b v="1"/>
    <n v="2164"/>
    <n v="0"/>
    <n v="2577"/>
    <s v="Weak"/>
    <n v="1247.8800000000001"/>
    <n v="1078.79"/>
    <n v="13.55"/>
    <n v="0"/>
    <m/>
    <m/>
    <m/>
    <m/>
    <m/>
    <m/>
    <m/>
    <m/>
    <m/>
    <m/>
    <m/>
    <m/>
  </r>
  <r>
    <x v="27"/>
    <s v="Chain 2_Depot 5_SKU 3_45170"/>
    <x v="9"/>
    <x v="1"/>
    <x v="1"/>
    <x v="2"/>
    <x v="6"/>
    <x v="9"/>
    <s v="History"/>
    <n v="20841.759999999998"/>
    <m/>
    <n v="20956.821609136099"/>
    <n v="93.849465026961198"/>
    <m/>
    <m/>
    <n v="0"/>
    <n v="0"/>
    <n v="1"/>
    <m/>
    <m/>
    <b v="0"/>
    <n v="4361"/>
    <n v="0"/>
    <n v="2011"/>
    <s v="Weak"/>
    <n v="1222.1099999999999"/>
    <n v="1066.08"/>
    <n v="12.77"/>
    <n v="0"/>
    <m/>
    <m/>
    <m/>
    <m/>
    <m/>
    <m/>
    <m/>
    <m/>
    <m/>
    <m/>
    <m/>
    <m/>
  </r>
  <r>
    <x v="34"/>
    <s v="Chain 2_Depot 5_SKU 3_45200"/>
    <x v="9"/>
    <x v="1"/>
    <x v="1"/>
    <x v="2"/>
    <x v="6"/>
    <x v="9"/>
    <s v="History"/>
    <n v="21319.97"/>
    <m/>
    <n v="21192.143204435899"/>
    <n v="98.519240520157098"/>
    <m/>
    <m/>
    <n v="0"/>
    <n v="0"/>
    <n v="0"/>
    <m/>
    <m/>
    <b v="0"/>
    <n v="4068"/>
    <n v="0"/>
    <n v="1226"/>
    <s v="Weak"/>
    <n v="1272.95"/>
    <n v="1105.72"/>
    <n v="13.14"/>
    <n v="0"/>
    <m/>
    <m/>
    <m/>
    <m/>
    <m/>
    <m/>
    <m/>
    <m/>
    <m/>
    <m/>
    <m/>
    <m/>
  </r>
  <r>
    <x v="28"/>
    <s v="Chain 2_Depot 5_SKU 3_45231"/>
    <x v="9"/>
    <x v="1"/>
    <x v="1"/>
    <x v="2"/>
    <x v="6"/>
    <x v="9"/>
    <s v="History"/>
    <n v="21521.38"/>
    <m/>
    <n v="21435.308853150502"/>
    <n v="-201.08954043304601"/>
    <m/>
    <m/>
    <n v="0"/>
    <n v="0"/>
    <n v="0"/>
    <m/>
    <m/>
    <b v="0"/>
    <n v="3105"/>
    <n v="0"/>
    <n v="1773"/>
    <s v="Weak"/>
    <n v="1228.8699999999999"/>
    <n v="1070.6099999999999"/>
    <n v="12.88"/>
    <n v="0"/>
    <m/>
    <m/>
    <m/>
    <m/>
    <m/>
    <m/>
    <m/>
    <m/>
    <m/>
    <m/>
    <m/>
    <m/>
  </r>
  <r>
    <x v="29"/>
    <s v="Chain 2_Depot 5_SKU 3_45261"/>
    <x v="9"/>
    <x v="1"/>
    <x v="1"/>
    <x v="2"/>
    <x v="6"/>
    <x v="9"/>
    <s v="History"/>
    <n v="21792.14"/>
    <m/>
    <n v="21670.5907529832"/>
    <n v="-12.819143860032799"/>
    <m/>
    <m/>
    <n v="0"/>
    <n v="0"/>
    <n v="0"/>
    <m/>
    <m/>
    <b v="0"/>
    <n v="3753"/>
    <n v="1"/>
    <n v="1678"/>
    <s v="Weak"/>
    <n v="1333.69"/>
    <n v="1172.17"/>
    <n v="12.11"/>
    <n v="0"/>
    <m/>
    <m/>
    <m/>
    <m/>
    <m/>
    <m/>
    <m/>
    <m/>
    <m/>
    <m/>
    <m/>
    <m/>
  </r>
  <r>
    <x v="17"/>
    <s v="Chain 2_Depot 5_SKU 3_45292"/>
    <x v="9"/>
    <x v="1"/>
    <x v="1"/>
    <x v="2"/>
    <x v="6"/>
    <x v="9"/>
    <s v="History"/>
    <n v="21985.72"/>
    <m/>
    <n v="21913.595559267102"/>
    <n v="-334.57936333200098"/>
    <m/>
    <m/>
    <n v="0"/>
    <n v="0"/>
    <n v="0"/>
    <m/>
    <m/>
    <b v="0"/>
    <n v="4352"/>
    <n v="0"/>
    <n v="2459"/>
    <s v="Weak"/>
    <n v="1231.9000000000001"/>
    <n v="1070.06"/>
    <n v="13.14"/>
    <n v="0"/>
    <m/>
    <m/>
    <m/>
    <m/>
    <m/>
    <m/>
    <m/>
    <m/>
    <m/>
    <m/>
    <m/>
    <m/>
  </r>
  <r>
    <x v="18"/>
    <s v="Chain 2_Depot 5_SKU 3_45323"/>
    <x v="9"/>
    <x v="1"/>
    <x v="1"/>
    <x v="2"/>
    <x v="6"/>
    <x v="9"/>
    <s v="History"/>
    <n v="21641.05"/>
    <m/>
    <n v="21959.3758884983"/>
    <n v="-263.81683898663999"/>
    <m/>
    <m/>
    <n v="0"/>
    <n v="0"/>
    <n v="0"/>
    <m/>
    <m/>
    <b v="0"/>
    <n v="3938"/>
    <n v="0"/>
    <n v="2814"/>
    <s v="Weak"/>
    <n v="1293.18"/>
    <n v="1128.48"/>
    <n v="12.74"/>
    <n v="0"/>
    <m/>
    <m/>
    <m/>
    <m/>
    <m/>
    <m/>
    <m/>
    <m/>
    <m/>
    <m/>
    <m/>
    <m/>
  </r>
  <r>
    <x v="19"/>
    <s v="Chain 2_Depot 5_SKU 3_45352"/>
    <x v="9"/>
    <x v="1"/>
    <x v="1"/>
    <x v="2"/>
    <x v="6"/>
    <x v="9"/>
    <s v="History"/>
    <n v="21948.880000000001"/>
    <m/>
    <n v="22002.2026481016"/>
    <n v="151.15259866936199"/>
    <m/>
    <m/>
    <n v="0"/>
    <n v="0"/>
    <n v="0"/>
    <m/>
    <m/>
    <b v="0"/>
    <n v="2370"/>
    <n v="1"/>
    <n v="1600"/>
    <s v="Weak"/>
    <n v="1244.83"/>
    <n v="1082.42"/>
    <n v="13.05"/>
    <n v="0"/>
    <m/>
    <m/>
    <m/>
    <m/>
    <m/>
    <m/>
    <m/>
    <m/>
    <m/>
    <m/>
    <m/>
    <m/>
  </r>
  <r>
    <x v="20"/>
    <s v="Chain 2_Depot 5_SKU 3_45383"/>
    <x v="9"/>
    <x v="1"/>
    <x v="1"/>
    <x v="2"/>
    <x v="6"/>
    <x v="9"/>
    <s v="History"/>
    <n v="22017.31"/>
    <m/>
    <n v="22047.982977332798"/>
    <n v="-214.09609942588099"/>
    <m/>
    <m/>
    <n v="0"/>
    <n v="0"/>
    <n v="0"/>
    <m/>
    <m/>
    <b v="0"/>
    <n v="3880"/>
    <n v="0"/>
    <n v="1378"/>
    <s v="Weak"/>
    <n v="1288.8499999999999"/>
    <n v="1145.8"/>
    <n v="11.1"/>
    <n v="0"/>
    <m/>
    <m/>
    <m/>
    <m/>
    <m/>
    <m/>
    <m/>
    <m/>
    <m/>
    <m/>
    <m/>
    <m/>
  </r>
  <r>
    <x v="21"/>
    <s v="Chain 2_Depot 5_SKU 3_45413"/>
    <x v="9"/>
    <x v="1"/>
    <x v="1"/>
    <x v="2"/>
    <x v="6"/>
    <x v="9"/>
    <s v="History"/>
    <n v="22282.33"/>
    <m/>
    <n v="22092.286521750098"/>
    <n v="243.35721759162601"/>
    <m/>
    <m/>
    <n v="0"/>
    <n v="0"/>
    <n v="0"/>
    <m/>
    <m/>
    <b v="0"/>
    <n v="2852"/>
    <n v="0"/>
    <n v="2201"/>
    <s v="Weak"/>
    <n v="1248.8"/>
    <n v="1096.44"/>
    <n v="12.2"/>
    <n v="0"/>
    <m/>
    <m/>
    <m/>
    <m/>
    <m/>
    <m/>
    <m/>
    <m/>
    <m/>
    <m/>
    <m/>
    <m/>
  </r>
  <r>
    <x v="22"/>
    <s v="Chain 2_Depot 5_SKU 3_45444"/>
    <x v="9"/>
    <x v="1"/>
    <x v="1"/>
    <x v="2"/>
    <x v="6"/>
    <x v="9"/>
    <s v="History"/>
    <n v="21740.13"/>
    <m/>
    <n v="22138.0668509813"/>
    <n v="-193.487826473632"/>
    <m/>
    <m/>
    <n v="0"/>
    <n v="0"/>
    <n v="0"/>
    <m/>
    <m/>
    <b v="1"/>
    <n v="2383"/>
    <n v="0"/>
    <n v="2450"/>
    <s v="Weak"/>
    <n v="1212.1400000000001"/>
    <n v="1062.77"/>
    <n v="12.32"/>
    <n v="0"/>
    <m/>
    <m/>
    <m/>
    <m/>
    <m/>
    <m/>
    <m/>
    <m/>
    <m/>
    <m/>
    <m/>
    <m/>
  </r>
  <r>
    <x v="23"/>
    <s v="Chain 2_Depot 5_SKU 3_45505"/>
    <x v="9"/>
    <x v="1"/>
    <x v="1"/>
    <x v="2"/>
    <x v="6"/>
    <x v="9"/>
    <s v="History"/>
    <n v="22267.39"/>
    <n v="22245.27"/>
    <n v="22228.150724629701"/>
    <n v="170.19757515181701"/>
    <n v="22445.27"/>
    <n v="22045.27"/>
    <n v="0"/>
    <n v="0"/>
    <n v="0"/>
    <m/>
    <m/>
    <b v="0"/>
    <n v="4492"/>
    <n v="1"/>
    <n v="1708"/>
    <s v="Weak"/>
    <n v="1263.23"/>
    <n v="1225.33"/>
    <n v="3"/>
    <n v="1"/>
    <m/>
    <m/>
    <m/>
    <m/>
    <m/>
    <m/>
    <m/>
    <m/>
    <m/>
    <m/>
    <m/>
    <m/>
  </r>
  <r>
    <x v="24"/>
    <s v="Chain 2_Depot 5_SKU 3_45536"/>
    <x v="9"/>
    <x v="1"/>
    <x v="1"/>
    <x v="2"/>
    <x v="6"/>
    <x v="9"/>
    <s v="History"/>
    <n v="22668.6"/>
    <n v="22584.57"/>
    <n v="22273.931053860899"/>
    <n v="270.44316262710902"/>
    <n v="22784.57"/>
    <n v="22384.57"/>
    <n v="0"/>
    <n v="0"/>
    <n v="0"/>
    <m/>
    <m/>
    <b v="0"/>
    <n v="2424"/>
    <n v="0"/>
    <n v="1306"/>
    <s v="Weak"/>
    <n v="1289.3"/>
    <n v="1138.6600000000001"/>
    <n v="11.68"/>
    <n v="0"/>
    <m/>
    <m/>
    <m/>
    <m/>
    <m/>
    <m/>
    <m/>
    <m/>
    <m/>
    <m/>
    <m/>
    <m/>
  </r>
  <r>
    <x v="31"/>
    <s v="Chain 2_Depot 5_SKU 3_45566"/>
    <x v="9"/>
    <x v="1"/>
    <x v="1"/>
    <x v="2"/>
    <x v="6"/>
    <x v="9"/>
    <s v="Forecast"/>
    <m/>
    <n v="22566.21"/>
    <n v="22318.234598278101"/>
    <n v="-83.537190339276194"/>
    <n v="22766.21"/>
    <n v="22366.21"/>
    <m/>
    <m/>
    <m/>
    <m/>
    <m/>
    <m/>
    <m/>
    <m/>
    <n v="1778"/>
    <n v="0"/>
    <n v="1253.56"/>
    <n v="1100.6600000000001"/>
    <n v="12.2"/>
    <n v="0"/>
    <m/>
    <m/>
    <m/>
    <m/>
    <m/>
    <m/>
    <m/>
    <m/>
    <m/>
    <m/>
    <m/>
    <m/>
  </r>
  <r>
    <x v="25"/>
    <s v="Chain 2_Depot 5_SKU 3_45597"/>
    <x v="9"/>
    <x v="1"/>
    <x v="1"/>
    <x v="2"/>
    <x v="6"/>
    <x v="9"/>
    <s v="Forecast"/>
    <m/>
    <n v="23250.85"/>
    <n v="22364.014927509299"/>
    <n v="-26.763156082255001"/>
    <n v="23450.85"/>
    <n v="23050.85"/>
    <m/>
    <m/>
    <m/>
    <m/>
    <m/>
    <m/>
    <m/>
    <m/>
    <n v="1503"/>
    <n v="0"/>
    <n v="1208.5999999999999"/>
    <n v="1038.1400000000001"/>
    <n v="14.1"/>
    <n v="0"/>
    <m/>
    <m/>
    <m/>
    <m/>
    <m/>
    <m/>
    <m/>
    <m/>
    <m/>
    <m/>
    <m/>
    <m/>
  </r>
  <r>
    <x v="1"/>
    <s v="Chain 2_Depot 7_SKU 16_44593"/>
    <x v="10"/>
    <x v="1"/>
    <x v="1"/>
    <x v="3"/>
    <x v="3"/>
    <x v="10"/>
    <s v="History"/>
    <n v="14456.3"/>
    <m/>
    <n v="14096.248624260001"/>
    <n v="131.13335137659399"/>
    <m/>
    <m/>
    <n v="0"/>
    <n v="0"/>
    <n v="0"/>
    <m/>
    <m/>
    <b v="0"/>
    <n v="4277"/>
    <n v="0"/>
    <n v="1302"/>
    <s v="Weak"/>
    <n v="867.34"/>
    <n v="766.23"/>
    <n v="11.66"/>
    <n v="0"/>
    <m/>
    <m/>
    <m/>
    <m/>
    <m/>
    <m/>
    <m/>
    <m/>
    <m/>
    <m/>
    <m/>
    <m/>
  </r>
  <r>
    <x v="2"/>
    <s v="Chain 2_Depot 7_SKU 16_44621"/>
    <x v="10"/>
    <x v="1"/>
    <x v="1"/>
    <x v="3"/>
    <x v="3"/>
    <x v="10"/>
    <s v="History"/>
    <n v="13971.11"/>
    <m/>
    <n v="14130.810049711101"/>
    <n v="-67.920330111320396"/>
    <m/>
    <m/>
    <n v="0"/>
    <n v="0"/>
    <n v="0"/>
    <m/>
    <m/>
    <b v="0"/>
    <n v="2181"/>
    <n v="0"/>
    <n v="1261"/>
    <s v="Weak"/>
    <n v="817.15"/>
    <n v="733.64"/>
    <n v="10.220000000000001"/>
    <n v="0"/>
    <m/>
    <m/>
    <m/>
    <m/>
    <m/>
    <m/>
    <m/>
    <m/>
    <m/>
    <m/>
    <m/>
    <m/>
  </r>
  <r>
    <x v="3"/>
    <s v="Chain 2_Depot 7_SKU 16_44652"/>
    <x v="10"/>
    <x v="1"/>
    <x v="1"/>
    <x v="3"/>
    <x v="3"/>
    <x v="10"/>
    <s v="History"/>
    <n v="14463.73"/>
    <m/>
    <n v="14169.0744851904"/>
    <n v="171.15030659572199"/>
    <m/>
    <m/>
    <n v="0"/>
    <n v="0"/>
    <n v="0"/>
    <m/>
    <m/>
    <b v="0"/>
    <n v="3341"/>
    <n v="1"/>
    <n v="1783"/>
    <s v="Weak"/>
    <n v="840.9"/>
    <n v="741.65"/>
    <n v="11.8"/>
    <n v="0"/>
    <m/>
    <m/>
    <m/>
    <m/>
    <m/>
    <m/>
    <m/>
    <m/>
    <m/>
    <m/>
    <m/>
    <m/>
  </r>
  <r>
    <x v="4"/>
    <s v="Chain 2_Depot 7_SKU 16_44682"/>
    <x v="10"/>
    <x v="1"/>
    <x v="1"/>
    <x v="3"/>
    <x v="3"/>
    <x v="10"/>
    <s v="History"/>
    <n v="14410.6"/>
    <m/>
    <n v="14206.1045844401"/>
    <n v="130.038933195949"/>
    <m/>
    <m/>
    <n v="0"/>
    <n v="0"/>
    <n v="0"/>
    <m/>
    <m/>
    <b v="1"/>
    <n v="2209"/>
    <n v="2"/>
    <n v="2223"/>
    <s v="Weak"/>
    <n v="860.03"/>
    <n v="765.9"/>
    <n v="10.94"/>
    <n v="0"/>
    <m/>
    <m/>
    <m/>
    <m/>
    <m/>
    <m/>
    <m/>
    <m/>
    <m/>
    <m/>
    <m/>
    <m/>
  </r>
  <r>
    <x v="5"/>
    <s v="Chain 2_Depot 7_SKU 16_44713"/>
    <x v="10"/>
    <x v="1"/>
    <x v="1"/>
    <x v="3"/>
    <x v="3"/>
    <x v="10"/>
    <s v="History"/>
    <n v="14692.4"/>
    <m/>
    <n v="14244.369020144601"/>
    <n v="-120.02267513385399"/>
    <m/>
    <m/>
    <n v="0"/>
    <n v="0"/>
    <n v="0"/>
    <m/>
    <m/>
    <b v="0"/>
    <n v="3415"/>
    <n v="0"/>
    <n v="2263"/>
    <s v="Weak"/>
    <n v="855.31"/>
    <n v="756.74"/>
    <n v="11.52"/>
    <n v="0"/>
    <m/>
    <m/>
    <m/>
    <m/>
    <m/>
    <m/>
    <m/>
    <m/>
    <m/>
    <m/>
    <m/>
    <m/>
  </r>
  <r>
    <x v="6"/>
    <s v="Chain 2_Depot 7_SKU 16_44743"/>
    <x v="10"/>
    <x v="1"/>
    <x v="1"/>
    <x v="3"/>
    <x v="3"/>
    <x v="10"/>
    <s v="History"/>
    <n v="14527.58"/>
    <m/>
    <n v="14281.399119437399"/>
    <n v="-263.28344531893998"/>
    <m/>
    <m/>
    <n v="0"/>
    <n v="0"/>
    <n v="0"/>
    <m/>
    <m/>
    <b v="0"/>
    <n v="4143"/>
    <n v="0"/>
    <n v="1913"/>
    <s v="Weak"/>
    <n v="836.03"/>
    <n v="752.6"/>
    <n v="9.98"/>
    <n v="0"/>
    <m/>
    <m/>
    <m/>
    <m/>
    <m/>
    <m/>
    <m/>
    <m/>
    <m/>
    <m/>
    <m/>
    <m/>
  </r>
  <r>
    <x v="7"/>
    <s v="Chain 2_Depot 7_SKU 16_44774"/>
    <x v="10"/>
    <x v="1"/>
    <x v="1"/>
    <x v="3"/>
    <x v="3"/>
    <x v="10"/>
    <s v="History"/>
    <n v="14210.77"/>
    <m/>
    <n v="14319.663555674701"/>
    <n v="-128.394601604255"/>
    <m/>
    <m/>
    <n v="0"/>
    <n v="0"/>
    <n v="0"/>
    <m/>
    <m/>
    <b v="0"/>
    <n v="2893"/>
    <n v="1"/>
    <n v="1691"/>
    <s v="Weak"/>
    <n v="905.63"/>
    <n v="826.59"/>
    <n v="8.73"/>
    <n v="0"/>
    <m/>
    <m/>
    <m/>
    <m/>
    <m/>
    <m/>
    <m/>
    <m/>
    <m/>
    <m/>
    <m/>
    <m/>
  </r>
  <r>
    <x v="35"/>
    <s v="Chain 2_Depot 7_SKU 16_44805"/>
    <x v="10"/>
    <x v="1"/>
    <x v="1"/>
    <x v="3"/>
    <x v="3"/>
    <x v="10"/>
    <s v="History"/>
    <n v="14169.81"/>
    <m/>
    <n v="14357.929948049399"/>
    <n v="33.250802410011097"/>
    <m/>
    <m/>
    <n v="0"/>
    <n v="0"/>
    <n v="0"/>
    <m/>
    <m/>
    <b v="0"/>
    <n v="3881"/>
    <n v="0"/>
    <n v="1943"/>
    <s v="Weak"/>
    <n v="863.13"/>
    <n v="761.02"/>
    <n v="11.83"/>
    <n v="0"/>
    <m/>
    <m/>
    <m/>
    <m/>
    <m/>
    <m/>
    <m/>
    <m/>
    <m/>
    <m/>
    <m/>
    <m/>
  </r>
  <r>
    <x v="33"/>
    <s v="Chain 2_Depot 7_SKU 16_44835"/>
    <x v="10"/>
    <x v="1"/>
    <x v="1"/>
    <x v="3"/>
    <x v="3"/>
    <x v="10"/>
    <s v="History"/>
    <n v="14066.26"/>
    <m/>
    <n v="14394.9623535928"/>
    <n v="46.576927389228203"/>
    <m/>
    <m/>
    <n v="0"/>
    <n v="0"/>
    <n v="0"/>
    <m/>
    <m/>
    <b v="0"/>
    <n v="4803"/>
    <n v="0"/>
    <n v="1682"/>
    <s v="Weak"/>
    <n v="811.47"/>
    <n v="710.99"/>
    <n v="12.38"/>
    <n v="0"/>
    <m/>
    <m/>
    <m/>
    <m/>
    <m/>
    <m/>
    <m/>
    <m/>
    <m/>
    <m/>
    <m/>
    <m/>
  </r>
  <r>
    <x v="8"/>
    <s v="Chain 2_Depot 7_SKU 16_44866"/>
    <x v="10"/>
    <x v="1"/>
    <x v="1"/>
    <x v="3"/>
    <x v="3"/>
    <x v="10"/>
    <s v="History"/>
    <n v="14373.19"/>
    <m/>
    <n v="14433.3789107962"/>
    <n v="207.23895970344401"/>
    <m/>
    <m/>
    <n v="0"/>
    <n v="0"/>
    <n v="0"/>
    <m/>
    <m/>
    <b v="0"/>
    <n v="3109"/>
    <n v="0"/>
    <n v="2318"/>
    <s v="Weak"/>
    <n v="811.77"/>
    <n v="725.28"/>
    <n v="10.65"/>
    <n v="0"/>
    <m/>
    <m/>
    <m/>
    <m/>
    <m/>
    <m/>
    <m/>
    <m/>
    <m/>
    <m/>
    <m/>
    <m/>
  </r>
  <r>
    <x v="9"/>
    <s v="Chain 2_Depot 7_SKU 16_44896"/>
    <x v="10"/>
    <x v="1"/>
    <x v="1"/>
    <x v="3"/>
    <x v="3"/>
    <x v="10"/>
    <s v="History"/>
    <n v="14262.65"/>
    <m/>
    <n v="14470.732865926"/>
    <n v="-182.17919849344"/>
    <m/>
    <m/>
    <n v="0"/>
    <n v="0"/>
    <n v="0"/>
    <m/>
    <m/>
    <b v="0"/>
    <n v="4462"/>
    <n v="0"/>
    <n v="2535"/>
    <s v="Weak"/>
    <n v="806.1"/>
    <n v="721.35"/>
    <n v="10.51"/>
    <n v="0"/>
    <m/>
    <m/>
    <m/>
    <m/>
    <m/>
    <m/>
    <m/>
    <m/>
    <m/>
    <m/>
    <m/>
    <m/>
  </r>
  <r>
    <x v="10"/>
    <s v="Chain 2_Depot 7_SKU 16_44927"/>
    <x v="10"/>
    <x v="1"/>
    <x v="1"/>
    <x v="3"/>
    <x v="3"/>
    <x v="10"/>
    <s v="History"/>
    <n v="13887.48"/>
    <m/>
    <n v="14509.6371456789"/>
    <n v="-70.103298973089295"/>
    <m/>
    <m/>
    <n v="0"/>
    <n v="0"/>
    <n v="0"/>
    <m/>
    <m/>
    <b v="0"/>
    <n v="4026"/>
    <n v="0"/>
    <n v="1688"/>
    <s v="Weak"/>
    <n v="865.61"/>
    <n v="776.36"/>
    <n v="10.31"/>
    <n v="0"/>
    <m/>
    <m/>
    <m/>
    <m/>
    <m/>
    <m/>
    <m/>
    <m/>
    <m/>
    <m/>
    <m/>
    <m/>
  </r>
  <r>
    <x v="11"/>
    <s v="Chain 2_Depot 7_SKU 16_44958"/>
    <x v="10"/>
    <x v="1"/>
    <x v="1"/>
    <x v="3"/>
    <x v="3"/>
    <x v="10"/>
    <s v="History"/>
    <n v="14199.71"/>
    <m/>
    <n v="14548.936183166699"/>
    <n v="151.61051945365"/>
    <m/>
    <m/>
    <n v="0"/>
    <n v="0"/>
    <n v="0"/>
    <m/>
    <m/>
    <b v="1"/>
    <n v="2393"/>
    <n v="0"/>
    <n v="2904"/>
    <s v="Weak"/>
    <n v="802.86"/>
    <n v="714.74"/>
    <n v="10.98"/>
    <n v="0"/>
    <m/>
    <m/>
    <m/>
    <m/>
    <m/>
    <m/>
    <m/>
    <m/>
    <m/>
    <m/>
    <m/>
    <m/>
  </r>
  <r>
    <x v="12"/>
    <s v="Chain 2_Depot 7_SKU 16_44986"/>
    <x v="10"/>
    <x v="1"/>
    <x v="1"/>
    <x v="3"/>
    <x v="3"/>
    <x v="10"/>
    <s v="History"/>
    <n v="13987.61"/>
    <m/>
    <n v="14584.8550673026"/>
    <n v="-86.3599253310649"/>
    <m/>
    <m/>
    <n v="0"/>
    <n v="0"/>
    <n v="0"/>
    <m/>
    <m/>
    <b v="0"/>
    <n v="4743"/>
    <n v="0"/>
    <n v="1395"/>
    <s v="Weak"/>
    <n v="812.76"/>
    <n v="725.55"/>
    <n v="10.73"/>
    <n v="0"/>
    <m/>
    <m/>
    <m/>
    <m/>
    <m/>
    <m/>
    <m/>
    <m/>
    <m/>
    <m/>
    <m/>
    <m/>
  </r>
  <r>
    <x v="13"/>
    <s v="Chain 2_Depot 7_SKU 16_45017"/>
    <x v="10"/>
    <x v="1"/>
    <x v="1"/>
    <x v="3"/>
    <x v="3"/>
    <x v="10"/>
    <s v="History"/>
    <n v="14085.65"/>
    <m/>
    <n v="14625.020068256799"/>
    <n v="188.84552199452699"/>
    <m/>
    <m/>
    <n v="0"/>
    <n v="0"/>
    <n v="0"/>
    <m/>
    <m/>
    <b v="0"/>
    <n v="2843"/>
    <n v="1"/>
    <n v="2772"/>
    <s v="Weak"/>
    <n v="886.9"/>
    <n v="796.78"/>
    <n v="10.16"/>
    <n v="0"/>
    <m/>
    <m/>
    <m/>
    <m/>
    <m/>
    <m/>
    <m/>
    <m/>
    <m/>
    <m/>
    <m/>
    <m/>
  </r>
  <r>
    <x v="14"/>
    <s v="Chain 2_Depot 7_SKU 16_45047"/>
    <x v="10"/>
    <x v="1"/>
    <x v="1"/>
    <x v="3"/>
    <x v="3"/>
    <x v="10"/>
    <s v="History"/>
    <n v="14341"/>
    <m/>
    <n v="14664.0186557379"/>
    <n v="111.979434322947"/>
    <m/>
    <m/>
    <n v="0"/>
    <n v="0"/>
    <n v="0"/>
    <m/>
    <m/>
    <b v="0"/>
    <n v="3524"/>
    <n v="0"/>
    <n v="2161"/>
    <s v="Weak"/>
    <n v="843.58"/>
    <n v="763.53"/>
    <n v="9.49"/>
    <n v="0"/>
    <m/>
    <m/>
    <m/>
    <m/>
    <m/>
    <m/>
    <m/>
    <m/>
    <m/>
    <m/>
    <m/>
    <m/>
  </r>
  <r>
    <x v="15"/>
    <s v="Chain 2_Depot 7_SKU 16_45078"/>
    <x v="10"/>
    <x v="1"/>
    <x v="1"/>
    <x v="3"/>
    <x v="3"/>
    <x v="10"/>
    <s v="History"/>
    <n v="14597.84"/>
    <m/>
    <n v="14704.3862827468"/>
    <n v="-97.861149921084603"/>
    <m/>
    <m/>
    <n v="0"/>
    <n v="0"/>
    <n v="0"/>
    <m/>
    <m/>
    <b v="0"/>
    <n v="2603"/>
    <n v="1"/>
    <n v="1838"/>
    <s v="Weak"/>
    <n v="893.93"/>
    <n v="782.33"/>
    <n v="12.48"/>
    <n v="0"/>
    <m/>
    <m/>
    <m/>
    <m/>
    <m/>
    <m/>
    <m/>
    <m/>
    <m/>
    <m/>
    <m/>
    <m/>
  </r>
  <r>
    <x v="16"/>
    <s v="Chain 2_Depot 7_SKU 16_45108"/>
    <x v="10"/>
    <x v="1"/>
    <x v="1"/>
    <x v="3"/>
    <x v="3"/>
    <x v="10"/>
    <s v="History"/>
    <n v="14652.47"/>
    <m/>
    <n v="14743.4517283884"/>
    <n v="-283.72278260335798"/>
    <m/>
    <m/>
    <n v="0"/>
    <n v="0"/>
    <n v="0"/>
    <m/>
    <m/>
    <b v="0"/>
    <n v="2581"/>
    <n v="0"/>
    <n v="1877"/>
    <s v="Weak"/>
    <n v="873.9"/>
    <n v="778.66"/>
    <n v="10.9"/>
    <n v="0"/>
    <m/>
    <m/>
    <m/>
    <m/>
    <m/>
    <m/>
    <m/>
    <m/>
    <m/>
    <m/>
    <m/>
    <m/>
  </r>
  <r>
    <x v="26"/>
    <s v="Chain 2_Depot 7_SKU 16_45139"/>
    <x v="10"/>
    <x v="1"/>
    <x v="1"/>
    <x v="3"/>
    <x v="3"/>
    <x v="10"/>
    <s v="History"/>
    <n v="14979.23"/>
    <m/>
    <n v="14783.819355187599"/>
    <n v="-109.14552692971699"/>
    <m/>
    <m/>
    <n v="0"/>
    <n v="0"/>
    <n v="0"/>
    <m/>
    <m/>
    <b v="0"/>
    <n v="4042"/>
    <n v="0"/>
    <n v="1822"/>
    <s v="Weak"/>
    <n v="775.17"/>
    <n v="695.2"/>
    <n v="10.32"/>
    <n v="0"/>
    <m/>
    <m/>
    <m/>
    <m/>
    <m/>
    <m/>
    <m/>
    <m/>
    <m/>
    <m/>
    <m/>
    <m/>
  </r>
  <r>
    <x v="27"/>
    <s v="Chain 2_Depot 7_SKU 16_45170"/>
    <x v="10"/>
    <x v="1"/>
    <x v="1"/>
    <x v="3"/>
    <x v="3"/>
    <x v="10"/>
    <s v="History"/>
    <n v="15310.91"/>
    <m/>
    <n v="14824.186982013"/>
    <n v="12.332806074816901"/>
    <m/>
    <m/>
    <n v="0"/>
    <n v="0"/>
    <n v="0"/>
    <m/>
    <m/>
    <b v="0"/>
    <n v="3939"/>
    <n v="0"/>
    <n v="2152"/>
    <s v="Weak"/>
    <n v="828.89"/>
    <n v="734.01"/>
    <n v="11.45"/>
    <n v="0"/>
    <m/>
    <m/>
    <m/>
    <m/>
    <m/>
    <m/>
    <m/>
    <m/>
    <m/>
    <m/>
    <m/>
    <m/>
  </r>
  <r>
    <x v="34"/>
    <s v="Chain 2_Depot 7_SKU 16_45200"/>
    <x v="10"/>
    <x v="1"/>
    <x v="1"/>
    <x v="3"/>
    <x v="3"/>
    <x v="10"/>
    <s v="History"/>
    <n v="15308.09"/>
    <m/>
    <n v="14863.252216785"/>
    <n v="66.012723467379701"/>
    <m/>
    <m/>
    <n v="0"/>
    <n v="0"/>
    <n v="0"/>
    <m/>
    <m/>
    <b v="0"/>
    <n v="2132"/>
    <n v="1"/>
    <n v="1048"/>
    <s v="Weak"/>
    <n v="883.5"/>
    <n v="805.77"/>
    <n v="8.8000000000000007"/>
    <n v="0"/>
    <m/>
    <m/>
    <m/>
    <m/>
    <m/>
    <m/>
    <m/>
    <m/>
    <m/>
    <m/>
    <m/>
    <m/>
  </r>
  <r>
    <x v="28"/>
    <s v="Chain 2_Depot 7_SKU 16_45231"/>
    <x v="10"/>
    <x v="1"/>
    <x v="1"/>
    <x v="3"/>
    <x v="3"/>
    <x v="10"/>
    <s v="History"/>
    <n v="15358.84"/>
    <m/>
    <n v="14903.404791228"/>
    <n v="187.401642147562"/>
    <m/>
    <m/>
    <n v="0"/>
    <n v="0"/>
    <n v="0"/>
    <m/>
    <m/>
    <b v="0"/>
    <n v="4838"/>
    <n v="1"/>
    <n v="2699"/>
    <s v="Weak"/>
    <n v="772.89"/>
    <n v="686.6"/>
    <n v="11.16"/>
    <n v="0"/>
    <m/>
    <m/>
    <m/>
    <m/>
    <m/>
    <m/>
    <m/>
    <m/>
    <m/>
    <m/>
    <m/>
    <m/>
  </r>
  <r>
    <x v="29"/>
    <s v="Chain 2_Depot 7_SKU 16_45261"/>
    <x v="10"/>
    <x v="1"/>
    <x v="1"/>
    <x v="3"/>
    <x v="3"/>
    <x v="10"/>
    <s v="History"/>
    <n v="14809.61"/>
    <m/>
    <n v="14942.023055346501"/>
    <n v="-158.458496971904"/>
    <m/>
    <m/>
    <n v="0"/>
    <n v="0"/>
    <n v="1"/>
    <m/>
    <m/>
    <b v="0"/>
    <n v="4696"/>
    <n v="0"/>
    <n v="1788"/>
    <s v="Weak"/>
    <n v="854.99"/>
    <n v="764.61"/>
    <n v="10.57"/>
    <n v="0"/>
    <m/>
    <m/>
    <m/>
    <m/>
    <m/>
    <m/>
    <m/>
    <m/>
    <m/>
    <m/>
    <m/>
    <m/>
  </r>
  <r>
    <x v="17"/>
    <s v="Chain 2_Depot 7_SKU 16_45292"/>
    <x v="10"/>
    <x v="1"/>
    <x v="1"/>
    <x v="3"/>
    <x v="3"/>
    <x v="10"/>
    <s v="History"/>
    <n v="15433.77"/>
    <m/>
    <n v="14981.6421564558"/>
    <n v="-94.551094946540303"/>
    <m/>
    <m/>
    <n v="0"/>
    <n v="0"/>
    <n v="0"/>
    <m/>
    <m/>
    <b v="0"/>
    <n v="4268"/>
    <n v="1"/>
    <n v="1292"/>
    <s v="Weak"/>
    <n v="832.04"/>
    <n v="749.06"/>
    <n v="9.9700000000000006"/>
    <n v="0"/>
    <m/>
    <m/>
    <m/>
    <m/>
    <m/>
    <m/>
    <m/>
    <m/>
    <m/>
    <m/>
    <m/>
    <m/>
  </r>
  <r>
    <x v="18"/>
    <s v="Chain 2_Depot 7_SKU 16_45323"/>
    <x v="10"/>
    <x v="1"/>
    <x v="1"/>
    <x v="3"/>
    <x v="3"/>
    <x v="10"/>
    <s v="History"/>
    <n v="15187.58"/>
    <m/>
    <n v="14728.1498898933"/>
    <n v="172.08916626774101"/>
    <m/>
    <m/>
    <n v="0"/>
    <n v="0"/>
    <n v="0"/>
    <m/>
    <m/>
    <b v="0"/>
    <n v="2975"/>
    <n v="0"/>
    <n v="2651"/>
    <s v="Weak"/>
    <n v="746.26"/>
    <n v="663.27"/>
    <n v="11.12"/>
    <n v="0"/>
    <m/>
    <m/>
    <m/>
    <m/>
    <m/>
    <m/>
    <m/>
    <m/>
    <m/>
    <m/>
    <m/>
    <m/>
  </r>
  <r>
    <x v="19"/>
    <s v="Chain 2_Depot 7_SKU 16_45352"/>
    <x v="10"/>
    <x v="1"/>
    <x v="1"/>
    <x v="3"/>
    <x v="3"/>
    <x v="10"/>
    <s v="History"/>
    <n v="15069.21"/>
    <m/>
    <n v="14490.552512247399"/>
    <n v="-30.769172628798501"/>
    <m/>
    <m/>
    <n v="0"/>
    <n v="0"/>
    <n v="1"/>
    <m/>
    <m/>
    <b v="0"/>
    <n v="3813"/>
    <n v="1"/>
    <n v="1535"/>
    <s v="Weak"/>
    <n v="839.98"/>
    <n v="736.03"/>
    <n v="12.38"/>
    <n v="0"/>
    <m/>
    <m/>
    <m/>
    <m/>
    <m/>
    <m/>
    <m/>
    <m/>
    <m/>
    <m/>
    <m/>
    <m/>
  </r>
  <r>
    <x v="20"/>
    <s v="Chain 2_Depot 7_SKU 16_45383"/>
    <x v="10"/>
    <x v="1"/>
    <x v="1"/>
    <x v="3"/>
    <x v="3"/>
    <x v="10"/>
    <s v="History"/>
    <n v="14976.24"/>
    <m/>
    <n v="14236.5691085571"/>
    <n v="135.68060759993199"/>
    <m/>
    <m/>
    <n v="0"/>
    <n v="0"/>
    <n v="0"/>
    <m/>
    <m/>
    <b v="0"/>
    <n v="3543"/>
    <n v="0"/>
    <n v="1310"/>
    <s v="Weak"/>
    <n v="792.13"/>
    <n v="705.33"/>
    <n v="10.96"/>
    <n v="0"/>
    <m/>
    <m/>
    <m/>
    <m/>
    <m/>
    <m/>
    <m/>
    <m/>
    <m/>
    <m/>
    <m/>
    <m/>
  </r>
  <r>
    <x v="21"/>
    <s v="Chain 2_Depot 7_SKU 16_45413"/>
    <x v="10"/>
    <x v="1"/>
    <x v="1"/>
    <x v="3"/>
    <x v="3"/>
    <x v="10"/>
    <s v="History"/>
    <n v="14502.86"/>
    <m/>
    <n v="13990.778717888999"/>
    <n v="166.17069627735799"/>
    <m/>
    <m/>
    <n v="0"/>
    <n v="0"/>
    <n v="0"/>
    <m/>
    <m/>
    <b v="0"/>
    <n v="4835"/>
    <n v="1"/>
    <n v="1536"/>
    <s v="Weak"/>
    <n v="775.62"/>
    <n v="701.93"/>
    <n v="9.5"/>
    <n v="0"/>
    <m/>
    <m/>
    <m/>
    <m/>
    <m/>
    <m/>
    <m/>
    <m/>
    <m/>
    <m/>
    <m/>
    <m/>
  </r>
  <r>
    <x v="22"/>
    <s v="Chain 2_Depot 7_SKU 16_45444"/>
    <x v="10"/>
    <x v="1"/>
    <x v="1"/>
    <x v="3"/>
    <x v="3"/>
    <x v="10"/>
    <s v="History"/>
    <n v="12996.71"/>
    <m/>
    <n v="13736.7953141986"/>
    <n v="-164.29083054052001"/>
    <m/>
    <m/>
    <n v="0"/>
    <n v="1"/>
    <n v="0"/>
    <m/>
    <m/>
    <b v="0"/>
    <n v="4738"/>
    <n v="0"/>
    <n v="2926"/>
    <s v="Weak"/>
    <n v="834.46"/>
    <n v="743.78"/>
    <n v="10.87"/>
    <n v="0"/>
    <m/>
    <m/>
    <m/>
    <m/>
    <m/>
    <m/>
    <m/>
    <m/>
    <m/>
    <m/>
    <m/>
    <m/>
  </r>
  <r>
    <x v="30"/>
    <s v="Chain 2_Depot 7_SKU 16_45474"/>
    <x v="10"/>
    <x v="1"/>
    <x v="1"/>
    <x v="3"/>
    <x v="3"/>
    <x v="10"/>
    <s v="History"/>
    <n v="12573.84"/>
    <n v="14316.02"/>
    <n v="13491.0049235305"/>
    <n v="-222.292323582226"/>
    <n v="14516.02"/>
    <n v="14116.02"/>
    <n v="0"/>
    <n v="1"/>
    <n v="0"/>
    <m/>
    <m/>
    <b v="0"/>
    <n v="3357"/>
    <n v="0"/>
    <n v="1638"/>
    <s v="Weak"/>
    <n v="737.46"/>
    <n v="653.57000000000005"/>
    <n v="11.38"/>
    <n v="0"/>
    <m/>
    <m/>
    <m/>
    <m/>
    <m/>
    <m/>
    <m/>
    <m/>
    <m/>
    <m/>
    <m/>
    <m/>
  </r>
  <r>
    <x v="23"/>
    <s v="Chain 2_Depot 7_SKU 16_45505"/>
    <x v="10"/>
    <x v="1"/>
    <x v="1"/>
    <x v="3"/>
    <x v="3"/>
    <x v="10"/>
    <s v="History"/>
    <n v="12746.48"/>
    <n v="14378.33"/>
    <n v="13237.0215198401"/>
    <n v="-166.87338863556701"/>
    <n v="14578.33"/>
    <n v="14178.33"/>
    <n v="0"/>
    <n v="1"/>
    <n v="0"/>
    <m/>
    <m/>
    <b v="0"/>
    <n v="2038"/>
    <n v="0"/>
    <n v="1233"/>
    <s v="Weak"/>
    <n v="800.29"/>
    <n v="723.43"/>
    <n v="9.6"/>
    <n v="0"/>
    <m/>
    <m/>
    <m/>
    <m/>
    <m/>
    <m/>
    <m/>
    <m/>
    <m/>
    <m/>
    <m/>
    <m/>
  </r>
  <r>
    <x v="24"/>
    <s v="Chain 2_Depot 7_SKU 16_45536"/>
    <x v="10"/>
    <x v="1"/>
    <x v="1"/>
    <x v="3"/>
    <x v="3"/>
    <x v="10"/>
    <s v="History"/>
    <n v="12807.68"/>
    <n v="14359.47"/>
    <n v="12983.038116149701"/>
    <n v="74.964582001366907"/>
    <n v="14559.47"/>
    <n v="14159.47"/>
    <n v="0"/>
    <n v="1"/>
    <n v="0"/>
    <m/>
    <m/>
    <b v="0"/>
    <n v="3316"/>
    <n v="0"/>
    <n v="2232"/>
    <s v="Weak"/>
    <n v="961.56"/>
    <n v="857.13"/>
    <n v="10.86"/>
    <n v="0"/>
    <m/>
    <m/>
    <m/>
    <m/>
    <m/>
    <m/>
    <m/>
    <m/>
    <m/>
    <m/>
    <m/>
    <m/>
  </r>
  <r>
    <x v="31"/>
    <s v="Chain 2_Depot 7_SKU 16_45566"/>
    <x v="10"/>
    <x v="1"/>
    <x v="1"/>
    <x v="3"/>
    <x v="3"/>
    <x v="10"/>
    <s v="Forecast"/>
    <m/>
    <n v="15172.78"/>
    <n v="12737.2477254816"/>
    <n v="7.7659326836549303"/>
    <n v="15372.78"/>
    <n v="14972.78"/>
    <m/>
    <m/>
    <m/>
    <m/>
    <m/>
    <m/>
    <m/>
    <m/>
    <n v="1604"/>
    <n v="0"/>
    <n v="866.51"/>
    <n v="770.85"/>
    <n v="11.04"/>
    <n v="0"/>
    <m/>
    <m/>
    <m/>
    <m/>
    <m/>
    <m/>
    <m/>
    <m/>
    <m/>
    <m/>
    <m/>
    <m/>
  </r>
  <r>
    <x v="25"/>
    <s v="Chain 2_Depot 7_SKU 16_45597"/>
    <x v="10"/>
    <x v="1"/>
    <x v="1"/>
    <x v="3"/>
    <x v="3"/>
    <x v="10"/>
    <s v="Forecast"/>
    <m/>
    <n v="15017.2"/>
    <n v="12483.264321791299"/>
    <n v="246.66961026407299"/>
    <n v="15217.2"/>
    <n v="14817.2"/>
    <m/>
    <m/>
    <m/>
    <m/>
    <m/>
    <m/>
    <m/>
    <m/>
    <n v="1093"/>
    <n v="0"/>
    <n v="789.93"/>
    <n v="473.96"/>
    <n v="40"/>
    <n v="1"/>
    <m/>
    <m/>
    <m/>
    <m/>
    <m/>
    <m/>
    <m/>
    <m/>
    <m/>
    <m/>
    <m/>
    <m/>
  </r>
  <r>
    <x v="32"/>
    <s v="Chain 2_Depot 7_SKU 16_45627"/>
    <x v="10"/>
    <x v="1"/>
    <x v="1"/>
    <x v="3"/>
    <x v="3"/>
    <x v="10"/>
    <s v="Forecast"/>
    <m/>
    <n v="15047.03"/>
    <n v="12237.473931123201"/>
    <n v="-229.48867028063799"/>
    <n v="15247.03"/>
    <n v="14847.03"/>
    <m/>
    <m/>
    <m/>
    <m/>
    <m/>
    <m/>
    <m/>
    <m/>
    <n v="1326"/>
    <n v="0"/>
    <n v="904.21"/>
    <n v="815.97"/>
    <n v="9.76"/>
    <n v="0"/>
    <m/>
    <m/>
    <m/>
    <m/>
    <m/>
    <m/>
    <m/>
    <m/>
    <m/>
    <m/>
    <m/>
    <m/>
  </r>
  <r>
    <x v="0"/>
    <s v="Chain 2_Depot 8_SKU 3_44562"/>
    <x v="11"/>
    <x v="1"/>
    <x v="1"/>
    <x v="4"/>
    <x v="6"/>
    <x v="9"/>
    <s v="History"/>
    <n v="18866.75"/>
    <m/>
    <n v="18798.455685919998"/>
    <n v="102.399897694597"/>
    <m/>
    <m/>
    <n v="0"/>
    <n v="0"/>
    <n v="0"/>
    <m/>
    <m/>
    <b v="0"/>
    <n v="2717"/>
    <n v="1"/>
    <n v="2459"/>
    <s v="Stable"/>
    <n v="2139.89"/>
    <n v="1875.79"/>
    <n v="12.34"/>
    <n v="0"/>
    <m/>
    <m/>
    <m/>
    <m/>
    <m/>
    <m/>
    <m/>
    <m/>
    <m/>
    <m/>
    <m/>
    <m/>
  </r>
  <r>
    <x v="1"/>
    <s v="Chain 2_Depot 8_SKU 3_44593"/>
    <x v="11"/>
    <x v="1"/>
    <x v="1"/>
    <x v="4"/>
    <x v="6"/>
    <x v="9"/>
    <s v="History"/>
    <n v="19045.599999999999"/>
    <m/>
    <n v="18966.4272715433"/>
    <n v="-572.28468167173696"/>
    <m/>
    <m/>
    <n v="0"/>
    <n v="0"/>
    <n v="0"/>
    <m/>
    <m/>
    <b v="0"/>
    <n v="3016"/>
    <n v="1"/>
    <n v="2810"/>
    <s v="Stable"/>
    <n v="2152.38"/>
    <n v="1903.67"/>
    <n v="11.55"/>
    <n v="0"/>
    <m/>
    <m/>
    <m/>
    <m/>
    <m/>
    <m/>
    <m/>
    <m/>
    <m/>
    <m/>
    <m/>
    <m/>
  </r>
  <r>
    <x v="2"/>
    <s v="Chain 2_Depot 8_SKU 3_44621"/>
    <x v="11"/>
    <x v="1"/>
    <x v="1"/>
    <x v="4"/>
    <x v="6"/>
    <x v="9"/>
    <s v="History"/>
    <n v="19306.310000000001"/>
    <m/>
    <n v="19118.143542387301"/>
    <n v="2236.1749855641001"/>
    <m/>
    <m/>
    <n v="0"/>
    <n v="0"/>
    <n v="0"/>
    <m/>
    <m/>
    <b v="0"/>
    <n v="3337"/>
    <n v="1"/>
    <n v="1460"/>
    <s v="Stable"/>
    <n v="2116.66"/>
    <n v="1870.7"/>
    <n v="11.62"/>
    <n v="0"/>
    <m/>
    <m/>
    <m/>
    <m/>
    <m/>
    <m/>
    <m/>
    <m/>
    <m/>
    <m/>
    <m/>
    <m/>
  </r>
  <r>
    <x v="3"/>
    <s v="Chain 2_Depot 8_SKU 3_44652"/>
    <x v="11"/>
    <x v="1"/>
    <x v="1"/>
    <x v="4"/>
    <x v="6"/>
    <x v="9"/>
    <s v="History"/>
    <n v="19768.73"/>
    <m/>
    <n v="19286.115127877099"/>
    <n v="25.525329258965598"/>
    <m/>
    <m/>
    <n v="0"/>
    <n v="0"/>
    <n v="0"/>
    <m/>
    <m/>
    <b v="0"/>
    <n v="2605"/>
    <n v="0"/>
    <n v="1617"/>
    <s v="Stable"/>
    <n v="2164.9299999999998"/>
    <n v="1898.08"/>
    <n v="12.33"/>
    <n v="0"/>
    <m/>
    <m/>
    <m/>
    <m/>
    <m/>
    <m/>
    <m/>
    <m/>
    <m/>
    <m/>
    <m/>
    <m/>
  </r>
  <r>
    <x v="4"/>
    <s v="Chain 2_Depot 8_SKU 3_44682"/>
    <x v="11"/>
    <x v="1"/>
    <x v="1"/>
    <x v="4"/>
    <x v="6"/>
    <x v="9"/>
    <s v="History"/>
    <n v="19882.32"/>
    <m/>
    <n v="19448.668275166401"/>
    <n v="-405.23315964448699"/>
    <m/>
    <m/>
    <n v="0"/>
    <n v="0"/>
    <n v="0"/>
    <m/>
    <m/>
    <b v="0"/>
    <n v="2374"/>
    <n v="0"/>
    <n v="2044"/>
    <s v="Stable"/>
    <n v="2238.77"/>
    <n v="1903.76"/>
    <n v="14.96"/>
    <n v="0"/>
    <m/>
    <m/>
    <m/>
    <m/>
    <m/>
    <m/>
    <m/>
    <m/>
    <m/>
    <m/>
    <m/>
    <m/>
  </r>
  <r>
    <x v="5"/>
    <s v="Chain 2_Depot 8_SKU 3_44713"/>
    <x v="11"/>
    <x v="1"/>
    <x v="1"/>
    <x v="4"/>
    <x v="6"/>
    <x v="9"/>
    <s v="History"/>
    <n v="19690.28"/>
    <m/>
    <n v="19616.639860599102"/>
    <n v="-331.17901621399301"/>
    <m/>
    <m/>
    <n v="0"/>
    <n v="0"/>
    <n v="0"/>
    <m/>
    <m/>
    <b v="0"/>
    <n v="4686"/>
    <n v="0"/>
    <n v="1063"/>
    <s v="Stable"/>
    <n v="2215.7800000000002"/>
    <n v="1962.84"/>
    <n v="11.42"/>
    <n v="0"/>
    <m/>
    <m/>
    <m/>
    <m/>
    <m/>
    <m/>
    <m/>
    <m/>
    <m/>
    <m/>
    <m/>
    <m/>
  </r>
  <r>
    <x v="7"/>
    <s v="Chain 2_Depot 8_SKU 3_44774"/>
    <x v="11"/>
    <x v="1"/>
    <x v="1"/>
    <x v="4"/>
    <x v="6"/>
    <x v="9"/>
    <s v="History"/>
    <n v="20394.21"/>
    <m/>
    <n v="19947.1645932069"/>
    <n v="-238.08184528414799"/>
    <m/>
    <m/>
    <n v="0"/>
    <n v="0"/>
    <n v="0"/>
    <m/>
    <m/>
    <b v="0"/>
    <n v="3048"/>
    <n v="0"/>
    <n v="1026"/>
    <s v="Stable"/>
    <n v="2216.11"/>
    <n v="1905.65"/>
    <n v="14.01"/>
    <n v="0"/>
    <m/>
    <m/>
    <m/>
    <m/>
    <m/>
    <m/>
    <m/>
    <m/>
    <m/>
    <m/>
    <m/>
    <m/>
  </r>
  <r>
    <x v="35"/>
    <s v="Chain 2_Depot 8_SKU 3_44805"/>
    <x v="11"/>
    <x v="1"/>
    <x v="1"/>
    <x v="4"/>
    <x v="6"/>
    <x v="9"/>
    <s v="History"/>
    <n v="20264.79"/>
    <m/>
    <n v="20115.1361785318"/>
    <n v="-346.16180385286799"/>
    <m/>
    <m/>
    <n v="0"/>
    <n v="0"/>
    <n v="0"/>
    <m/>
    <m/>
    <b v="0"/>
    <n v="3357"/>
    <n v="0"/>
    <n v="2334"/>
    <s v="Stable"/>
    <n v="2134.8200000000002"/>
    <n v="1867.66"/>
    <n v="12.51"/>
    <n v="0"/>
    <m/>
    <m/>
    <m/>
    <m/>
    <m/>
    <m/>
    <m/>
    <m/>
    <m/>
    <m/>
    <m/>
    <m/>
  </r>
  <r>
    <x v="8"/>
    <s v="Chain 2_Depot 8_SKU 3_44866"/>
    <x v="11"/>
    <x v="1"/>
    <x v="1"/>
    <x v="4"/>
    <x v="6"/>
    <x v="9"/>
    <s v="History"/>
    <n v="19946.349999999999"/>
    <m/>
    <n v="20445.6609110678"/>
    <n v="182.87902594514699"/>
    <m/>
    <m/>
    <n v="0"/>
    <n v="0"/>
    <n v="0"/>
    <m/>
    <m/>
    <b v="0"/>
    <n v="4095"/>
    <n v="0"/>
    <n v="1284"/>
    <s v="Stable"/>
    <n v="2150.9899999999998"/>
    <n v="1879.43"/>
    <n v="12.62"/>
    <n v="0"/>
    <m/>
    <m/>
    <m/>
    <m/>
    <m/>
    <m/>
    <m/>
    <m/>
    <m/>
    <m/>
    <m/>
    <m/>
  </r>
  <r>
    <x v="9"/>
    <s v="Chain 2_Depot 8_SKU 3_44896"/>
    <x v="11"/>
    <x v="1"/>
    <x v="1"/>
    <x v="4"/>
    <x v="6"/>
    <x v="9"/>
    <s v="History"/>
    <n v="19710.88"/>
    <m/>
    <n v="20608.214058186299"/>
    <n v="-927.76352046023396"/>
    <m/>
    <m/>
    <n v="0"/>
    <n v="0"/>
    <n v="0"/>
    <m/>
    <m/>
    <b v="0"/>
    <n v="3801"/>
    <n v="0"/>
    <n v="2683"/>
    <s v="Stable"/>
    <n v="2256.5300000000002"/>
    <n v="1927.99"/>
    <n v="14.56"/>
    <n v="0"/>
    <m/>
    <m/>
    <m/>
    <m/>
    <m/>
    <m/>
    <m/>
    <m/>
    <m/>
    <m/>
    <m/>
    <m/>
  </r>
  <r>
    <x v="11"/>
    <s v="Chain 2_Depot 8_SKU 3_44958"/>
    <x v="11"/>
    <x v="1"/>
    <x v="1"/>
    <x v="4"/>
    <x v="6"/>
    <x v="9"/>
    <s v="History"/>
    <n v="20179.310000000001"/>
    <m/>
    <n v="20944.157228985801"/>
    <n v="-338.98624613969798"/>
    <m/>
    <m/>
    <n v="0"/>
    <n v="0"/>
    <n v="0"/>
    <m/>
    <m/>
    <b v="0"/>
    <n v="3482"/>
    <n v="0"/>
    <n v="1837"/>
    <s v="Stable"/>
    <n v="2234.6799999999998"/>
    <n v="1954.6"/>
    <n v="12.53"/>
    <n v="0"/>
    <m/>
    <m/>
    <m/>
    <m/>
    <m/>
    <m/>
    <m/>
    <m/>
    <m/>
    <m/>
    <m/>
    <m/>
  </r>
  <r>
    <x v="12"/>
    <s v="Chain 2_Depot 8_SKU 3_44986"/>
    <x v="11"/>
    <x v="1"/>
    <x v="1"/>
    <x v="4"/>
    <x v="6"/>
    <x v="9"/>
    <s v="History"/>
    <n v="20894.45"/>
    <m/>
    <n v="21095.873499723501"/>
    <n v="1979.09455666644"/>
    <m/>
    <m/>
    <n v="0"/>
    <n v="0"/>
    <n v="0"/>
    <m/>
    <m/>
    <b v="0"/>
    <n v="3546"/>
    <n v="0"/>
    <n v="1830"/>
    <s v="Stable"/>
    <n v="2234.65"/>
    <n v="1962.68"/>
    <n v="12.17"/>
    <n v="0"/>
    <m/>
    <m/>
    <m/>
    <m/>
    <m/>
    <m/>
    <m/>
    <m/>
    <m/>
    <m/>
    <m/>
    <m/>
  </r>
  <r>
    <x v="13"/>
    <s v="Chain 2_Depot 8_SKU 3_45017"/>
    <x v="11"/>
    <x v="1"/>
    <x v="1"/>
    <x v="4"/>
    <x v="6"/>
    <x v="9"/>
    <s v="History"/>
    <n v="21056.61"/>
    <m/>
    <n v="21263.8450852405"/>
    <n v="312.63553438698102"/>
    <m/>
    <m/>
    <n v="0"/>
    <n v="0"/>
    <n v="0"/>
    <m/>
    <m/>
    <b v="0"/>
    <n v="3620"/>
    <n v="0"/>
    <n v="2187"/>
    <s v="Stable"/>
    <n v="2281.48"/>
    <n v="1986.76"/>
    <n v="12.92"/>
    <n v="0"/>
    <m/>
    <m/>
    <m/>
    <m/>
    <m/>
    <m/>
    <m/>
    <m/>
    <m/>
    <m/>
    <m/>
    <m/>
  </r>
  <r>
    <x v="14"/>
    <s v="Chain 2_Depot 8_SKU 3_45047"/>
    <x v="11"/>
    <x v="1"/>
    <x v="1"/>
    <x v="4"/>
    <x v="6"/>
    <x v="9"/>
    <s v="History"/>
    <n v="20772.509999999998"/>
    <m/>
    <n v="21426.398232582898"/>
    <n v="-684.35746592206704"/>
    <m/>
    <m/>
    <n v="0"/>
    <n v="0"/>
    <n v="0"/>
    <m/>
    <m/>
    <b v="0"/>
    <n v="4452"/>
    <n v="0"/>
    <n v="2921"/>
    <s v="Stable"/>
    <n v="2169.52"/>
    <n v="1875.99"/>
    <n v="13.53"/>
    <n v="0"/>
    <m/>
    <m/>
    <m/>
    <m/>
    <m/>
    <m/>
    <m/>
    <m/>
    <m/>
    <m/>
    <m/>
    <m/>
  </r>
  <r>
    <x v="15"/>
    <s v="Chain 2_Depot 8_SKU 3_45078"/>
    <x v="11"/>
    <x v="1"/>
    <x v="1"/>
    <x v="4"/>
    <x v="6"/>
    <x v="9"/>
    <s v="History"/>
    <n v="21131.88"/>
    <m/>
    <n v="21594.369818097701"/>
    <n v="-48.5615430369905"/>
    <m/>
    <m/>
    <n v="0"/>
    <n v="0"/>
    <n v="0"/>
    <m/>
    <m/>
    <b v="0"/>
    <n v="2684"/>
    <n v="0"/>
    <n v="1917"/>
    <s v="Stable"/>
    <n v="2225.62"/>
    <n v="1883.8"/>
    <n v="15.36"/>
    <n v="0"/>
    <m/>
    <m/>
    <m/>
    <m/>
    <m/>
    <m/>
    <m/>
    <m/>
    <m/>
    <m/>
    <m/>
    <m/>
  </r>
  <r>
    <x v="16"/>
    <s v="Chain 2_Depot 8_SKU 3_45108"/>
    <x v="11"/>
    <x v="1"/>
    <x v="1"/>
    <x v="4"/>
    <x v="6"/>
    <x v="9"/>
    <s v="History"/>
    <n v="21698.5"/>
    <m/>
    <n v="21756.9229653488"/>
    <n v="-1047.27083826238"/>
    <m/>
    <m/>
    <n v="0"/>
    <n v="0"/>
    <n v="0"/>
    <m/>
    <m/>
    <b v="0"/>
    <n v="4950"/>
    <n v="0"/>
    <n v="1223"/>
    <s v="Stable"/>
    <n v="2304.08"/>
    <n v="1994.13"/>
    <n v="13.45"/>
    <n v="0"/>
    <m/>
    <m/>
    <m/>
    <m/>
    <m/>
    <m/>
    <m/>
    <m/>
    <m/>
    <m/>
    <m/>
    <m/>
  </r>
  <r>
    <x v="26"/>
    <s v="Chain 2_Depot 8_SKU 3_45139"/>
    <x v="11"/>
    <x v="1"/>
    <x v="1"/>
    <x v="4"/>
    <x v="6"/>
    <x v="9"/>
    <s v="History"/>
    <n v="21574.69"/>
    <m/>
    <n v="21924.894550862598"/>
    <n v="45.255909256907202"/>
    <m/>
    <m/>
    <n v="0"/>
    <n v="0"/>
    <n v="0"/>
    <m/>
    <m/>
    <b v="0"/>
    <n v="4550"/>
    <n v="0"/>
    <n v="1783"/>
    <s v="Stable"/>
    <n v="2159.12"/>
    <n v="1884.7"/>
    <n v="12.71"/>
    <n v="0"/>
    <m/>
    <m/>
    <m/>
    <m/>
    <m/>
    <m/>
    <m/>
    <m/>
    <m/>
    <m/>
    <m/>
    <m/>
  </r>
  <r>
    <x v="27"/>
    <s v="Chain 2_Depot 8_SKU 3_45170"/>
    <x v="11"/>
    <x v="1"/>
    <x v="1"/>
    <x v="4"/>
    <x v="6"/>
    <x v="9"/>
    <s v="History"/>
    <n v="22125.57"/>
    <m/>
    <n v="22092.866136343298"/>
    <n v="-622.42500029028304"/>
    <m/>
    <m/>
    <n v="0"/>
    <n v="0"/>
    <n v="0"/>
    <m/>
    <m/>
    <b v="0"/>
    <n v="3471"/>
    <n v="0"/>
    <n v="2169"/>
    <s v="Stable"/>
    <n v="2113.25"/>
    <n v="1826.69"/>
    <n v="13.56"/>
    <n v="0"/>
    <m/>
    <m/>
    <m/>
    <m/>
    <m/>
    <m/>
    <m/>
    <m/>
    <m/>
    <m/>
    <m/>
    <m/>
  </r>
  <r>
    <x v="34"/>
    <s v="Chain 2_Depot 8_SKU 3_45200"/>
    <x v="11"/>
    <x v="1"/>
    <x v="1"/>
    <x v="4"/>
    <x v="6"/>
    <x v="9"/>
    <s v="History"/>
    <n v="22343.37"/>
    <m/>
    <n v="22255.419283488201"/>
    <n v="56.837871527671702"/>
    <m/>
    <m/>
    <n v="0"/>
    <n v="0"/>
    <n v="0"/>
    <m/>
    <m/>
    <b v="0"/>
    <n v="4941"/>
    <n v="0"/>
    <n v="1964"/>
    <s v="Stable"/>
    <n v="2096"/>
    <n v="1817.95"/>
    <n v="13.27"/>
    <n v="0"/>
    <m/>
    <m/>
    <m/>
    <m/>
    <m/>
    <m/>
    <m/>
    <m/>
    <m/>
    <m/>
    <m/>
    <m/>
  </r>
  <r>
    <x v="28"/>
    <s v="Chain 2_Depot 8_SKU 3_45231"/>
    <x v="11"/>
    <x v="1"/>
    <x v="1"/>
    <x v="4"/>
    <x v="6"/>
    <x v="9"/>
    <s v="History"/>
    <n v="22998.37"/>
    <m/>
    <n v="22423.390868816099"/>
    <n v="-82.505875799222807"/>
    <m/>
    <m/>
    <n v="0"/>
    <n v="0"/>
    <n v="0"/>
    <m/>
    <m/>
    <b v="0"/>
    <n v="3599"/>
    <n v="0"/>
    <n v="1949"/>
    <s v="Stable"/>
    <n v="2225.64"/>
    <n v="1926.76"/>
    <n v="13.43"/>
    <n v="0"/>
    <m/>
    <m/>
    <m/>
    <m/>
    <m/>
    <m/>
    <m/>
    <m/>
    <m/>
    <m/>
    <m/>
    <m/>
  </r>
  <r>
    <x v="18"/>
    <s v="Chain 2_Depot 8_SKU 3_45323"/>
    <x v="11"/>
    <x v="1"/>
    <x v="1"/>
    <x v="4"/>
    <x v="6"/>
    <x v="9"/>
    <s v="History"/>
    <n v="22678.78"/>
    <m/>
    <n v="22921.887182433002"/>
    <n v="-104.65626001262901"/>
    <m/>
    <m/>
    <n v="0"/>
    <n v="0"/>
    <n v="0"/>
    <m/>
    <m/>
    <b v="0"/>
    <n v="4168"/>
    <n v="0"/>
    <n v="1044"/>
    <s v="Stable"/>
    <n v="2211.87"/>
    <n v="1912.91"/>
    <n v="13.52"/>
    <n v="0"/>
    <m/>
    <m/>
    <m/>
    <m/>
    <m/>
    <m/>
    <m/>
    <m/>
    <m/>
    <m/>
    <m/>
    <m/>
  </r>
  <r>
    <x v="19"/>
    <s v="Chain 2_Depot 8_SKU 3_45352"/>
    <x v="11"/>
    <x v="1"/>
    <x v="1"/>
    <x v="4"/>
    <x v="6"/>
    <x v="9"/>
    <s v="History"/>
    <n v="30055.119999999999"/>
    <m/>
    <n v="23079.021865728599"/>
    <n v="2750.14034949299"/>
    <m/>
    <m/>
    <n v="0"/>
    <n v="0"/>
    <n v="1"/>
    <m/>
    <m/>
    <b v="1"/>
    <n v="2809"/>
    <n v="0"/>
    <n v="2810"/>
    <s v="Stable"/>
    <n v="2199.2600000000002"/>
    <n v="1939.75"/>
    <n v="11.8"/>
    <n v="0"/>
    <m/>
    <m/>
    <m/>
    <m/>
    <m/>
    <m/>
    <m/>
    <m/>
    <m/>
    <m/>
    <m/>
    <m/>
  </r>
  <r>
    <x v="20"/>
    <s v="Chain 2_Depot 8_SKU 3_45383"/>
    <x v="11"/>
    <x v="1"/>
    <x v="1"/>
    <x v="4"/>
    <x v="6"/>
    <x v="9"/>
    <s v="History"/>
    <n v="22662.11"/>
    <m/>
    <n v="23246.992691090902"/>
    <n v="-547.59034668097695"/>
    <m/>
    <m/>
    <n v="0"/>
    <n v="0"/>
    <n v="0"/>
    <m/>
    <m/>
    <b v="0"/>
    <n v="2977"/>
    <n v="0"/>
    <n v="1470"/>
    <s v="Stable"/>
    <n v="2211.27"/>
    <n v="1869.64"/>
    <n v="15.45"/>
    <n v="0"/>
    <m/>
    <m/>
    <m/>
    <m/>
    <m/>
    <m/>
    <m/>
    <m/>
    <m/>
    <m/>
    <m/>
    <m/>
  </r>
  <r>
    <x v="21"/>
    <s v="Chain 2_Depot 8_SKU 3_45413"/>
    <x v="11"/>
    <x v="1"/>
    <x v="1"/>
    <x v="4"/>
    <x v="6"/>
    <x v="9"/>
    <s v="History"/>
    <n v="22743.68"/>
    <m/>
    <n v="23409.545102731699"/>
    <n v="153.592883230589"/>
    <m/>
    <m/>
    <n v="0"/>
    <n v="0"/>
    <n v="0"/>
    <m/>
    <m/>
    <b v="0"/>
    <n v="4101"/>
    <n v="0"/>
    <n v="1033"/>
    <s v="Stable"/>
    <n v="2201.11"/>
    <n v="1897.6"/>
    <n v="13.79"/>
    <n v="0"/>
    <m/>
    <m/>
    <m/>
    <m/>
    <m/>
    <m/>
    <m/>
    <m/>
    <m/>
    <m/>
    <m/>
    <m/>
  </r>
  <r>
    <x v="22"/>
    <s v="Chain 2_Depot 8_SKU 3_45444"/>
    <x v="11"/>
    <x v="1"/>
    <x v="1"/>
    <x v="4"/>
    <x v="6"/>
    <x v="9"/>
    <s v="History"/>
    <n v="22655.69"/>
    <m/>
    <n v="23577.515928093901"/>
    <n v="-895.98132643664803"/>
    <m/>
    <m/>
    <n v="0"/>
    <n v="0"/>
    <n v="0"/>
    <m/>
    <m/>
    <b v="0"/>
    <n v="3354"/>
    <n v="0"/>
    <n v="1652"/>
    <s v="Stable"/>
    <n v="2253.94"/>
    <n v="1935.83"/>
    <n v="14.11"/>
    <n v="0"/>
    <m/>
    <m/>
    <m/>
    <m/>
    <m/>
    <m/>
    <m/>
    <m/>
    <m/>
    <m/>
    <m/>
    <m/>
  </r>
  <r>
    <x v="30"/>
    <s v="Chain 2_Depot 8_SKU 3_45474"/>
    <x v="11"/>
    <x v="1"/>
    <x v="1"/>
    <x v="4"/>
    <x v="6"/>
    <x v="9"/>
    <s v="History"/>
    <n v="22562.99"/>
    <n v="22386.05"/>
    <n v="23740.0683397348"/>
    <n v="-201.450815114481"/>
    <n v="22586.05"/>
    <n v="22186.05"/>
    <n v="0"/>
    <n v="0"/>
    <n v="0"/>
    <m/>
    <m/>
    <b v="0"/>
    <n v="2783"/>
    <n v="0"/>
    <n v="2450"/>
    <s v="Stable"/>
    <n v="2142.38"/>
    <n v="1863.36"/>
    <n v="13.02"/>
    <n v="0"/>
    <m/>
    <m/>
    <m/>
    <m/>
    <m/>
    <m/>
    <m/>
    <m/>
    <m/>
    <m/>
    <m/>
    <m/>
  </r>
  <r>
    <x v="23"/>
    <s v="Chain 2_Depot 8_SKU 3_45505"/>
    <x v="11"/>
    <x v="1"/>
    <x v="1"/>
    <x v="4"/>
    <x v="6"/>
    <x v="9"/>
    <s v="History"/>
    <n v="22812.45"/>
    <n v="22749.98"/>
    <n v="23908.039165097001"/>
    <n v="-804.74747847633"/>
    <n v="22949.98"/>
    <n v="22549.98"/>
    <n v="0"/>
    <n v="0"/>
    <n v="0"/>
    <m/>
    <m/>
    <b v="0"/>
    <n v="2240"/>
    <n v="1"/>
    <n v="1829"/>
    <s v="Stable"/>
    <n v="2156.15"/>
    <n v="1293.69"/>
    <n v="40"/>
    <n v="1"/>
    <m/>
    <m/>
    <m/>
    <m/>
    <m/>
    <m/>
    <m/>
    <m/>
    <m/>
    <m/>
    <m/>
    <m/>
  </r>
  <r>
    <x v="24"/>
    <s v="Chain 2_Depot 8_SKU 3_45536"/>
    <x v="11"/>
    <x v="1"/>
    <x v="1"/>
    <x v="4"/>
    <x v="6"/>
    <x v="9"/>
    <s v="History"/>
    <n v="23119.599999999999"/>
    <n v="23099.95"/>
    <n v="24076.009990459199"/>
    <n v="205.44145942145701"/>
    <n v="23299.95"/>
    <n v="22899.95"/>
    <n v="0"/>
    <n v="0"/>
    <n v="0"/>
    <m/>
    <m/>
    <b v="0"/>
    <n v="3778"/>
    <n v="1"/>
    <n v="2909"/>
    <s v="Stable"/>
    <n v="2151.37"/>
    <n v="1901.35"/>
    <n v="11.62"/>
    <n v="0"/>
    <m/>
    <m/>
    <m/>
    <m/>
    <m/>
    <m/>
    <m/>
    <m/>
    <m/>
    <m/>
    <m/>
    <m/>
  </r>
  <r>
    <x v="31"/>
    <s v="Chain 2_Depot 8_SKU 3_45566"/>
    <x v="11"/>
    <x v="1"/>
    <x v="1"/>
    <x v="4"/>
    <x v="6"/>
    <x v="9"/>
    <s v="Forecast"/>
    <m/>
    <n v="23526.76"/>
    <n v="24238.5624021"/>
    <n v="-748.96476973168797"/>
    <n v="23726.76"/>
    <n v="23326.76"/>
    <m/>
    <m/>
    <m/>
    <m/>
    <m/>
    <m/>
    <m/>
    <m/>
    <n v="1220"/>
    <n v="0"/>
    <n v="2231.5100000000002"/>
    <n v="1979.52"/>
    <n v="11.29"/>
    <n v="0"/>
    <m/>
    <m/>
    <m/>
    <m/>
    <m/>
    <m/>
    <m/>
    <m/>
    <m/>
    <m/>
    <m/>
    <m/>
  </r>
  <r>
    <x v="25"/>
    <s v="Chain 2_Depot 8_SKU 3_45597"/>
    <x v="11"/>
    <x v="1"/>
    <x v="1"/>
    <x v="4"/>
    <x v="6"/>
    <x v="9"/>
    <s v="Forecast"/>
    <m/>
    <n v="23832.29"/>
    <n v="24406.533227462201"/>
    <n v="712.18336484688405"/>
    <n v="24032.29"/>
    <n v="23632.29"/>
    <m/>
    <m/>
    <m/>
    <m/>
    <m/>
    <m/>
    <m/>
    <m/>
    <n v="2891"/>
    <n v="0"/>
    <n v="2235.02"/>
    <n v="1921.75"/>
    <n v="14.02"/>
    <n v="0"/>
    <m/>
    <m/>
    <m/>
    <m/>
    <m/>
    <m/>
    <m/>
    <m/>
    <m/>
    <m/>
    <m/>
    <m/>
  </r>
  <r>
    <x v="32"/>
    <s v="Chain 2_Depot 8_SKU 3_45627"/>
    <x v="11"/>
    <x v="1"/>
    <x v="1"/>
    <x v="4"/>
    <x v="6"/>
    <x v="9"/>
    <s v="Forecast"/>
    <m/>
    <n v="24101.37"/>
    <n v="24569.085639103101"/>
    <n v="-1467.5575417989201"/>
    <n v="24301.37"/>
    <n v="23901.37"/>
    <m/>
    <m/>
    <m/>
    <m/>
    <m/>
    <m/>
    <m/>
    <m/>
    <n v="1533"/>
    <n v="0"/>
    <n v="2212.56"/>
    <n v="1919.56"/>
    <n v="13.24"/>
    <n v="0"/>
    <m/>
    <m/>
    <m/>
    <m/>
    <m/>
    <m/>
    <m/>
    <m/>
    <m/>
    <m/>
    <m/>
    <m/>
  </r>
  <r>
    <x v="31"/>
    <s v="Chain 2_Depot 9_SKU 25_45566"/>
    <x v="12"/>
    <x v="1"/>
    <x v="1"/>
    <x v="5"/>
    <x v="3"/>
    <x v="11"/>
    <s v="Forecast"/>
    <m/>
    <n v="11948.02"/>
    <n v="0"/>
    <n v="0"/>
    <n v="12148.02"/>
    <n v="11748.02"/>
    <m/>
    <m/>
    <m/>
    <m/>
    <m/>
    <m/>
    <m/>
    <m/>
    <n v="1206"/>
    <n v="0"/>
    <n v="975.49"/>
    <n v="848.83"/>
    <n v="12.98"/>
    <n v="0"/>
    <m/>
    <m/>
    <m/>
    <m/>
    <m/>
    <m/>
    <m/>
    <m/>
    <m/>
    <m/>
    <m/>
    <m/>
  </r>
  <r>
    <x v="25"/>
    <s v="Chain 2_Depot 9_SKU 25_45597"/>
    <x v="12"/>
    <x v="1"/>
    <x v="1"/>
    <x v="5"/>
    <x v="3"/>
    <x v="11"/>
    <s v="Forecast"/>
    <m/>
    <n v="12308.26"/>
    <n v="0"/>
    <n v="0"/>
    <n v="12508.26"/>
    <n v="12108.26"/>
    <m/>
    <m/>
    <m/>
    <m/>
    <m/>
    <m/>
    <m/>
    <m/>
    <n v="2072"/>
    <n v="0"/>
    <n v="881.91"/>
    <n v="769.37"/>
    <n v="12.76"/>
    <n v="0"/>
    <m/>
    <m/>
    <m/>
    <m/>
    <m/>
    <m/>
    <m/>
    <m/>
    <m/>
    <m/>
    <m/>
    <m/>
  </r>
  <r>
    <x v="32"/>
    <s v="Chain 2_Depot 9_SKU 25_45627"/>
    <x v="12"/>
    <x v="1"/>
    <x v="1"/>
    <x v="5"/>
    <x v="3"/>
    <x v="11"/>
    <s v="Forecast"/>
    <m/>
    <n v="12084.96"/>
    <n v="0"/>
    <n v="0"/>
    <n v="12284.96"/>
    <n v="11884.96"/>
    <m/>
    <m/>
    <m/>
    <m/>
    <m/>
    <m/>
    <m/>
    <m/>
    <n v="1543"/>
    <n v="0"/>
    <n v="933"/>
    <n v="818.03"/>
    <n v="12.32"/>
    <n v="0"/>
    <m/>
    <m/>
    <m/>
    <m/>
    <m/>
    <m/>
    <m/>
    <m/>
    <m/>
    <m/>
    <m/>
    <m/>
  </r>
  <r>
    <x v="11"/>
    <s v="Chain 3_Depot 3_SKU 22_44958"/>
    <x v="13"/>
    <x v="0"/>
    <x v="2"/>
    <x v="6"/>
    <x v="7"/>
    <x v="12"/>
    <s v="History"/>
    <n v="6254.93"/>
    <m/>
    <n v="6343.5787587200002"/>
    <n v="-88.689813237975002"/>
    <m/>
    <m/>
    <n v="0"/>
    <n v="0"/>
    <n v="0"/>
    <m/>
    <m/>
    <b v="0"/>
    <n v="4921"/>
    <n v="0"/>
    <n v="1350"/>
    <s v="Stable"/>
    <n v="2265.4899999999998"/>
    <n v="2035.51"/>
    <n v="10.15"/>
    <n v="0"/>
    <m/>
    <m/>
    <m/>
    <m/>
    <m/>
    <m/>
    <m/>
    <m/>
    <m/>
    <m/>
    <m/>
    <m/>
  </r>
  <r>
    <x v="12"/>
    <s v="Chain 3_Depot 3_SKU 22_44986"/>
    <x v="13"/>
    <x v="0"/>
    <x v="2"/>
    <x v="6"/>
    <x v="7"/>
    <x v="12"/>
    <s v="History"/>
    <n v="6243.95"/>
    <m/>
    <n v="6738.8654213292702"/>
    <n v="-494.90295801898799"/>
    <m/>
    <m/>
    <n v="0"/>
    <n v="0"/>
    <n v="0"/>
    <m/>
    <m/>
    <b v="0"/>
    <n v="2580"/>
    <n v="1"/>
    <n v="1142"/>
    <s v="Stable"/>
    <n v="2277.9499999999998"/>
    <n v="1990.5"/>
    <n v="12.62"/>
    <n v="0"/>
    <m/>
    <m/>
    <m/>
    <m/>
    <m/>
    <m/>
    <m/>
    <m/>
    <m/>
    <m/>
    <m/>
    <m/>
  </r>
  <r>
    <x v="13"/>
    <s v="Chain 3_Depot 3_SKU 22_45017"/>
    <x v="13"/>
    <x v="0"/>
    <x v="2"/>
    <x v="6"/>
    <x v="7"/>
    <x v="12"/>
    <s v="History"/>
    <n v="7838.72"/>
    <m/>
    <n v="7158.0870431479498"/>
    <n v="680.67898925190502"/>
    <m/>
    <m/>
    <n v="1"/>
    <n v="0"/>
    <n v="0"/>
    <m/>
    <m/>
    <b v="0"/>
    <n v="4417"/>
    <n v="0"/>
    <n v="1966"/>
    <s v="Stable"/>
    <n v="2280.88"/>
    <n v="2042.59"/>
    <n v="10.45"/>
    <n v="0"/>
    <m/>
    <m/>
    <m/>
    <m/>
    <m/>
    <m/>
    <m/>
    <m/>
    <m/>
    <m/>
    <m/>
    <m/>
  </r>
  <r>
    <x v="14"/>
    <s v="Chain 3_Depot 3_SKU 22_45047"/>
    <x v="13"/>
    <x v="0"/>
    <x v="2"/>
    <x v="6"/>
    <x v="7"/>
    <x v="12"/>
    <s v="History"/>
    <n v="8188.27"/>
    <m/>
    <n v="7537.7380988813802"/>
    <n v="650.55182106016503"/>
    <m/>
    <m/>
    <n v="1"/>
    <n v="0"/>
    <n v="0"/>
    <m/>
    <m/>
    <b v="0"/>
    <n v="2532"/>
    <n v="0"/>
    <n v="1803"/>
    <s v="Stable"/>
    <n v="2281.5500000000002"/>
    <n v="2022.93"/>
    <n v="11.34"/>
    <n v="0"/>
    <m/>
    <m/>
    <m/>
    <m/>
    <m/>
    <m/>
    <m/>
    <m/>
    <m/>
    <m/>
    <m/>
    <m/>
  </r>
  <r>
    <x v="15"/>
    <s v="Chain 3_Depot 3_SKU 22_45078"/>
    <x v="13"/>
    <x v="0"/>
    <x v="2"/>
    <x v="6"/>
    <x v="7"/>
    <x v="12"/>
    <s v="History"/>
    <n v="8501.42"/>
    <m/>
    <n v="7924.5193728694503"/>
    <n v="576.86523347663206"/>
    <m/>
    <m/>
    <n v="1"/>
    <n v="0"/>
    <n v="0"/>
    <m/>
    <m/>
    <b v="0"/>
    <n v="3175"/>
    <n v="0"/>
    <n v="2421"/>
    <s v="Stable"/>
    <n v="2234.63"/>
    <n v="1932.96"/>
    <n v="13.5"/>
    <n v="0"/>
    <m/>
    <m/>
    <m/>
    <m/>
    <m/>
    <m/>
    <m/>
    <m/>
    <m/>
    <m/>
    <m/>
    <m/>
  </r>
  <r>
    <x v="16"/>
    <s v="Chain 3_Depot 3_SKU 22_45108"/>
    <x v="13"/>
    <x v="0"/>
    <x v="2"/>
    <x v="6"/>
    <x v="7"/>
    <x v="12"/>
    <s v="History"/>
    <n v="8403.24"/>
    <m/>
    <n v="8230.5588021364401"/>
    <n v="172.64017967357299"/>
    <m/>
    <m/>
    <n v="1"/>
    <n v="0"/>
    <n v="0"/>
    <m/>
    <m/>
    <b v="0"/>
    <n v="3125"/>
    <n v="0"/>
    <n v="2647"/>
    <s v="Stable"/>
    <n v="2227.64"/>
    <n v="1981.37"/>
    <n v="11.06"/>
    <n v="0"/>
    <m/>
    <m/>
    <m/>
    <m/>
    <m/>
    <m/>
    <m/>
    <m/>
    <m/>
    <m/>
    <m/>
    <m/>
  </r>
  <r>
    <x v="26"/>
    <s v="Chain 3_Depot 3_SKU 22_45139"/>
    <x v="13"/>
    <x v="0"/>
    <x v="2"/>
    <x v="6"/>
    <x v="7"/>
    <x v="12"/>
    <s v="History"/>
    <n v="9003.68"/>
    <m/>
    <n v="8135.5379870332999"/>
    <n v="868.176235947451"/>
    <m/>
    <m/>
    <n v="1"/>
    <n v="0"/>
    <n v="0"/>
    <m/>
    <m/>
    <b v="0"/>
    <n v="2898"/>
    <n v="0"/>
    <n v="1717"/>
    <s v="Stable"/>
    <n v="2344.4899999999998"/>
    <n v="2067.65"/>
    <n v="11.81"/>
    <n v="0"/>
    <m/>
    <m/>
    <m/>
    <m/>
    <m/>
    <m/>
    <m/>
    <m/>
    <m/>
    <m/>
    <m/>
    <m/>
  </r>
  <r>
    <x v="30"/>
    <s v="Chain 3_Depot 3_SKU 22_45474"/>
    <x v="13"/>
    <x v="0"/>
    <x v="2"/>
    <x v="6"/>
    <x v="7"/>
    <x v="12"/>
    <s v="History"/>
    <n v="7470.85"/>
    <n v="7028.13"/>
    <n v="7108.6716083524598"/>
    <n v="362.14189572598701"/>
    <n v="7228.13"/>
    <n v="6828.13"/>
    <n v="1"/>
    <n v="1"/>
    <n v="0"/>
    <m/>
    <m/>
    <b v="0"/>
    <n v="2553"/>
    <n v="0"/>
    <n v="2483"/>
    <s v="Stable"/>
    <n v="2215.73"/>
    <n v="2009.19"/>
    <n v="9.32"/>
    <n v="0"/>
    <m/>
    <m/>
    <m/>
    <m/>
    <m/>
    <m/>
    <m/>
    <m/>
    <m/>
    <m/>
    <m/>
    <m/>
  </r>
  <r>
    <x v="23"/>
    <s v="Chain 3_Depot 3_SKU 22_45505"/>
    <x v="13"/>
    <x v="0"/>
    <x v="2"/>
    <x v="6"/>
    <x v="7"/>
    <x v="12"/>
    <s v="History"/>
    <n v="7862.57"/>
    <n v="7273.13"/>
    <n v="7013.6481538292401"/>
    <n v="848.96156628347796"/>
    <n v="7473.13"/>
    <n v="7073.13"/>
    <n v="1"/>
    <n v="1"/>
    <n v="0"/>
    <m/>
    <m/>
    <b v="0"/>
    <n v="4835"/>
    <n v="1"/>
    <n v="1949"/>
    <s v="Stable"/>
    <n v="2317.19"/>
    <n v="2078.64"/>
    <n v="10.3"/>
    <n v="0"/>
    <m/>
    <m/>
    <m/>
    <m/>
    <m/>
    <m/>
    <m/>
    <m/>
    <m/>
    <m/>
    <m/>
    <m/>
  </r>
  <r>
    <x v="24"/>
    <s v="Chain 3_Depot 3_SKU 22_45536"/>
    <x v="13"/>
    <x v="0"/>
    <x v="2"/>
    <x v="6"/>
    <x v="7"/>
    <x v="12"/>
    <s v="History"/>
    <n v="7806.69"/>
    <n v="7302.94"/>
    <n v="6918.6246993060104"/>
    <n v="888.09613485149396"/>
    <n v="7502.94"/>
    <n v="7102.94"/>
    <n v="1"/>
    <n v="1"/>
    <n v="0"/>
    <m/>
    <m/>
    <b v="0"/>
    <n v="3091"/>
    <n v="1"/>
    <n v="2348"/>
    <s v="Stable"/>
    <n v="2333.4299999999998"/>
    <n v="2066.2800000000002"/>
    <n v="11.45"/>
    <n v="0"/>
    <m/>
    <m/>
    <m/>
    <m/>
    <m/>
    <m/>
    <m/>
    <m/>
    <m/>
    <m/>
    <m/>
    <m/>
  </r>
  <r>
    <x v="31"/>
    <s v="Chain 3_Depot 3_SKU 22_45566"/>
    <x v="13"/>
    <x v="0"/>
    <x v="2"/>
    <x v="6"/>
    <x v="7"/>
    <x v="12"/>
    <s v="Forecast"/>
    <m/>
    <n v="7528.81"/>
    <n v="6826.6665175093403"/>
    <n v="-50567.334142973101"/>
    <n v="7728.81"/>
    <n v="7328.81"/>
    <m/>
    <m/>
    <m/>
    <m/>
    <m/>
    <m/>
    <m/>
    <m/>
    <n v="1521"/>
    <n v="0"/>
    <n v="2244.81"/>
    <n v="1989.14"/>
    <n v="11.39"/>
    <n v="0"/>
    <m/>
    <m/>
    <m/>
    <m/>
    <m/>
    <m/>
    <m/>
    <m/>
    <m/>
    <m/>
    <m/>
    <m/>
  </r>
  <r>
    <x v="25"/>
    <s v="Chain 3_Depot 3_SKU 22_45597"/>
    <x v="13"/>
    <x v="0"/>
    <x v="2"/>
    <x v="6"/>
    <x v="7"/>
    <x v="12"/>
    <s v="Forecast"/>
    <m/>
    <n v="7568.41"/>
    <n v="6731.6430629861097"/>
    <n v="10288.314312184701"/>
    <n v="7768.41"/>
    <n v="7368.41"/>
    <m/>
    <m/>
    <m/>
    <m/>
    <m/>
    <m/>
    <m/>
    <m/>
    <n v="1488"/>
    <n v="0"/>
    <n v="2224.63"/>
    <n v="1963.75"/>
    <n v="11.73"/>
    <n v="0"/>
    <m/>
    <m/>
    <m/>
    <m/>
    <m/>
    <m/>
    <m/>
    <m/>
    <m/>
    <m/>
    <m/>
    <m/>
  </r>
  <r>
    <x v="32"/>
    <s v="Chain 3_Depot 3_SKU 22_45627"/>
    <x v="13"/>
    <x v="0"/>
    <x v="2"/>
    <x v="6"/>
    <x v="7"/>
    <x v="12"/>
    <s v="Forecast"/>
    <m/>
    <n v="7795.93"/>
    <n v="6639.6848811894397"/>
    <n v="47611.217329434097"/>
    <n v="7995.93"/>
    <n v="7595.93"/>
    <m/>
    <m/>
    <m/>
    <m/>
    <m/>
    <m/>
    <m/>
    <m/>
    <n v="2952"/>
    <n v="0"/>
    <n v="2243.5500000000002"/>
    <n v="1942.28"/>
    <n v="13.43"/>
    <n v="0"/>
    <m/>
    <m/>
    <m/>
    <m/>
    <m/>
    <m/>
    <m/>
    <m/>
    <m/>
    <m/>
    <m/>
    <m/>
  </r>
  <r>
    <x v="11"/>
    <s v="Chain 3_Depot 3_SKU 23_44958"/>
    <x v="14"/>
    <x v="0"/>
    <x v="2"/>
    <x v="6"/>
    <x v="7"/>
    <x v="13"/>
    <s v="History"/>
    <n v="18467.89"/>
    <m/>
    <n v="28179.396353399999"/>
    <n v="-9711.5284124331392"/>
    <m/>
    <m/>
    <n v="0"/>
    <n v="0"/>
    <n v="0"/>
    <m/>
    <m/>
    <b v="0"/>
    <n v="3483"/>
    <n v="0"/>
    <n v="2558"/>
    <s v="Stable"/>
    <n v="2095.5500000000002"/>
    <n v="1871.83"/>
    <n v="10.68"/>
    <n v="0"/>
    <m/>
    <m/>
    <m/>
    <m/>
    <m/>
    <m/>
    <m/>
    <m/>
    <m/>
    <m/>
    <m/>
    <m/>
  </r>
  <r>
    <x v="12"/>
    <s v="Chain 3_Depot 3_SKU 23_44986"/>
    <x v="14"/>
    <x v="0"/>
    <x v="2"/>
    <x v="6"/>
    <x v="7"/>
    <x v="13"/>
    <s v="History"/>
    <n v="18543.189999999999"/>
    <m/>
    <n v="27636.067712932101"/>
    <n v="-9092.8674267721199"/>
    <m/>
    <m/>
    <n v="0"/>
    <n v="0"/>
    <n v="0"/>
    <m/>
    <m/>
    <b v="0"/>
    <n v="3368"/>
    <n v="0"/>
    <n v="1015"/>
    <s v="Stable"/>
    <n v="2134.4499999999998"/>
    <n v="1873.38"/>
    <n v="12.23"/>
    <n v="0"/>
    <m/>
    <m/>
    <m/>
    <m/>
    <m/>
    <m/>
    <m/>
    <m/>
    <m/>
    <m/>
    <m/>
    <m/>
  </r>
  <r>
    <x v="13"/>
    <s v="Chain 3_Depot 3_SKU 23_45017"/>
    <x v="14"/>
    <x v="0"/>
    <x v="2"/>
    <x v="6"/>
    <x v="7"/>
    <x v="13"/>
    <s v="History"/>
    <n v="18940.05"/>
    <m/>
    <n v="28115.387939451099"/>
    <n v="-9175.3279452462393"/>
    <m/>
    <m/>
    <n v="0"/>
    <n v="0"/>
    <n v="0"/>
    <m/>
    <m/>
    <b v="1"/>
    <n v="2309"/>
    <n v="0"/>
    <n v="2557"/>
    <s v="Stable"/>
    <n v="2061.48"/>
    <n v="1850.87"/>
    <n v="10.220000000000001"/>
    <n v="0"/>
    <m/>
    <m/>
    <m/>
    <m/>
    <m/>
    <m/>
    <m/>
    <m/>
    <m/>
    <m/>
    <m/>
    <m/>
  </r>
  <r>
    <x v="14"/>
    <s v="Chain 3_Depot 3_SKU 23_45047"/>
    <x v="14"/>
    <x v="0"/>
    <x v="2"/>
    <x v="6"/>
    <x v="7"/>
    <x v="13"/>
    <s v="History"/>
    <n v="19121.37"/>
    <m/>
    <n v="28580.461555056299"/>
    <n v="-9459.1087039921604"/>
    <m/>
    <m/>
    <n v="0"/>
    <n v="0"/>
    <n v="0"/>
    <m/>
    <m/>
    <b v="0"/>
    <n v="3043"/>
    <n v="0"/>
    <n v="1996"/>
    <s v="Stable"/>
    <n v="2053.83"/>
    <n v="1859.78"/>
    <n v="9.4499999999999993"/>
    <n v="0"/>
    <m/>
    <m/>
    <m/>
    <m/>
    <m/>
    <m/>
    <m/>
    <m/>
    <m/>
    <m/>
    <m/>
    <m/>
  </r>
  <r>
    <x v="15"/>
    <s v="Chain 3_Depot 3_SKU 23_45078"/>
    <x v="14"/>
    <x v="0"/>
    <x v="2"/>
    <x v="6"/>
    <x v="7"/>
    <x v="13"/>
    <s v="History"/>
    <n v="19655.72"/>
    <m/>
    <n v="29061.396722490001"/>
    <n v="-9405.7459554994894"/>
    <m/>
    <m/>
    <n v="0"/>
    <n v="0"/>
    <n v="0"/>
    <m/>
    <m/>
    <b v="0"/>
    <n v="3670"/>
    <n v="0"/>
    <n v="2607"/>
    <s v="Stable"/>
    <n v="2050.52"/>
    <n v="1850.76"/>
    <n v="9.74"/>
    <n v="0"/>
    <m/>
    <m/>
    <m/>
    <m/>
    <m/>
    <m/>
    <m/>
    <m/>
    <m/>
    <m/>
    <m/>
    <m/>
  </r>
  <r>
    <x v="16"/>
    <s v="Chain 3_Depot 3_SKU 23_45108"/>
    <x v="14"/>
    <x v="0"/>
    <x v="2"/>
    <x v="6"/>
    <x v="7"/>
    <x v="13"/>
    <s v="History"/>
    <n v="20023.400000000001"/>
    <m/>
    <n v="29814.949918845901"/>
    <n v="-9791.3595563127492"/>
    <m/>
    <m/>
    <n v="0"/>
    <n v="0"/>
    <n v="0"/>
    <m/>
    <m/>
    <b v="0"/>
    <n v="3564"/>
    <n v="0"/>
    <n v="2839"/>
    <s v="Stable"/>
    <n v="2021.81"/>
    <n v="1804.62"/>
    <n v="10.74"/>
    <n v="0"/>
    <m/>
    <m/>
    <m/>
    <m/>
    <m/>
    <m/>
    <m/>
    <m/>
    <m/>
    <m/>
    <m/>
    <m/>
  </r>
  <r>
    <x v="26"/>
    <s v="Chain 3_Depot 3_SKU 23_45139"/>
    <x v="14"/>
    <x v="0"/>
    <x v="2"/>
    <x v="6"/>
    <x v="7"/>
    <x v="13"/>
    <s v="History"/>
    <n v="20162.259999999998"/>
    <m/>
    <n v="30613.813540252198"/>
    <n v="-10451.8646865269"/>
    <m/>
    <m/>
    <n v="0"/>
    <n v="0"/>
    <n v="0"/>
    <m/>
    <m/>
    <b v="0"/>
    <n v="3583"/>
    <n v="0"/>
    <n v="2469"/>
    <s v="Stable"/>
    <n v="2131.6999999999998"/>
    <n v="1898.33"/>
    <n v="10.95"/>
    <n v="0"/>
    <m/>
    <m/>
    <m/>
    <m/>
    <m/>
    <m/>
    <m/>
    <m/>
    <m/>
    <m/>
    <m/>
    <m/>
  </r>
  <r>
    <x v="30"/>
    <s v="Chain 3_Depot 3_SKU 23_45474"/>
    <x v="14"/>
    <x v="0"/>
    <x v="2"/>
    <x v="6"/>
    <x v="7"/>
    <x v="13"/>
    <s v="History"/>
    <n v="30919.82"/>
    <n v="20852.61"/>
    <n v="39248.346864390798"/>
    <n v="-8328.3591936610701"/>
    <n v="21052.61"/>
    <n v="20652.61"/>
    <n v="1"/>
    <n v="0"/>
    <n v="1"/>
    <m/>
    <m/>
    <b v="0"/>
    <n v="3567"/>
    <n v="0"/>
    <n v="1264"/>
    <s v="Stable"/>
    <n v="2053.0500000000002"/>
    <n v="1819.52"/>
    <n v="11.37"/>
    <n v="0"/>
    <m/>
    <m/>
    <m/>
    <m/>
    <m/>
    <m/>
    <m/>
    <m/>
    <m/>
    <m/>
    <m/>
    <m/>
  </r>
  <r>
    <x v="23"/>
    <s v="Chain 3_Depot 3_SKU 23_45505"/>
    <x v="14"/>
    <x v="0"/>
    <x v="2"/>
    <x v="6"/>
    <x v="7"/>
    <x v="13"/>
    <s v="History"/>
    <n v="25881.89"/>
    <n v="21406.15"/>
    <n v="40047.363376115798"/>
    <n v="-14165.7925201323"/>
    <n v="21606.15"/>
    <n v="21206.15"/>
    <n v="1"/>
    <n v="0"/>
    <n v="0"/>
    <m/>
    <m/>
    <b v="0"/>
    <n v="4316"/>
    <n v="1"/>
    <n v="2361"/>
    <s v="Stable"/>
    <n v="2053.27"/>
    <n v="1823.5"/>
    <n v="11.19"/>
    <n v="0"/>
    <m/>
    <m/>
    <m/>
    <m/>
    <m/>
    <m/>
    <m/>
    <m/>
    <m/>
    <m/>
    <m/>
    <m/>
  </r>
  <r>
    <x v="24"/>
    <s v="Chain 3_Depot 3_SKU 23_45536"/>
    <x v="14"/>
    <x v="0"/>
    <x v="2"/>
    <x v="6"/>
    <x v="7"/>
    <x v="13"/>
    <s v="History"/>
    <n v="26438.1"/>
    <n v="22051.06"/>
    <n v="40846.379887840798"/>
    <n v="-14408.0100513173"/>
    <n v="22251.06"/>
    <n v="21851.06"/>
    <n v="1"/>
    <n v="0"/>
    <n v="0"/>
    <m/>
    <m/>
    <b v="0"/>
    <n v="2413"/>
    <n v="0"/>
    <n v="2324"/>
    <s v="Stable"/>
    <n v="2091.98"/>
    <n v="1865.48"/>
    <n v="10.83"/>
    <n v="0"/>
    <m/>
    <m/>
    <m/>
    <m/>
    <m/>
    <m/>
    <m/>
    <m/>
    <m/>
    <m/>
    <m/>
    <m/>
  </r>
  <r>
    <x v="31"/>
    <s v="Chain 3_Depot 3_SKU 23_45566"/>
    <x v="14"/>
    <x v="0"/>
    <x v="2"/>
    <x v="6"/>
    <x v="7"/>
    <x v="13"/>
    <s v="Forecast"/>
    <m/>
    <n v="21820.42"/>
    <n v="41619.621673381102"/>
    <n v="157891.54563148701"/>
    <n v="22020.42"/>
    <n v="21620.42"/>
    <m/>
    <m/>
    <m/>
    <m/>
    <m/>
    <m/>
    <m/>
    <m/>
    <n v="1377"/>
    <n v="0"/>
    <n v="2075.29"/>
    <n v="1864.27"/>
    <n v="10.17"/>
    <n v="0"/>
    <m/>
    <m/>
    <m/>
    <m/>
    <m/>
    <m/>
    <m/>
    <m/>
    <m/>
    <m/>
    <m/>
    <m/>
  </r>
  <r>
    <x v="25"/>
    <s v="Chain 3_Depot 3_SKU 23_45597"/>
    <x v="14"/>
    <x v="0"/>
    <x v="2"/>
    <x v="6"/>
    <x v="7"/>
    <x v="13"/>
    <s v="Forecast"/>
    <m/>
    <n v="22331.24"/>
    <n v="42418.638185106101"/>
    <n v="-151159.72519576701"/>
    <n v="22531.24"/>
    <n v="22131.24"/>
    <m/>
    <m/>
    <m/>
    <m/>
    <m/>
    <m/>
    <m/>
    <m/>
    <n v="2198"/>
    <n v="0"/>
    <n v="2138.4"/>
    <n v="1903.77"/>
    <n v="10.97"/>
    <n v="0"/>
    <m/>
    <m/>
    <m/>
    <m/>
    <m/>
    <m/>
    <m/>
    <m/>
    <m/>
    <m/>
    <m/>
    <m/>
  </r>
  <r>
    <x v="32"/>
    <s v="Chain 3_Depot 3_SKU 23_45627"/>
    <x v="14"/>
    <x v="0"/>
    <x v="2"/>
    <x v="6"/>
    <x v="7"/>
    <x v="13"/>
    <s v="Forecast"/>
    <m/>
    <n v="22804.22"/>
    <n v="43191.879970646398"/>
    <n v="234932.47221291601"/>
    <n v="23004.22"/>
    <n v="22604.22"/>
    <m/>
    <m/>
    <m/>
    <m/>
    <m/>
    <m/>
    <m/>
    <m/>
    <n v="1962"/>
    <n v="0"/>
    <n v="2171.2600000000002"/>
    <n v="1913.91"/>
    <n v="11.85"/>
    <n v="0"/>
    <m/>
    <m/>
    <m/>
    <m/>
    <m/>
    <m/>
    <m/>
    <m/>
    <m/>
    <m/>
    <m/>
    <m/>
  </r>
  <r>
    <x v="0"/>
    <s v="Chain 3_Depot 3_SKU 3_44562"/>
    <x v="15"/>
    <x v="0"/>
    <x v="2"/>
    <x v="6"/>
    <x v="6"/>
    <x v="9"/>
    <s v="History"/>
    <n v="18373.12"/>
    <m/>
    <n v="20541.038283919999"/>
    <n v="-791.69531420454302"/>
    <m/>
    <m/>
    <n v="0"/>
    <n v="0"/>
    <n v="0"/>
    <m/>
    <m/>
    <b v="1"/>
    <n v="2110"/>
    <n v="2"/>
    <n v="2994"/>
    <s v="Weak"/>
    <n v="766.59"/>
    <n v="684.25"/>
    <n v="10.74"/>
    <n v="0"/>
    <m/>
    <m/>
    <m/>
    <m/>
    <m/>
    <m/>
    <m/>
    <m/>
    <m/>
    <m/>
    <m/>
    <m/>
  </r>
  <r>
    <x v="1"/>
    <s v="Chain 3_Depot 3_SKU 3_44593"/>
    <x v="15"/>
    <x v="0"/>
    <x v="2"/>
    <x v="6"/>
    <x v="6"/>
    <x v="9"/>
    <s v="History"/>
    <n v="18684.759999999998"/>
    <m/>
    <n v="20522.984838351"/>
    <n v="-1197.3481008794199"/>
    <m/>
    <m/>
    <n v="0"/>
    <n v="0"/>
    <n v="0"/>
    <m/>
    <m/>
    <b v="0"/>
    <n v="3493"/>
    <n v="0"/>
    <n v="1910"/>
    <s v="Weak"/>
    <n v="895.04"/>
    <n v="783.86"/>
    <n v="12.42"/>
    <n v="0"/>
    <m/>
    <m/>
    <m/>
    <m/>
    <m/>
    <m/>
    <m/>
    <m/>
    <m/>
    <m/>
    <m/>
    <m/>
  </r>
  <r>
    <x v="2"/>
    <s v="Chain 3_Depot 3_SKU 3_44621"/>
    <x v="15"/>
    <x v="0"/>
    <x v="2"/>
    <x v="6"/>
    <x v="6"/>
    <x v="9"/>
    <s v="History"/>
    <n v="18612.8"/>
    <m/>
    <n v="20506.6785005653"/>
    <n v="221.418702936469"/>
    <m/>
    <m/>
    <n v="0"/>
    <n v="0"/>
    <n v="0"/>
    <m/>
    <m/>
    <b v="0"/>
    <n v="4081"/>
    <n v="0"/>
    <n v="2943"/>
    <s v="Weak"/>
    <n v="863.49"/>
    <n v="771.7"/>
    <n v="10.63"/>
    <n v="0"/>
    <m/>
    <m/>
    <m/>
    <m/>
    <m/>
    <m/>
    <m/>
    <m/>
    <m/>
    <m/>
    <m/>
    <m/>
  </r>
  <r>
    <x v="3"/>
    <s v="Chain 3_Depot 3_SKU 3_44652"/>
    <x v="15"/>
    <x v="0"/>
    <x v="2"/>
    <x v="6"/>
    <x v="6"/>
    <x v="9"/>
    <s v="History"/>
    <n v="19124.400000000001"/>
    <m/>
    <n v="20488.6250548891"/>
    <n v="-434.29780161866199"/>
    <m/>
    <m/>
    <n v="0"/>
    <n v="0"/>
    <n v="0"/>
    <m/>
    <m/>
    <b v="0"/>
    <n v="2622"/>
    <n v="1"/>
    <n v="2573"/>
    <s v="Weak"/>
    <n v="924.38"/>
    <n v="830.62"/>
    <n v="10.14"/>
    <n v="0"/>
    <m/>
    <m/>
    <m/>
    <m/>
    <m/>
    <m/>
    <m/>
    <m/>
    <m/>
    <m/>
    <m/>
    <m/>
  </r>
  <r>
    <x v="4"/>
    <s v="Chain 3_Depot 3_SKU 3_44682"/>
    <x v="15"/>
    <x v="0"/>
    <x v="2"/>
    <x v="6"/>
    <x v="6"/>
    <x v="9"/>
    <s v="History"/>
    <n v="19431.61"/>
    <m/>
    <n v="20471.153978263901"/>
    <n v="-458.84756700365898"/>
    <m/>
    <m/>
    <n v="0"/>
    <n v="0"/>
    <n v="0"/>
    <m/>
    <m/>
    <b v="0"/>
    <n v="4795"/>
    <n v="1"/>
    <n v="2442"/>
    <s v="Weak"/>
    <n v="864.49"/>
    <n v="768.66"/>
    <n v="11.09"/>
    <n v="0"/>
    <m/>
    <m/>
    <m/>
    <m/>
    <m/>
    <m/>
    <m/>
    <m/>
    <m/>
    <m/>
    <m/>
    <m/>
  </r>
  <r>
    <x v="5"/>
    <s v="Chain 3_Depot 3_SKU 3_44713"/>
    <x v="15"/>
    <x v="0"/>
    <x v="2"/>
    <x v="6"/>
    <x v="6"/>
    <x v="9"/>
    <s v="History"/>
    <n v="19898.560000000001"/>
    <m/>
    <n v="20453.1005325406"/>
    <n v="-3106.2649615475598"/>
    <m/>
    <m/>
    <n v="0"/>
    <n v="0"/>
    <n v="0"/>
    <m/>
    <m/>
    <b v="0"/>
    <n v="4642"/>
    <n v="1"/>
    <n v="2629"/>
    <s v="Weak"/>
    <n v="942.05"/>
    <n v="851.4"/>
    <n v="9.6199999999999992"/>
    <n v="0"/>
    <m/>
    <m/>
    <m/>
    <m/>
    <m/>
    <m/>
    <m/>
    <m/>
    <m/>
    <m/>
    <m/>
    <m/>
  </r>
  <r>
    <x v="6"/>
    <s v="Chain 3_Depot 3_SKU 3_44743"/>
    <x v="15"/>
    <x v="0"/>
    <x v="2"/>
    <x v="6"/>
    <x v="6"/>
    <x v="9"/>
    <s v="History"/>
    <n v="19861.150000000001"/>
    <m/>
    <n v="20435.6294561912"/>
    <n v="-120.645322435005"/>
    <m/>
    <m/>
    <n v="0"/>
    <n v="0"/>
    <n v="0"/>
    <m/>
    <m/>
    <b v="0"/>
    <n v="4472"/>
    <n v="0"/>
    <n v="2118"/>
    <s v="Weak"/>
    <n v="843.18"/>
    <n v="739.7"/>
    <n v="12.27"/>
    <n v="0"/>
    <m/>
    <m/>
    <m/>
    <m/>
    <m/>
    <m/>
    <m/>
    <m/>
    <m/>
    <m/>
    <m/>
    <m/>
  </r>
  <r>
    <x v="7"/>
    <s v="Chain 3_Depot 3_SKU 3_44774"/>
    <x v="15"/>
    <x v="0"/>
    <x v="2"/>
    <x v="6"/>
    <x v="6"/>
    <x v="9"/>
    <s v="History"/>
    <n v="19747.099999999999"/>
    <m/>
    <n v="20417.576010782599"/>
    <n v="534.51261125382803"/>
    <m/>
    <m/>
    <n v="0"/>
    <n v="0"/>
    <n v="0"/>
    <m/>
    <m/>
    <b v="0"/>
    <n v="4660"/>
    <n v="0"/>
    <n v="2840"/>
    <s v="Weak"/>
    <n v="765.48"/>
    <n v="667.93"/>
    <n v="12.74"/>
    <n v="0"/>
    <m/>
    <m/>
    <m/>
    <m/>
    <m/>
    <m/>
    <m/>
    <m/>
    <m/>
    <m/>
    <m/>
    <m/>
  </r>
  <r>
    <x v="35"/>
    <s v="Chain 3_Depot 3_SKU 3_44805"/>
    <x v="15"/>
    <x v="0"/>
    <x v="2"/>
    <x v="6"/>
    <x v="6"/>
    <x v="9"/>
    <s v="History"/>
    <n v="19854.23"/>
    <m/>
    <n v="20399.522565180701"/>
    <n v="320.12296063400902"/>
    <m/>
    <m/>
    <n v="0"/>
    <n v="0"/>
    <n v="0"/>
    <m/>
    <m/>
    <b v="0"/>
    <n v="3541"/>
    <n v="0"/>
    <n v="2604"/>
    <s v="Weak"/>
    <n v="929.58"/>
    <n v="806.15"/>
    <n v="13.28"/>
    <n v="0"/>
    <m/>
    <m/>
    <m/>
    <m/>
    <m/>
    <m/>
    <m/>
    <m/>
    <m/>
    <m/>
    <m/>
    <m/>
  </r>
  <r>
    <x v="33"/>
    <s v="Chain 3_Depot 3_SKU 3_44835"/>
    <x v="15"/>
    <x v="0"/>
    <x v="2"/>
    <x v="6"/>
    <x v="6"/>
    <x v="9"/>
    <s v="History"/>
    <n v="19458.87"/>
    <m/>
    <n v="20382.0514886214"/>
    <n v="877.67710314272301"/>
    <m/>
    <m/>
    <n v="0"/>
    <n v="0"/>
    <n v="0"/>
    <m/>
    <m/>
    <b v="0"/>
    <n v="4739"/>
    <n v="1"/>
    <n v="1317"/>
    <s v="Weak"/>
    <n v="834.82"/>
    <n v="751.31"/>
    <n v="10"/>
    <n v="0"/>
    <m/>
    <m/>
    <m/>
    <m/>
    <m/>
    <m/>
    <m/>
    <m/>
    <m/>
    <m/>
    <m/>
    <m/>
  </r>
  <r>
    <x v="8"/>
    <s v="Chain 3_Depot 3_SKU 3_44866"/>
    <x v="15"/>
    <x v="0"/>
    <x v="2"/>
    <x v="6"/>
    <x v="6"/>
    <x v="9"/>
    <s v="History"/>
    <n v="20060.53"/>
    <m/>
    <n v="20363.998042780499"/>
    <n v="1276.12148997145"/>
    <m/>
    <m/>
    <n v="0"/>
    <n v="0"/>
    <n v="0"/>
    <m/>
    <m/>
    <b v="0"/>
    <n v="3305"/>
    <n v="0"/>
    <n v="2979"/>
    <s v="Weak"/>
    <n v="797.99"/>
    <n v="711.45"/>
    <n v="10.84"/>
    <n v="0"/>
    <m/>
    <m/>
    <m/>
    <m/>
    <m/>
    <m/>
    <m/>
    <m/>
    <m/>
    <m/>
    <m/>
    <m/>
  </r>
  <r>
    <x v="9"/>
    <s v="Chain 3_Depot 3_SKU 3_44896"/>
    <x v="15"/>
    <x v="0"/>
    <x v="2"/>
    <x v="6"/>
    <x v="6"/>
    <x v="9"/>
    <s v="History"/>
    <n v="20054.77"/>
    <m/>
    <n v="20346.526965705601"/>
    <n v="1359.27525108033"/>
    <m/>
    <m/>
    <n v="0"/>
    <n v="0"/>
    <n v="0"/>
    <m/>
    <m/>
    <b v="0"/>
    <n v="3761"/>
    <n v="0"/>
    <n v="1235"/>
    <s v="Weak"/>
    <n v="877.8"/>
    <n v="776.37"/>
    <n v="11.55"/>
    <n v="0"/>
    <m/>
    <m/>
    <m/>
    <m/>
    <m/>
    <m/>
    <m/>
    <m/>
    <m/>
    <m/>
    <m/>
    <m/>
  </r>
  <r>
    <x v="10"/>
    <s v="Chain 3_Depot 3_SKU 3_44927"/>
    <x v="15"/>
    <x v="0"/>
    <x v="2"/>
    <x v="6"/>
    <x v="6"/>
    <x v="9"/>
    <s v="History"/>
    <n v="20272.96"/>
    <m/>
    <n v="20328.470139456102"/>
    <n v="-1110.40429531925"/>
    <m/>
    <m/>
    <n v="0"/>
    <n v="0"/>
    <n v="0"/>
    <m/>
    <m/>
    <b v="0"/>
    <n v="3975"/>
    <n v="0"/>
    <n v="2969"/>
    <s v="Weak"/>
    <n v="865.04"/>
    <n v="767.99"/>
    <n v="11.22"/>
    <n v="0"/>
    <m/>
    <m/>
    <m/>
    <m/>
    <m/>
    <m/>
    <m/>
    <m/>
    <m/>
    <m/>
    <m/>
    <m/>
  </r>
  <r>
    <x v="11"/>
    <s v="Chain 3_Depot 3_SKU 3_44958"/>
    <x v="15"/>
    <x v="0"/>
    <x v="2"/>
    <x v="6"/>
    <x v="6"/>
    <x v="9"/>
    <s v="History"/>
    <n v="20165.259999999998"/>
    <m/>
    <n v="20310.4067623505"/>
    <n v="-905.70338294575402"/>
    <m/>
    <m/>
    <n v="0"/>
    <n v="0"/>
    <n v="0"/>
    <m/>
    <m/>
    <b v="0"/>
    <n v="4362"/>
    <n v="1"/>
    <n v="1333"/>
    <s v="Weak"/>
    <n v="918.16"/>
    <n v="802.24"/>
    <n v="12.62"/>
    <n v="0"/>
    <m/>
    <m/>
    <m/>
    <m/>
    <m/>
    <m/>
    <m/>
    <m/>
    <m/>
    <m/>
    <m/>
    <m/>
  </r>
  <r>
    <x v="12"/>
    <s v="Chain 3_Depot 3_SKU 3_44986"/>
    <x v="15"/>
    <x v="0"/>
    <x v="2"/>
    <x v="6"/>
    <x v="6"/>
    <x v="9"/>
    <s v="History"/>
    <n v="24098.48"/>
    <m/>
    <n v="20294.020506092598"/>
    <n v="-81.234189715094899"/>
    <m/>
    <m/>
    <n v="0"/>
    <n v="0"/>
    <n v="1"/>
    <m/>
    <m/>
    <b v="1"/>
    <n v="2876"/>
    <n v="0"/>
    <n v="2908"/>
    <s v="Weak"/>
    <n v="921.62"/>
    <n v="838.18"/>
    <n v="9.0500000000000007"/>
    <n v="0"/>
    <m/>
    <m/>
    <m/>
    <m/>
    <m/>
    <m/>
    <m/>
    <m/>
    <m/>
    <m/>
    <m/>
    <m/>
  </r>
  <r>
    <x v="13"/>
    <s v="Chain 3_Depot 3_SKU 3_45017"/>
    <x v="15"/>
    <x v="0"/>
    <x v="2"/>
    <x v="6"/>
    <x v="6"/>
    <x v="9"/>
    <s v="History"/>
    <n v="20612.93"/>
    <m/>
    <n v="20275.868427809"/>
    <n v="-113.4953542066"/>
    <m/>
    <m/>
    <n v="0"/>
    <n v="0"/>
    <n v="0"/>
    <m/>
    <m/>
    <b v="0"/>
    <n v="3989"/>
    <n v="0"/>
    <n v="1375"/>
    <s v="Weak"/>
    <n v="881.78"/>
    <n v="781.52"/>
    <n v="11.37"/>
    <n v="0"/>
    <m/>
    <m/>
    <m/>
    <m/>
    <m/>
    <m/>
    <m/>
    <m/>
    <m/>
    <m/>
    <m/>
    <m/>
  </r>
  <r>
    <x v="14"/>
    <s v="Chain 3_Depot 3_SKU 3_45047"/>
    <x v="15"/>
    <x v="0"/>
    <x v="2"/>
    <x v="6"/>
    <x v="6"/>
    <x v="9"/>
    <s v="History"/>
    <n v="20817.330000000002"/>
    <m/>
    <n v="20258.176117505998"/>
    <n v="-774.52501462523298"/>
    <m/>
    <m/>
    <n v="0"/>
    <n v="0"/>
    <n v="0"/>
    <m/>
    <m/>
    <b v="0"/>
    <n v="3312"/>
    <n v="0"/>
    <n v="2482"/>
    <s v="Weak"/>
    <n v="832.76"/>
    <n v="737.91"/>
    <n v="11.39"/>
    <n v="0"/>
    <m/>
    <m/>
    <m/>
    <m/>
    <m/>
    <m/>
    <m/>
    <m/>
    <m/>
    <m/>
    <m/>
    <m/>
  </r>
  <r>
    <x v="15"/>
    <s v="Chain 3_Depot 3_SKU 3_45078"/>
    <x v="15"/>
    <x v="0"/>
    <x v="2"/>
    <x v="6"/>
    <x v="6"/>
    <x v="9"/>
    <s v="History"/>
    <n v="21296.93"/>
    <m/>
    <n v="20239.643504751399"/>
    <n v="-2764.6101630848698"/>
    <m/>
    <m/>
    <n v="0"/>
    <n v="0"/>
    <n v="0"/>
    <m/>
    <m/>
    <b v="0"/>
    <n v="3460"/>
    <n v="0"/>
    <n v="2160"/>
    <s v="Weak"/>
    <n v="891.35"/>
    <n v="795.32"/>
    <n v="10.77"/>
    <n v="0"/>
    <m/>
    <m/>
    <m/>
    <m/>
    <m/>
    <m/>
    <m/>
    <m/>
    <m/>
    <m/>
    <m/>
    <m/>
  </r>
  <r>
    <x v="16"/>
    <s v="Chain 3_Depot 3_SKU 3_45108"/>
    <x v="15"/>
    <x v="0"/>
    <x v="2"/>
    <x v="6"/>
    <x v="6"/>
    <x v="9"/>
    <s v="History"/>
    <n v="21435.360000000001"/>
    <m/>
    <n v="20221.682347302602"/>
    <n v="-496.62295566734599"/>
    <m/>
    <m/>
    <n v="0"/>
    <n v="0"/>
    <n v="0"/>
    <m/>
    <m/>
    <b v="0"/>
    <n v="4709"/>
    <n v="0"/>
    <n v="2953"/>
    <s v="Weak"/>
    <n v="885.26"/>
    <n v="787.72"/>
    <n v="11.02"/>
    <n v="0"/>
    <m/>
    <m/>
    <m/>
    <m/>
    <m/>
    <m/>
    <m/>
    <m/>
    <m/>
    <m/>
    <m/>
    <m/>
  </r>
  <r>
    <x v="26"/>
    <s v="Chain 3_Depot 3_SKU 3_45139"/>
    <x v="15"/>
    <x v="0"/>
    <x v="2"/>
    <x v="6"/>
    <x v="6"/>
    <x v="9"/>
    <s v="History"/>
    <n v="22352.58"/>
    <m/>
    <n v="20203.110155701801"/>
    <n v="901.47174407420903"/>
    <m/>
    <m/>
    <n v="0"/>
    <n v="0"/>
    <n v="0"/>
    <m/>
    <m/>
    <b v="0"/>
    <n v="4324"/>
    <n v="0"/>
    <n v="1587"/>
    <s v="Weak"/>
    <n v="905.45"/>
    <n v="803.36"/>
    <n v="11.28"/>
    <n v="0"/>
    <m/>
    <m/>
    <m/>
    <m/>
    <m/>
    <m/>
    <m/>
    <m/>
    <m/>
    <m/>
    <m/>
    <m/>
  </r>
  <r>
    <x v="27"/>
    <s v="Chain 3_Depot 3_SKU 3_45170"/>
    <x v="15"/>
    <x v="0"/>
    <x v="2"/>
    <x v="6"/>
    <x v="6"/>
    <x v="9"/>
    <s v="History"/>
    <n v="22072.42"/>
    <m/>
    <n v="20184.431682406401"/>
    <n v="-36.390322747261798"/>
    <m/>
    <m/>
    <n v="0"/>
    <n v="0"/>
    <n v="0"/>
    <m/>
    <m/>
    <b v="0"/>
    <n v="3733"/>
    <n v="0"/>
    <n v="2570"/>
    <s v="Weak"/>
    <n v="833.26"/>
    <n v="730.85"/>
    <n v="12.29"/>
    <n v="0"/>
    <m/>
    <m/>
    <m/>
    <m/>
    <m/>
    <m/>
    <m/>
    <m/>
    <m/>
    <m/>
    <m/>
    <m/>
  </r>
  <r>
    <x v="34"/>
    <s v="Chain 3_Depot 3_SKU 3_45200"/>
    <x v="15"/>
    <x v="0"/>
    <x v="2"/>
    <x v="6"/>
    <x v="6"/>
    <x v="9"/>
    <s v="History"/>
    <n v="23201.72"/>
    <m/>
    <n v="20166.195170405601"/>
    <n v="1222.30994885223"/>
    <m/>
    <m/>
    <n v="0"/>
    <n v="0"/>
    <n v="0"/>
    <m/>
    <m/>
    <b v="0"/>
    <n v="3605"/>
    <n v="0"/>
    <n v="1512"/>
    <s v="Weak"/>
    <n v="856.98"/>
    <n v="762.48"/>
    <n v="11.03"/>
    <n v="0"/>
    <m/>
    <m/>
    <m/>
    <m/>
    <m/>
    <m/>
    <m/>
    <m/>
    <m/>
    <m/>
    <m/>
    <m/>
  </r>
  <r>
    <x v="28"/>
    <s v="Chain 3_Depot 3_SKU 3_45231"/>
    <x v="15"/>
    <x v="0"/>
    <x v="2"/>
    <x v="6"/>
    <x v="6"/>
    <x v="9"/>
    <s v="History"/>
    <n v="22669.71"/>
    <m/>
    <n v="20147.327935945599"/>
    <n v="927.16865976659597"/>
    <m/>
    <m/>
    <n v="0"/>
    <n v="0"/>
    <n v="0"/>
    <m/>
    <m/>
    <b v="0"/>
    <n v="3526"/>
    <n v="0"/>
    <n v="2319"/>
    <s v="Weak"/>
    <n v="902.47"/>
    <n v="815.68"/>
    <n v="9.6199999999999992"/>
    <n v="0"/>
    <m/>
    <m/>
    <m/>
    <m/>
    <m/>
    <m/>
    <m/>
    <m/>
    <m/>
    <m/>
    <m/>
    <m/>
  </r>
  <r>
    <x v="29"/>
    <s v="Chain 3_Depot 3_SKU 3_45261"/>
    <x v="15"/>
    <x v="0"/>
    <x v="2"/>
    <x v="6"/>
    <x v="6"/>
    <x v="9"/>
    <s v="History"/>
    <n v="23486.05"/>
    <m/>
    <n v="20128.940195170599"/>
    <n v="1709.0076383881401"/>
    <m/>
    <m/>
    <n v="0"/>
    <n v="0"/>
    <n v="0"/>
    <m/>
    <m/>
    <b v="0"/>
    <n v="4671"/>
    <n v="0"/>
    <n v="2343"/>
    <s v="Weak"/>
    <n v="939.37"/>
    <n v="843.99"/>
    <n v="10.15"/>
    <n v="0"/>
    <m/>
    <m/>
    <m/>
    <m/>
    <m/>
    <m/>
    <m/>
    <m/>
    <m/>
    <m/>
    <m/>
    <m/>
  </r>
  <r>
    <x v="17"/>
    <s v="Chain 3_Depot 3_SKU 3_45292"/>
    <x v="15"/>
    <x v="0"/>
    <x v="2"/>
    <x v="6"/>
    <x v="6"/>
    <x v="9"/>
    <s v="History"/>
    <n v="19032.16"/>
    <m/>
    <n v="20109.886036575099"/>
    <n v="-1429.0815214788199"/>
    <m/>
    <m/>
    <n v="0"/>
    <n v="1"/>
    <n v="0"/>
    <m/>
    <m/>
    <b v="0"/>
    <n v="4563"/>
    <n v="0"/>
    <n v="1917"/>
    <s v="Weak"/>
    <n v="925.3"/>
    <n v="833.64"/>
    <n v="9.91"/>
    <n v="0"/>
    <m/>
    <m/>
    <m/>
    <m/>
    <m/>
    <m/>
    <m/>
    <m/>
    <m/>
    <m/>
    <m/>
    <m/>
  </r>
  <r>
    <x v="18"/>
    <s v="Chain 3_Depot 3_SKU 3_45323"/>
    <x v="15"/>
    <x v="0"/>
    <x v="2"/>
    <x v="6"/>
    <x v="6"/>
    <x v="9"/>
    <s v="History"/>
    <n v="19322.580000000002"/>
    <m/>
    <n v="20090.8318770388"/>
    <n v="-613.20290922497804"/>
    <m/>
    <m/>
    <n v="0"/>
    <n v="1"/>
    <n v="0"/>
    <m/>
    <m/>
    <b v="0"/>
    <n v="4890"/>
    <n v="0"/>
    <n v="2595"/>
    <s v="Weak"/>
    <n v="881.1"/>
    <n v="775.28"/>
    <n v="12.01"/>
    <n v="0"/>
    <m/>
    <m/>
    <m/>
    <m/>
    <m/>
    <m/>
    <m/>
    <m/>
    <m/>
    <m/>
    <m/>
    <m/>
  </r>
  <r>
    <x v="19"/>
    <s v="Chain 3_Depot 3_SKU 3_45352"/>
    <x v="15"/>
    <x v="0"/>
    <x v="2"/>
    <x v="6"/>
    <x v="6"/>
    <x v="9"/>
    <s v="History"/>
    <n v="19131.89"/>
    <m/>
    <n v="20073.007017866599"/>
    <n v="827.84078418315903"/>
    <m/>
    <m/>
    <n v="0"/>
    <n v="1"/>
    <n v="0"/>
    <m/>
    <m/>
    <b v="0"/>
    <n v="4397"/>
    <n v="0"/>
    <n v="2855"/>
    <s v="Weak"/>
    <n v="852.63"/>
    <n v="746.15"/>
    <n v="12.49"/>
    <n v="0"/>
    <m/>
    <m/>
    <m/>
    <m/>
    <m/>
    <m/>
    <m/>
    <m/>
    <m/>
    <m/>
    <m/>
    <m/>
  </r>
  <r>
    <x v="20"/>
    <s v="Chain 3_Depot 3_SKU 3_45383"/>
    <x v="15"/>
    <x v="0"/>
    <x v="2"/>
    <x v="6"/>
    <x v="6"/>
    <x v="9"/>
    <s v="History"/>
    <n v="19552.47"/>
    <m/>
    <n v="20053.952858061799"/>
    <n v="-1075.0604629371701"/>
    <m/>
    <m/>
    <n v="0"/>
    <n v="1"/>
    <n v="0"/>
    <m/>
    <m/>
    <b v="0"/>
    <n v="3630"/>
    <n v="0"/>
    <n v="2372"/>
    <s v="Weak"/>
    <n v="897.19"/>
    <n v="792.89"/>
    <n v="11.62"/>
    <n v="0"/>
    <m/>
    <m/>
    <m/>
    <m/>
    <m/>
    <m/>
    <m/>
    <m/>
    <m/>
    <m/>
    <m/>
    <m/>
  </r>
  <r>
    <x v="21"/>
    <s v="Chain 3_Depot 3_SKU 3_45413"/>
    <x v="15"/>
    <x v="0"/>
    <x v="2"/>
    <x v="6"/>
    <x v="6"/>
    <x v="9"/>
    <s v="History"/>
    <n v="19318.900000000001"/>
    <m/>
    <n v="20035.5133485734"/>
    <n v="172.16811862643499"/>
    <m/>
    <m/>
    <n v="0"/>
    <n v="1"/>
    <n v="0"/>
    <m/>
    <m/>
    <b v="0"/>
    <n v="4870"/>
    <n v="0"/>
    <n v="2863"/>
    <s v="Weak"/>
    <n v="822.43"/>
    <n v="797.76"/>
    <n v="3"/>
    <n v="1"/>
    <m/>
    <m/>
    <m/>
    <m/>
    <m/>
    <m/>
    <m/>
    <m/>
    <m/>
    <m/>
    <m/>
    <m/>
  </r>
  <r>
    <x v="22"/>
    <s v="Chain 3_Depot 3_SKU 3_45444"/>
    <x v="15"/>
    <x v="0"/>
    <x v="2"/>
    <x v="6"/>
    <x v="6"/>
    <x v="9"/>
    <s v="History"/>
    <n v="9861.34"/>
    <m/>
    <n v="20016.4591887686"/>
    <n v="-3787.1090445871"/>
    <m/>
    <m/>
    <n v="0"/>
    <n v="1"/>
    <n v="1"/>
    <m/>
    <m/>
    <b v="0"/>
    <n v="3160"/>
    <n v="0"/>
    <n v="2802"/>
    <s v="Weak"/>
    <n v="836.15"/>
    <n v="749.15"/>
    <n v="10.4"/>
    <n v="0"/>
    <m/>
    <m/>
    <m/>
    <m/>
    <m/>
    <m/>
    <m/>
    <m/>
    <m/>
    <m/>
    <m/>
    <m/>
  </r>
  <r>
    <x v="30"/>
    <s v="Chain 3_Depot 3_SKU 3_45474"/>
    <x v="15"/>
    <x v="0"/>
    <x v="2"/>
    <x v="6"/>
    <x v="6"/>
    <x v="9"/>
    <s v="History"/>
    <n v="19499.63"/>
    <n v="23795.93"/>
    <n v="19998.0196792801"/>
    <n v="631.14603391585695"/>
    <n v="23995.93"/>
    <n v="23595.93"/>
    <n v="0"/>
    <n v="1"/>
    <n v="0"/>
    <m/>
    <m/>
    <b v="0"/>
    <n v="2758"/>
    <n v="2"/>
    <n v="1872"/>
    <s v="Weak"/>
    <n v="952.49"/>
    <n v="826.84"/>
    <n v="13.19"/>
    <n v="0"/>
    <m/>
    <m/>
    <m/>
    <m/>
    <m/>
    <m/>
    <m/>
    <m/>
    <m/>
    <m/>
    <m/>
    <m/>
  </r>
  <r>
    <x v="23"/>
    <s v="Chain 3_Depot 3_SKU 3_45505"/>
    <x v="15"/>
    <x v="0"/>
    <x v="2"/>
    <x v="6"/>
    <x v="6"/>
    <x v="9"/>
    <s v="History"/>
    <n v="19706.05"/>
    <n v="23949.95"/>
    <n v="19978.965519475401"/>
    <n v="-199.22303380671499"/>
    <n v="24149.95"/>
    <n v="23749.95"/>
    <n v="0"/>
    <n v="1"/>
    <n v="0"/>
    <m/>
    <m/>
    <b v="0"/>
    <n v="4946"/>
    <n v="0"/>
    <n v="2252"/>
    <s v="Weak"/>
    <n v="897.1"/>
    <n v="807.66"/>
    <n v="9.9700000000000006"/>
    <n v="0"/>
    <m/>
    <m/>
    <m/>
    <m/>
    <m/>
    <m/>
    <m/>
    <m/>
    <m/>
    <m/>
    <m/>
    <m/>
  </r>
  <r>
    <x v="24"/>
    <s v="Chain 3_Depot 3_SKU 3_45536"/>
    <x v="15"/>
    <x v="0"/>
    <x v="2"/>
    <x v="6"/>
    <x v="6"/>
    <x v="9"/>
    <s v="History"/>
    <n v="19962.25"/>
    <n v="24246.23"/>
    <n v="19959.911359670601"/>
    <n v="1032.1396880975899"/>
    <n v="24446.23"/>
    <n v="24046.23"/>
    <n v="0"/>
    <n v="1"/>
    <n v="0"/>
    <m/>
    <m/>
    <b v="0"/>
    <n v="2242"/>
    <n v="1"/>
    <n v="1269"/>
    <s v="Weak"/>
    <n v="859.62"/>
    <n v="759.42"/>
    <n v="11.66"/>
    <n v="0"/>
    <m/>
    <m/>
    <m/>
    <m/>
    <m/>
    <m/>
    <m/>
    <m/>
    <m/>
    <m/>
    <m/>
    <m/>
  </r>
  <r>
    <x v="31"/>
    <s v="Chain 3_Depot 3_SKU 3_45566"/>
    <x v="15"/>
    <x v="0"/>
    <x v="2"/>
    <x v="6"/>
    <x v="6"/>
    <x v="9"/>
    <s v="Forecast"/>
    <m/>
    <n v="24236.84"/>
    <n v="19941.471850182101"/>
    <n v="188.04824027831501"/>
    <n v="24436.84"/>
    <n v="24036.84"/>
    <m/>
    <m/>
    <m/>
    <m/>
    <m/>
    <m/>
    <m/>
    <m/>
    <n v="2851"/>
    <n v="0"/>
    <n v="918.46"/>
    <n v="808.92"/>
    <n v="11.93"/>
    <n v="0"/>
    <m/>
    <m/>
    <m/>
    <m/>
    <m/>
    <m/>
    <m/>
    <m/>
    <m/>
    <m/>
    <m/>
    <m/>
  </r>
  <r>
    <x v="25"/>
    <s v="Chain 3_Depot 3_SKU 3_45597"/>
    <x v="15"/>
    <x v="0"/>
    <x v="2"/>
    <x v="6"/>
    <x v="6"/>
    <x v="9"/>
    <s v="Forecast"/>
    <m/>
    <n v="24460.32"/>
    <n v="19922.417690377399"/>
    <n v="1972.99221734197"/>
    <n v="24660.32"/>
    <n v="24260.32"/>
    <m/>
    <m/>
    <m/>
    <m/>
    <m/>
    <m/>
    <m/>
    <m/>
    <n v="1797"/>
    <n v="0"/>
    <n v="941.35"/>
    <n v="823.57"/>
    <n v="12.51"/>
    <n v="0"/>
    <m/>
    <m/>
    <m/>
    <m/>
    <m/>
    <m/>
    <m/>
    <m/>
    <m/>
    <m/>
    <m/>
    <m/>
  </r>
  <r>
    <x v="32"/>
    <s v="Chain 3_Depot 3_SKU 3_45627"/>
    <x v="15"/>
    <x v="0"/>
    <x v="2"/>
    <x v="6"/>
    <x v="6"/>
    <x v="9"/>
    <s v="Forecast"/>
    <m/>
    <n v="24785.95"/>
    <n v="19903.978180888898"/>
    <n v="658.77766444200699"/>
    <n v="24985.95"/>
    <n v="24585.95"/>
    <m/>
    <m/>
    <m/>
    <m/>
    <m/>
    <m/>
    <m/>
    <m/>
    <n v="2314"/>
    <n v="0"/>
    <n v="854.77"/>
    <n v="742.33"/>
    <n v="13.15"/>
    <n v="0"/>
    <m/>
    <m/>
    <m/>
    <m/>
    <m/>
    <m/>
    <m/>
    <m/>
    <m/>
    <m/>
    <m/>
    <m/>
  </r>
  <r>
    <x v="0"/>
    <s v="Chain 3_Depot 3_SKU 9_44562"/>
    <x v="16"/>
    <x v="0"/>
    <x v="2"/>
    <x v="6"/>
    <x v="6"/>
    <x v="14"/>
    <s v="History"/>
    <n v="2790"/>
    <m/>
    <n v="962.00396999999998"/>
    <n v="1601.3038517919799"/>
    <m/>
    <m/>
    <n v="0"/>
    <n v="0"/>
    <n v="0"/>
    <n v="6"/>
    <m/>
    <b v="0"/>
    <n v="2353"/>
    <n v="0"/>
    <n v="2189"/>
    <s v="Stable"/>
    <n v="1881.92"/>
    <n v="1734.6139999999998"/>
    <n v="8.4921486855288997E-2"/>
    <n v="0"/>
    <m/>
    <m/>
    <m/>
    <m/>
    <m/>
    <m/>
    <m/>
    <m/>
    <m/>
    <m/>
    <m/>
    <m/>
  </r>
  <r>
    <x v="1"/>
    <s v="Chain 3_Depot 3_SKU 9_44593"/>
    <x v="16"/>
    <x v="0"/>
    <x v="2"/>
    <x v="6"/>
    <x v="6"/>
    <x v="14"/>
    <s v="History"/>
    <n v="1170"/>
    <m/>
    <n v="1073.89390943531"/>
    <n v="-1910.37165201114"/>
    <m/>
    <m/>
    <n v="0"/>
    <n v="0"/>
    <n v="0"/>
    <n v="6"/>
    <m/>
    <b v="0"/>
    <n v="3098"/>
    <n v="1"/>
    <n v="2189"/>
    <s v="Stable"/>
    <n v="1881.92"/>
    <n v="1741.0194999999999"/>
    <n v="8.0929880452229375E-2"/>
    <n v="0"/>
    <m/>
    <m/>
    <m/>
    <m/>
    <m/>
    <m/>
    <m/>
    <m/>
    <m/>
    <m/>
    <m/>
    <m/>
  </r>
  <r>
    <x v="2"/>
    <s v="Chain 3_Depot 3_SKU 9_44621"/>
    <x v="16"/>
    <x v="0"/>
    <x v="2"/>
    <x v="6"/>
    <x v="6"/>
    <x v="14"/>
    <s v="History"/>
    <n v="1440"/>
    <m/>
    <n v="1174.9557902269"/>
    <n v="1372.7666766160701"/>
    <m/>
    <m/>
    <n v="0"/>
    <n v="0"/>
    <n v="0"/>
    <n v="6"/>
    <m/>
    <b v="0"/>
    <n v="4920"/>
    <n v="0"/>
    <n v="2189"/>
    <s v="Stable"/>
    <n v="1881.92"/>
    <n v="1757.683"/>
    <n v="7.0682256129233734E-2"/>
    <n v="0"/>
    <m/>
    <m/>
    <m/>
    <m/>
    <m/>
    <m/>
    <m/>
    <m/>
    <m/>
    <m/>
    <m/>
    <m/>
  </r>
  <r>
    <x v="3"/>
    <s v="Chain 3_Depot 3_SKU 9_44652"/>
    <x v="16"/>
    <x v="0"/>
    <x v="2"/>
    <x v="6"/>
    <x v="6"/>
    <x v="14"/>
    <s v="History"/>
    <n v="450"/>
    <m/>
    <n v="1286.84572968457"/>
    <n v="2139.79267154032"/>
    <m/>
    <m/>
    <n v="0"/>
    <n v="0"/>
    <n v="0"/>
    <n v="6"/>
    <m/>
    <b v="0"/>
    <n v="3739"/>
    <n v="0"/>
    <n v="2189"/>
    <s v="Stable"/>
    <n v="1881.92"/>
    <n v="1737.0864999999999"/>
    <n v="8.3377252658402456E-2"/>
    <n v="0"/>
    <m/>
    <m/>
    <m/>
    <m/>
    <m/>
    <m/>
    <m/>
    <m/>
    <m/>
    <m/>
    <m/>
    <m/>
  </r>
  <r>
    <x v="4"/>
    <s v="Chain 3_Depot 3_SKU 9_44682"/>
    <x v="16"/>
    <x v="0"/>
    <x v="2"/>
    <x v="6"/>
    <x v="6"/>
    <x v="14"/>
    <s v="History"/>
    <n v="1575"/>
    <m/>
    <n v="1395.1263162398"/>
    <n v="-1160.3605377367501"/>
    <m/>
    <m/>
    <n v="0"/>
    <n v="0"/>
    <n v="0"/>
    <n v="6"/>
    <m/>
    <b v="0"/>
    <n v="3464"/>
    <n v="0"/>
    <n v="2189"/>
    <s v="Stable"/>
    <n v="1881.92"/>
    <n v="1784.3169999999998"/>
    <n v="5.4700482033181563E-2"/>
    <n v="0"/>
    <m/>
    <m/>
    <m/>
    <m/>
    <m/>
    <m/>
    <m/>
    <m/>
    <m/>
    <m/>
    <m/>
    <m/>
  </r>
  <r>
    <x v="5"/>
    <s v="Chain 3_Depot 3_SKU 9_44713"/>
    <x v="16"/>
    <x v="0"/>
    <x v="2"/>
    <x v="6"/>
    <x v="6"/>
    <x v="14"/>
    <s v="History"/>
    <n v="450"/>
    <m/>
    <n v="1507.0162556796199"/>
    <n v="-1540.45194427212"/>
    <m/>
    <m/>
    <n v="0"/>
    <n v="0"/>
    <n v="0"/>
    <n v="6"/>
    <m/>
    <b v="0"/>
    <n v="2990"/>
    <n v="0"/>
    <n v="2189"/>
    <s v="Stable"/>
    <n v="1881.92"/>
    <n v="1804.81"/>
    <n v="4.2724718945484685E-2"/>
    <n v="0"/>
    <m/>
    <m/>
    <m/>
    <m/>
    <m/>
    <m/>
    <m/>
    <m/>
    <m/>
    <m/>
    <m/>
    <m/>
  </r>
  <r>
    <x v="6"/>
    <s v="Chain 3_Depot 3_SKU 9_44743"/>
    <x v="16"/>
    <x v="0"/>
    <x v="2"/>
    <x v="6"/>
    <x v="6"/>
    <x v="14"/>
    <s v="History"/>
    <n v="450"/>
    <m/>
    <n v="1615.29684222433"/>
    <n v="-2150.3678955546502"/>
    <m/>
    <m/>
    <n v="0"/>
    <n v="0"/>
    <n v="0"/>
    <n v="6"/>
    <m/>
    <b v="0"/>
    <n v="3264"/>
    <n v="1"/>
    <n v="2189"/>
    <s v="Stable"/>
    <n v="1881.92"/>
    <n v="1716.9844999999998"/>
    <n v="9.6061146737201453E-2"/>
    <n v="0"/>
    <m/>
    <m/>
    <m/>
    <m/>
    <m/>
    <m/>
    <m/>
    <m/>
    <m/>
    <m/>
    <m/>
    <m/>
  </r>
  <r>
    <x v="7"/>
    <s v="Chain 3_Depot 3_SKU 9_44774"/>
    <x v="16"/>
    <x v="0"/>
    <x v="2"/>
    <x v="6"/>
    <x v="6"/>
    <x v="14"/>
    <s v="History"/>
    <n v="540"/>
    <m/>
    <n v="1727.1867816408501"/>
    <n v="-1475.7389669716599"/>
    <m/>
    <m/>
    <n v="0"/>
    <n v="0"/>
    <n v="0"/>
    <n v="6"/>
    <m/>
    <b v="0"/>
    <n v="3884"/>
    <n v="1"/>
    <n v="2189"/>
    <s v="Stable"/>
    <n v="1881.92"/>
    <n v="1824.4289999999999"/>
    <n v="3.1511777109440864E-2"/>
    <n v="0"/>
    <m/>
    <m/>
    <m/>
    <m/>
    <m/>
    <m/>
    <m/>
    <m/>
    <m/>
    <m/>
    <m/>
    <m/>
  </r>
  <r>
    <x v="35"/>
    <s v="Chain 3_Depot 3_SKU 9_44805"/>
    <x v="16"/>
    <x v="0"/>
    <x v="2"/>
    <x v="6"/>
    <x v="6"/>
    <x v="14"/>
    <s v="History"/>
    <n v="1305"/>
    <m/>
    <n v="1839.0767210494"/>
    <n v="574.74768150723696"/>
    <m/>
    <m/>
    <n v="0"/>
    <n v="0"/>
    <n v="0"/>
    <n v="6"/>
    <m/>
    <b v="0"/>
    <n v="3809"/>
    <n v="0"/>
    <n v="2189"/>
    <s v="Stable"/>
    <n v="1881.92"/>
    <n v="1727.1389999999997"/>
    <n v="8.9616990873346181E-2"/>
    <n v="0"/>
    <m/>
    <m/>
    <m/>
    <m/>
    <m/>
    <m/>
    <m/>
    <m/>
    <m/>
    <m/>
    <m/>
    <m/>
  </r>
  <r>
    <x v="33"/>
    <s v="Chain 3_Depot 3_SKU 9_44835"/>
    <x v="16"/>
    <x v="0"/>
    <x v="2"/>
    <x v="6"/>
    <x v="6"/>
    <x v="14"/>
    <s v="History"/>
    <n v="405"/>
    <m/>
    <n v="1947.35730759019"/>
    <n v="-79.146682046747898"/>
    <m/>
    <m/>
    <n v="0"/>
    <n v="0"/>
    <n v="0"/>
    <n v="6"/>
    <m/>
    <b v="0"/>
    <n v="4341"/>
    <n v="0"/>
    <n v="2189"/>
    <s v="Stable"/>
    <n v="1881.92"/>
    <n v="1774.105"/>
    <n v="6.0771487595153717E-2"/>
    <n v="0"/>
    <m/>
    <m/>
    <m/>
    <m/>
    <m/>
    <m/>
    <m/>
    <m/>
    <m/>
    <m/>
    <m/>
    <m/>
  </r>
  <r>
    <x v="8"/>
    <s v="Chain 3_Depot 3_SKU 9_44866"/>
    <x v="16"/>
    <x v="0"/>
    <x v="2"/>
    <x v="6"/>
    <x v="6"/>
    <x v="14"/>
    <s v="History"/>
    <n v="1800"/>
    <m/>
    <n v="2059.2472470316702"/>
    <n v="493.50987509698501"/>
    <m/>
    <m/>
    <n v="0"/>
    <n v="0"/>
    <n v="0"/>
    <n v="6"/>
    <m/>
    <b v="0"/>
    <n v="4256"/>
    <n v="0"/>
    <n v="2189"/>
    <s v="Stable"/>
    <n v="1881.92"/>
    <n v="1801.7049999999999"/>
    <n v="4.4521716929242006E-2"/>
    <n v="0"/>
    <m/>
    <m/>
    <m/>
    <m/>
    <m/>
    <m/>
    <m/>
    <m/>
    <m/>
    <m/>
    <m/>
    <m/>
  </r>
  <r>
    <x v="9"/>
    <s v="Chain 3_Depot 3_SKU 9_44896"/>
    <x v="16"/>
    <x v="0"/>
    <x v="2"/>
    <x v="6"/>
    <x v="6"/>
    <x v="14"/>
    <s v="History"/>
    <n v="2430"/>
    <m/>
    <n v="2167.5278335791299"/>
    <n v="-691.886181444003"/>
    <m/>
    <m/>
    <n v="0"/>
    <n v="0"/>
    <n v="0"/>
    <n v="6"/>
    <m/>
    <b v="0"/>
    <n v="3111"/>
    <n v="1"/>
    <n v="2189"/>
    <s v="Stable"/>
    <n v="1881.92"/>
    <n v="1809.8929999999998"/>
    <n v="3.9796275249420976E-2"/>
    <n v="0"/>
    <m/>
    <m/>
    <m/>
    <m/>
    <m/>
    <m/>
    <m/>
    <m/>
    <m/>
    <m/>
    <m/>
    <m/>
  </r>
  <r>
    <x v="10"/>
    <s v="Chain 3_Depot 3_SKU 9_44927"/>
    <x v="16"/>
    <x v="0"/>
    <x v="2"/>
    <x v="6"/>
    <x v="6"/>
    <x v="14"/>
    <s v="History"/>
    <n v="1800"/>
    <m/>
    <n v="2279.4177730370998"/>
    <n v="1028.5312237466601"/>
    <m/>
    <m/>
    <n v="0"/>
    <n v="0"/>
    <n v="0"/>
    <n v="6"/>
    <m/>
    <b v="0"/>
    <n v="2817"/>
    <n v="0"/>
    <n v="2189"/>
    <s v="Stable"/>
    <n v="1881.92"/>
    <n v="1794.5864999999999"/>
    <n v="4.8664971011428193E-2"/>
    <n v="0"/>
    <m/>
    <m/>
    <m/>
    <m/>
    <m/>
    <m/>
    <m/>
    <m/>
    <m/>
    <m/>
    <m/>
    <m/>
  </r>
  <r>
    <x v="11"/>
    <s v="Chain 3_Depot 3_SKU 9_44958"/>
    <x v="16"/>
    <x v="0"/>
    <x v="2"/>
    <x v="6"/>
    <x v="6"/>
    <x v="14"/>
    <s v="History"/>
    <n v="1935"/>
    <m/>
    <n v="2391.3077124947699"/>
    <n v="-1373.3740786911801"/>
    <m/>
    <m/>
    <n v="0"/>
    <n v="0"/>
    <n v="0"/>
    <n v="6"/>
    <m/>
    <b v="0"/>
    <n v="3799"/>
    <n v="0"/>
    <n v="2189"/>
    <s v="Stable"/>
    <n v="1881.92"/>
    <n v="1740.41"/>
    <n v="8.1308427324595867E-2"/>
    <n v="0"/>
    <m/>
    <m/>
    <m/>
    <m/>
    <m/>
    <m/>
    <m/>
    <m/>
    <m/>
    <m/>
    <m/>
    <m/>
  </r>
  <r>
    <x v="12"/>
    <s v="Chain 3_Depot 3_SKU 9_44986"/>
    <x v="16"/>
    <x v="0"/>
    <x v="2"/>
    <x v="6"/>
    <x v="6"/>
    <x v="14"/>
    <s v="History"/>
    <n v="2835"/>
    <m/>
    <n v="2492.3695933019098"/>
    <n v="809.09733768741296"/>
    <m/>
    <m/>
    <n v="0"/>
    <n v="0"/>
    <n v="0"/>
    <n v="7"/>
    <m/>
    <b v="0"/>
    <n v="3960"/>
    <n v="0"/>
    <n v="2189"/>
    <s v="Stable"/>
    <n v="1881.92"/>
    <n v="1759.454"/>
    <n v="6.9604547774480219E-2"/>
    <n v="0"/>
    <m/>
    <m/>
    <m/>
    <m/>
    <m/>
    <m/>
    <m/>
    <m/>
    <m/>
    <m/>
    <m/>
    <m/>
  </r>
  <r>
    <x v="13"/>
    <s v="Chain 3_Depot 3_SKU 9_45017"/>
    <x v="16"/>
    <x v="0"/>
    <x v="2"/>
    <x v="6"/>
    <x v="6"/>
    <x v="14"/>
    <s v="History"/>
    <n v="8100"/>
    <m/>
    <n v="2604.2595327875001"/>
    <n v="2722.7671193487799"/>
    <m/>
    <m/>
    <n v="0"/>
    <n v="0"/>
    <n v="0"/>
    <n v="7"/>
    <m/>
    <b v="0"/>
    <n v="4437"/>
    <n v="0"/>
    <n v="2189"/>
    <s v="Stable"/>
    <n v="1881.92"/>
    <n v="1872.0504999999998"/>
    <n v="5.2720265826162738E-3"/>
    <n v="0"/>
    <m/>
    <m/>
    <m/>
    <m/>
    <m/>
    <m/>
    <m/>
    <m/>
    <m/>
    <m/>
    <m/>
    <m/>
  </r>
  <r>
    <x v="14"/>
    <s v="Chain 3_Depot 3_SKU 9_45047"/>
    <x v="16"/>
    <x v="0"/>
    <x v="2"/>
    <x v="6"/>
    <x v="6"/>
    <x v="14"/>
    <s v="History"/>
    <n v="90"/>
    <m/>
    <n v="2712.54011939261"/>
    <n v="-1715.3863358492299"/>
    <m/>
    <m/>
    <n v="0"/>
    <n v="0"/>
    <n v="0"/>
    <n v="7"/>
    <m/>
    <b v="0"/>
    <n v="4372"/>
    <n v="1"/>
    <n v="2189"/>
    <s v="Stable"/>
    <n v="1881.92"/>
    <n v="1699.4469999999999"/>
    <n v="0.10737198629907274"/>
    <n v="0"/>
    <m/>
    <m/>
    <m/>
    <m/>
    <m/>
    <m/>
    <m/>
    <m/>
    <m/>
    <m/>
    <m/>
    <m/>
  </r>
  <r>
    <x v="15"/>
    <s v="Chain 3_Depot 3_SKU 9_45078"/>
    <x v="16"/>
    <x v="0"/>
    <x v="2"/>
    <x v="6"/>
    <x v="6"/>
    <x v="14"/>
    <s v="History"/>
    <n v="810"/>
    <m/>
    <n v="2824.4300588984402"/>
    <n v="-959.84315327848003"/>
    <m/>
    <m/>
    <n v="0"/>
    <n v="0"/>
    <n v="0"/>
    <n v="7"/>
    <m/>
    <b v="0"/>
    <n v="4987"/>
    <n v="0"/>
    <n v="2189"/>
    <s v="Stable"/>
    <n v="1881.92"/>
    <n v="1733.6594999999998"/>
    <n v="8.5518811508257686E-2"/>
    <n v="0"/>
    <m/>
    <m/>
    <m/>
    <m/>
    <m/>
    <m/>
    <m/>
    <m/>
    <m/>
    <m/>
    <m/>
    <m/>
  </r>
  <r>
    <x v="16"/>
    <s v="Chain 3_Depot 3_SKU 9_45108"/>
    <x v="16"/>
    <x v="0"/>
    <x v="2"/>
    <x v="6"/>
    <x v="6"/>
    <x v="14"/>
    <s v="History"/>
    <n v="1755"/>
    <m/>
    <n v="2932.7106454978598"/>
    <n v="-2733.14673256383"/>
    <m/>
    <m/>
    <n v="0"/>
    <n v="0"/>
    <n v="0"/>
    <n v="7"/>
    <m/>
    <b v="0"/>
    <n v="2888"/>
    <n v="0"/>
    <n v="2189"/>
    <s v="Stable"/>
    <n v="1881.92"/>
    <n v="2040.0769999999998"/>
    <n v="-7.752501498717923E-2"/>
    <n v="1"/>
    <m/>
    <m/>
    <m/>
    <m/>
    <m/>
    <m/>
    <m/>
    <m/>
    <m/>
    <m/>
    <m/>
    <m/>
  </r>
  <r>
    <x v="26"/>
    <s v="Chain 3_Depot 3_SKU 9_45139"/>
    <x v="16"/>
    <x v="0"/>
    <x v="2"/>
    <x v="6"/>
    <x v="6"/>
    <x v="14"/>
    <s v="History"/>
    <n v="3105"/>
    <m/>
    <n v="3044.6005850011302"/>
    <n v="-890.20340041204201"/>
    <m/>
    <m/>
    <n v="0"/>
    <n v="0"/>
    <n v="0"/>
    <n v="7"/>
    <m/>
    <b v="0"/>
    <n v="3855"/>
    <n v="0"/>
    <n v="2189"/>
    <s v="Stable"/>
    <n v="1881.92"/>
    <n v="1791.7689999999998"/>
    <n v="5.0313963462924161E-2"/>
    <n v="0"/>
    <m/>
    <m/>
    <m/>
    <m/>
    <m/>
    <m/>
    <m/>
    <m/>
    <m/>
    <m/>
    <m/>
    <m/>
  </r>
  <r>
    <x v="27"/>
    <s v="Chain 3_Depot 3_SKU 9_45170"/>
    <x v="16"/>
    <x v="0"/>
    <x v="2"/>
    <x v="6"/>
    <x v="6"/>
    <x v="14"/>
    <s v="History"/>
    <n v="1890"/>
    <m/>
    <n v="3156.49052452861"/>
    <n v="-19.535183042174701"/>
    <m/>
    <m/>
    <n v="0"/>
    <n v="0"/>
    <n v="0"/>
    <n v="7"/>
    <m/>
    <b v="0"/>
    <n v="3180"/>
    <n v="3"/>
    <n v="2189"/>
    <s v="Stable"/>
    <n v="1881.92"/>
    <n v="1659.1395"/>
    <n v="0.13427472494024761"/>
    <n v="0"/>
    <m/>
    <m/>
    <m/>
    <m/>
    <m/>
    <m/>
    <m/>
    <m/>
    <m/>
    <m/>
    <m/>
    <m/>
  </r>
  <r>
    <x v="34"/>
    <s v="Chain 3_Depot 3_SKU 9_45200"/>
    <x v="16"/>
    <x v="0"/>
    <x v="2"/>
    <x v="6"/>
    <x v="6"/>
    <x v="14"/>
    <s v="History"/>
    <n v="5175"/>
    <m/>
    <n v="3264.7711111492999"/>
    <n v="506.26957818822098"/>
    <m/>
    <m/>
    <n v="0"/>
    <n v="0"/>
    <n v="0"/>
    <n v="7"/>
    <m/>
    <b v="0"/>
    <n v="2667"/>
    <n v="0"/>
    <n v="2189"/>
    <s v="Stable"/>
    <n v="1881.92"/>
    <n v="1671.1685"/>
    <n v="0.126110263567079"/>
    <n v="0"/>
    <m/>
    <m/>
    <m/>
    <m/>
    <m/>
    <m/>
    <m/>
    <m/>
    <m/>
    <m/>
    <m/>
    <m/>
  </r>
  <r>
    <x v="28"/>
    <s v="Chain 3_Depot 3_SKU 9_45231"/>
    <x v="16"/>
    <x v="0"/>
    <x v="2"/>
    <x v="6"/>
    <x v="6"/>
    <x v="14"/>
    <s v="History"/>
    <n v="4095"/>
    <m/>
    <n v="3376.66105067529"/>
    <n v="-82.419740841069498"/>
    <m/>
    <m/>
    <n v="0"/>
    <n v="0"/>
    <n v="0"/>
    <n v="7"/>
    <m/>
    <b v="0"/>
    <n v="2632"/>
    <n v="0"/>
    <n v="2189"/>
    <s v="Stable"/>
    <n v="1881.92"/>
    <n v="1742.3879999999997"/>
    <n v="8.0080900465338667E-2"/>
    <n v="0"/>
    <m/>
    <m/>
    <m/>
    <m/>
    <m/>
    <m/>
    <m/>
    <m/>
    <m/>
    <m/>
    <m/>
    <m/>
  </r>
  <r>
    <x v="29"/>
    <s v="Chain 3_Depot 3_SKU 9_45261"/>
    <x v="16"/>
    <x v="0"/>
    <x v="2"/>
    <x v="6"/>
    <x v="6"/>
    <x v="14"/>
    <s v="History"/>
    <n v="2385"/>
    <m/>
    <n v="3484.9416373199701"/>
    <n v="-119.03203253797599"/>
    <m/>
    <m/>
    <n v="0"/>
    <n v="0"/>
    <n v="0"/>
    <n v="7"/>
    <m/>
    <b v="0"/>
    <n v="4624"/>
    <n v="0"/>
    <n v="2189"/>
    <s v="Stable"/>
    <n v="1881.92"/>
    <n v="1701.5284999999997"/>
    <n v="0.10601732501101235"/>
    <n v="0"/>
    <m/>
    <m/>
    <m/>
    <m/>
    <m/>
    <m/>
    <m/>
    <m/>
    <m/>
    <m/>
    <m/>
    <m/>
  </r>
  <r>
    <x v="17"/>
    <s v="Chain 3_Depot 3_SKU 9_45292"/>
    <x v="16"/>
    <x v="0"/>
    <x v="2"/>
    <x v="6"/>
    <x v="6"/>
    <x v="14"/>
    <s v="History"/>
    <n v="5355"/>
    <m/>
    <n v="3596.8315768573102"/>
    <n v="454.85791102979402"/>
    <m/>
    <m/>
    <n v="0"/>
    <n v="0"/>
    <n v="0"/>
    <n v="7"/>
    <m/>
    <b v="0"/>
    <n v="3642"/>
    <n v="1"/>
    <n v="2189"/>
    <s v="Stable"/>
    <n v="1881.92"/>
    <n v="1720.8485000000001"/>
    <n v="9.3600046721137753E-2"/>
    <n v="0"/>
    <m/>
    <m/>
    <m/>
    <m/>
    <m/>
    <m/>
    <m/>
    <m/>
    <m/>
    <m/>
    <m/>
    <m/>
  </r>
  <r>
    <x v="18"/>
    <s v="Chain 3_Depot 3_SKU 9_45323"/>
    <x v="16"/>
    <x v="0"/>
    <x v="2"/>
    <x v="6"/>
    <x v="6"/>
    <x v="14"/>
    <s v="History"/>
    <n v="0"/>
    <m/>
    <n v="3708.7215163821602"/>
    <n v="-834.40474561829001"/>
    <m/>
    <m/>
    <n v="0"/>
    <n v="0"/>
    <n v="1"/>
    <n v="7"/>
    <m/>
    <b v="0"/>
    <n v="2136"/>
    <n v="0"/>
    <n v="2189"/>
    <s v="Stable"/>
    <n v="1881.92"/>
    <n v="1704.7715000000001"/>
    <n v="0.10391333970564376"/>
    <n v="0"/>
    <m/>
    <m/>
    <m/>
    <m/>
    <m/>
    <m/>
    <m/>
    <m/>
    <m/>
    <m/>
    <m/>
    <m/>
  </r>
  <r>
    <x v="19"/>
    <s v="Chain 3_Depot 3_SKU 9_45352"/>
    <x v="16"/>
    <x v="0"/>
    <x v="2"/>
    <x v="6"/>
    <x v="6"/>
    <x v="14"/>
    <s v="History"/>
    <n v="7830"/>
    <m/>
    <n v="3813.3927501262201"/>
    <n v="2502.54555831773"/>
    <m/>
    <m/>
    <n v="0"/>
    <n v="0"/>
    <n v="0"/>
    <n v="7"/>
    <m/>
    <b v="0"/>
    <n v="3946"/>
    <n v="0"/>
    <n v="2189"/>
    <s v="Stable"/>
    <n v="1881.92"/>
    <n v="1711.2459999999999"/>
    <n v="9.9736683095241752E-2"/>
    <n v="0"/>
    <m/>
    <m/>
    <m/>
    <m/>
    <m/>
    <m/>
    <m/>
    <m/>
    <m/>
    <m/>
    <m/>
    <m/>
  </r>
  <r>
    <x v="20"/>
    <s v="Chain 3_Depot 3_SKU 9_45383"/>
    <x v="16"/>
    <x v="0"/>
    <x v="2"/>
    <x v="6"/>
    <x v="6"/>
    <x v="14"/>
    <s v="History"/>
    <n v="5085"/>
    <m/>
    <n v="3925.28268964573"/>
    <n v="973.44430362714104"/>
    <m/>
    <m/>
    <n v="0"/>
    <n v="0"/>
    <n v="0"/>
    <n v="7"/>
    <m/>
    <b v="0"/>
    <n v="3697"/>
    <n v="0"/>
    <n v="2189"/>
    <s v="Stable"/>
    <n v="1881.92"/>
    <n v="1797.6569999999999"/>
    <n v="4.6873791830143396E-2"/>
    <n v="0"/>
    <m/>
    <m/>
    <m/>
    <m/>
    <m/>
    <m/>
    <m/>
    <m/>
    <m/>
    <m/>
    <m/>
    <m/>
  </r>
  <r>
    <x v="21"/>
    <s v="Chain 3_Depot 3_SKU 9_45413"/>
    <x v="16"/>
    <x v="0"/>
    <x v="2"/>
    <x v="6"/>
    <x v="6"/>
    <x v="14"/>
    <s v="History"/>
    <n v="3600"/>
    <m/>
    <n v="4033.5632762775099"/>
    <n v="-48.078222839671398"/>
    <m/>
    <m/>
    <n v="0"/>
    <n v="0"/>
    <n v="0"/>
    <n v="7"/>
    <m/>
    <b v="0"/>
    <n v="2427"/>
    <n v="1"/>
    <n v="2189"/>
    <s v="Stable"/>
    <n v="1881.92"/>
    <n v="1805.7184999999999"/>
    <n v="4.2200099295654381E-2"/>
    <n v="0"/>
    <m/>
    <m/>
    <m/>
    <m/>
    <m/>
    <m/>
    <m/>
    <m/>
    <m/>
    <m/>
    <m/>
    <m/>
  </r>
  <r>
    <x v="22"/>
    <s v="Chain 3_Depot 3_SKU 9_45444"/>
    <x v="16"/>
    <x v="0"/>
    <x v="2"/>
    <x v="6"/>
    <x v="6"/>
    <x v="14"/>
    <s v="History"/>
    <n v="1980"/>
    <m/>
    <n v="4145.4532157970198"/>
    <n v="-2700.8137729331902"/>
    <m/>
    <m/>
    <n v="0"/>
    <n v="0"/>
    <n v="0"/>
    <n v="7"/>
    <m/>
    <b v="0"/>
    <n v="3475"/>
    <n v="0"/>
    <n v="2189"/>
    <s v="Stable"/>
    <n v="1881.92"/>
    <n v="1883.7344999999998"/>
    <n v="-9.6324614747977932E-4"/>
    <n v="0"/>
    <m/>
    <m/>
    <m/>
    <m/>
    <m/>
    <m/>
    <m/>
    <m/>
    <m/>
    <m/>
    <m/>
    <m/>
  </r>
  <r>
    <x v="30"/>
    <s v="Chain 3_Depot 3_SKU 9_45474"/>
    <x v="16"/>
    <x v="0"/>
    <x v="2"/>
    <x v="6"/>
    <x v="6"/>
    <x v="14"/>
    <s v="History"/>
    <n v="675"/>
    <n v="1784"/>
    <n v="4253.7338024288101"/>
    <n v="-983.25887426063298"/>
    <n v="19955.46"/>
    <n v="19555.46"/>
    <n v="0"/>
    <n v="0"/>
    <n v="1"/>
    <n v="10"/>
    <m/>
    <b v="1"/>
    <n v="1659"/>
    <n v="7"/>
    <n v="2189"/>
    <s v="Stable"/>
    <n v="1881.92"/>
    <n v="1846.3594999999998"/>
    <n v="1.925979203941619E-2"/>
    <n v="0"/>
    <m/>
    <m/>
    <m/>
    <m/>
    <m/>
    <m/>
    <m/>
    <m/>
    <m/>
    <m/>
    <m/>
    <m/>
  </r>
  <r>
    <x v="23"/>
    <s v="Chain 3_Depot 3_SKU 9_45505"/>
    <x v="16"/>
    <x v="0"/>
    <x v="2"/>
    <x v="6"/>
    <x v="6"/>
    <x v="14"/>
    <s v="History"/>
    <n v="585"/>
    <n v="2393"/>
    <n v="4365.6237419483195"/>
    <n v="-2645.9754199096301"/>
    <n v="20396.8"/>
    <n v="19996.8"/>
    <n v="0"/>
    <n v="0"/>
    <n v="1"/>
    <n v="10"/>
    <m/>
    <b v="1"/>
    <n v="958"/>
    <n v="5"/>
    <n v="2189"/>
    <s v="Stable"/>
    <n v="1881.92"/>
    <n v="1782.73"/>
    <n v="5.5639384539442283E-2"/>
    <n v="0"/>
    <m/>
    <m/>
    <m/>
    <m/>
    <m/>
    <m/>
    <m/>
    <m/>
    <m/>
    <m/>
    <m/>
    <m/>
  </r>
  <r>
    <x v="24"/>
    <s v="Chain 3_Depot 3_SKU 9_45536"/>
    <x v="16"/>
    <x v="0"/>
    <x v="2"/>
    <x v="6"/>
    <x v="6"/>
    <x v="14"/>
    <s v="History"/>
    <n v="8595"/>
    <n v="4503"/>
    <n v="4477.5136814678299"/>
    <n v="1760.4131857612699"/>
    <n v="20738.650000000001"/>
    <n v="20338.650000000001"/>
    <n v="0"/>
    <n v="1"/>
    <n v="1"/>
    <n v="10"/>
    <m/>
    <b v="0"/>
    <n v="2818"/>
    <n v="0"/>
    <n v="2189"/>
    <s v="Stable"/>
    <n v="1881.92"/>
    <n v="1812.3884999999998"/>
    <n v="3.8364566978879244E-2"/>
    <n v="0"/>
    <m/>
    <m/>
    <m/>
    <m/>
    <m/>
    <m/>
    <m/>
    <m/>
    <m/>
    <m/>
    <m/>
    <m/>
  </r>
  <r>
    <x v="31"/>
    <s v="Chain 3_Depot 3_SKU 9_45566"/>
    <x v="16"/>
    <x v="0"/>
    <x v="2"/>
    <x v="6"/>
    <x v="6"/>
    <x v="14"/>
    <s v="Forecast"/>
    <m/>
    <n v="6492"/>
    <n v="4585.7942680996102"/>
    <n v="-1249.7655564746699"/>
    <n v="20537.77"/>
    <n v="20137.77"/>
    <m/>
    <m/>
    <m/>
    <m/>
    <m/>
    <m/>
    <m/>
    <m/>
    <n v="2189"/>
    <m/>
    <n v="1881.92"/>
    <n v="1764.6289999999999"/>
    <n v="6.6467795780302819E-2"/>
    <n v="0"/>
    <m/>
    <m/>
    <m/>
    <m/>
    <m/>
    <m/>
    <m/>
    <m/>
    <m/>
    <m/>
    <m/>
    <m/>
  </r>
  <r>
    <x v="25"/>
    <s v="Chain 3_Depot 3_SKU 9_45597"/>
    <x v="16"/>
    <x v="0"/>
    <x v="2"/>
    <x v="6"/>
    <x v="6"/>
    <x v="14"/>
    <s v="Forecast"/>
    <m/>
    <n v="4792"/>
    <n v="4697.6842076191197"/>
    <n v="1642.6686866590901"/>
    <n v="21151.67"/>
    <n v="20751.669999999998"/>
    <m/>
    <m/>
    <m/>
    <m/>
    <m/>
    <m/>
    <m/>
    <m/>
    <n v="2189"/>
    <m/>
    <n v="1881.92"/>
    <n v="1744.412"/>
    <n v="7.8827708133170304E-2"/>
    <n v="0"/>
    <m/>
    <m/>
    <m/>
    <m/>
    <m/>
    <m/>
    <m/>
    <m/>
    <m/>
    <m/>
    <m/>
    <m/>
  </r>
  <r>
    <x v="32"/>
    <s v="Chain 3_Depot 3_SKU 9_45627"/>
    <x v="16"/>
    <x v="0"/>
    <x v="2"/>
    <x v="6"/>
    <x v="6"/>
    <x v="14"/>
    <s v="Forecast"/>
    <m/>
    <n v="3940"/>
    <n v="4805.9647942509"/>
    <n v="-1836.81698459513"/>
    <n v="21155.1"/>
    <n v="20755.099999999999"/>
    <m/>
    <m/>
    <m/>
    <m/>
    <m/>
    <m/>
    <m/>
    <m/>
    <n v="2189"/>
    <m/>
    <n v="1881.92"/>
    <n v="1845.1405"/>
    <n v="1.9933170400844968E-2"/>
    <n v="0"/>
    <m/>
    <m/>
    <m/>
    <m/>
    <m/>
    <m/>
    <m/>
    <m/>
    <m/>
    <m/>
    <m/>
    <m/>
  </r>
  <r>
    <x v="0"/>
    <s v="Chain 4_Depot 2_SKU 3_44562"/>
    <x v="17"/>
    <x v="1"/>
    <x v="3"/>
    <x v="1"/>
    <x v="6"/>
    <x v="9"/>
    <s v="History"/>
    <n v="8665.5400000000009"/>
    <m/>
    <n v="2230.30070891999"/>
    <n v="6436.7121821732098"/>
    <m/>
    <m/>
    <n v="0"/>
    <n v="0"/>
    <n v="0"/>
    <m/>
    <m/>
    <b v="0"/>
    <n v="4374"/>
    <n v="0"/>
    <n v="2822"/>
    <s v="Stable"/>
    <n v="2700.28"/>
    <n v="2141.36"/>
    <n v="20.7"/>
    <n v="0"/>
    <m/>
    <m/>
    <m/>
    <m/>
    <m/>
    <m/>
    <m/>
    <m/>
    <m/>
    <m/>
    <m/>
    <m/>
  </r>
  <r>
    <x v="1"/>
    <s v="Chain 4_Depot 2_SKU 3_44593"/>
    <x v="17"/>
    <x v="1"/>
    <x v="3"/>
    <x v="1"/>
    <x v="6"/>
    <x v="9"/>
    <s v="History"/>
    <n v="8997.06"/>
    <m/>
    <n v="2267.6705624414099"/>
    <n v="6725.1111774569999"/>
    <m/>
    <m/>
    <n v="0"/>
    <n v="0"/>
    <n v="0"/>
    <m/>
    <m/>
    <b v="0"/>
    <n v="4201"/>
    <n v="0"/>
    <n v="1937"/>
    <s v="Stable"/>
    <n v="2725.02"/>
    <n v="2216.23"/>
    <n v="18.670000000000002"/>
    <n v="0"/>
    <m/>
    <m/>
    <m/>
    <m/>
    <m/>
    <m/>
    <m/>
    <m/>
    <m/>
    <m/>
    <m/>
    <m/>
  </r>
  <r>
    <x v="2"/>
    <s v="Chain 4_Depot 2_SKU 3_44621"/>
    <x v="17"/>
    <x v="1"/>
    <x v="3"/>
    <x v="1"/>
    <x v="6"/>
    <x v="9"/>
    <s v="History"/>
    <n v="8901.48"/>
    <m/>
    <n v="2301.4239782807799"/>
    <n v="7015.7191228920401"/>
    <m/>
    <m/>
    <n v="0"/>
    <n v="0"/>
    <n v="0"/>
    <m/>
    <m/>
    <b v="0"/>
    <n v="2551"/>
    <n v="1"/>
    <n v="2225"/>
    <s v="Stable"/>
    <n v="2703.75"/>
    <n v="2169.89"/>
    <n v="19.75"/>
    <n v="0"/>
    <m/>
    <m/>
    <m/>
    <m/>
    <m/>
    <m/>
    <m/>
    <m/>
    <m/>
    <m/>
    <m/>
    <m/>
  </r>
  <r>
    <x v="3"/>
    <s v="Chain 4_Depot 2_SKU 3_44652"/>
    <x v="17"/>
    <x v="1"/>
    <x v="3"/>
    <x v="1"/>
    <x v="6"/>
    <x v="9"/>
    <s v="History"/>
    <n v="9407.68"/>
    <m/>
    <n v="2338.7938316205"/>
    <n v="7455.5391762661602"/>
    <m/>
    <m/>
    <n v="0"/>
    <n v="0"/>
    <n v="0"/>
    <m/>
    <m/>
    <b v="0"/>
    <n v="2404"/>
    <n v="0"/>
    <n v="1031"/>
    <s v="Stable"/>
    <n v="2710.61"/>
    <n v="2174.5700000000002"/>
    <n v="19.78"/>
    <n v="0"/>
    <m/>
    <m/>
    <m/>
    <m/>
    <m/>
    <m/>
    <m/>
    <m/>
    <m/>
    <m/>
    <m/>
    <m/>
  </r>
  <r>
    <x v="4"/>
    <s v="Chain 4_Depot 2_SKU 3_44682"/>
    <x v="17"/>
    <x v="1"/>
    <x v="3"/>
    <x v="1"/>
    <x v="6"/>
    <x v="9"/>
    <s v="History"/>
    <n v="9977.33"/>
    <m/>
    <n v="2374.9582057050802"/>
    <n v="7866.8425215556599"/>
    <m/>
    <m/>
    <n v="0"/>
    <n v="0"/>
    <n v="0"/>
    <m/>
    <m/>
    <b v="0"/>
    <n v="2461"/>
    <n v="0"/>
    <n v="1442"/>
    <s v="Stable"/>
    <n v="2746.09"/>
    <n v="2213.14"/>
    <n v="19.41"/>
    <n v="0"/>
    <m/>
    <m/>
    <m/>
    <m/>
    <m/>
    <m/>
    <m/>
    <m/>
    <m/>
    <m/>
    <m/>
    <m/>
  </r>
  <r>
    <x v="5"/>
    <s v="Chain 4_Depot 2_SKU 3_44713"/>
    <x v="17"/>
    <x v="1"/>
    <x v="3"/>
    <x v="1"/>
    <x v="6"/>
    <x v="9"/>
    <s v="History"/>
    <n v="9295.19"/>
    <m/>
    <n v="2412.32805881185"/>
    <n v="6952.3697787250603"/>
    <m/>
    <m/>
    <n v="0"/>
    <n v="0"/>
    <n v="0"/>
    <m/>
    <m/>
    <b v="0"/>
    <n v="4179"/>
    <n v="0"/>
    <n v="1161"/>
    <s v="Stable"/>
    <n v="2658.31"/>
    <n v="2137.4699999999998"/>
    <n v="19.59"/>
    <n v="0"/>
    <m/>
    <m/>
    <m/>
    <m/>
    <m/>
    <m/>
    <m/>
    <m/>
    <m/>
    <m/>
    <m/>
    <m/>
  </r>
  <r>
    <x v="6"/>
    <s v="Chain 4_Depot 2_SKU 3_44743"/>
    <x v="17"/>
    <x v="1"/>
    <x v="3"/>
    <x v="1"/>
    <x v="6"/>
    <x v="9"/>
    <s v="History"/>
    <n v="9619.86"/>
    <m/>
    <n v="2448.49243281189"/>
    <n v="6497.64961008305"/>
    <m/>
    <m/>
    <n v="0"/>
    <n v="0"/>
    <n v="0"/>
    <m/>
    <m/>
    <b v="0"/>
    <n v="4838"/>
    <n v="0"/>
    <n v="1766"/>
    <s v="Stable"/>
    <n v="2750.87"/>
    <n v="2208.41"/>
    <n v="19.72"/>
    <n v="0"/>
    <m/>
    <m/>
    <m/>
    <m/>
    <m/>
    <m/>
    <m/>
    <m/>
    <m/>
    <m/>
    <m/>
    <m/>
  </r>
  <r>
    <x v="7"/>
    <s v="Chain 4_Depot 2_SKU 3_44774"/>
    <x v="17"/>
    <x v="1"/>
    <x v="3"/>
    <x v="1"/>
    <x v="6"/>
    <x v="9"/>
    <s v="History"/>
    <n v="9827.65"/>
    <m/>
    <n v="2485.86228610026"/>
    <n v="6880.5415334925701"/>
    <m/>
    <m/>
    <n v="0"/>
    <n v="0"/>
    <n v="0"/>
    <m/>
    <m/>
    <b v="0"/>
    <n v="2873"/>
    <n v="0"/>
    <n v="1253"/>
    <s v="Stable"/>
    <n v="2771.06"/>
    <n v="2199.3000000000002"/>
    <n v="20.63"/>
    <n v="0"/>
    <m/>
    <m/>
    <m/>
    <m/>
    <m/>
    <m/>
    <m/>
    <m/>
    <m/>
    <m/>
    <m/>
    <m/>
  </r>
  <r>
    <x v="19"/>
    <s v="Chain 4_Depot 2_SKU 3_45352"/>
    <x v="17"/>
    <x v="1"/>
    <x v="3"/>
    <x v="1"/>
    <x v="6"/>
    <x v="9"/>
    <s v="History"/>
    <n v="11431.46"/>
    <m/>
    <n v="3182.6286036523802"/>
    <n v="7828.6268773501797"/>
    <m/>
    <m/>
    <n v="0"/>
    <n v="0"/>
    <n v="0"/>
    <m/>
    <m/>
    <b v="0"/>
    <n v="3390"/>
    <n v="0"/>
    <n v="2856"/>
    <s v="Stable"/>
    <n v="2735.03"/>
    <n v="2216.79"/>
    <n v="18.95"/>
    <n v="0"/>
    <m/>
    <m/>
    <m/>
    <m/>
    <m/>
    <m/>
    <m/>
    <m/>
    <m/>
    <m/>
    <m/>
    <m/>
  </r>
  <r>
    <x v="20"/>
    <s v="Chain 4_Depot 2_SKU 3_45383"/>
    <x v="17"/>
    <x v="1"/>
    <x v="3"/>
    <x v="1"/>
    <x v="6"/>
    <x v="9"/>
    <s v="History"/>
    <n v="10877.39"/>
    <m/>
    <n v="3219.99833777094"/>
    <n v="7274.99037275719"/>
    <m/>
    <m/>
    <n v="0"/>
    <n v="0"/>
    <n v="0"/>
    <m/>
    <m/>
    <b v="1"/>
    <n v="2039"/>
    <n v="0"/>
    <n v="2214"/>
    <s v="Stable"/>
    <n v="2698.85"/>
    <n v="2175.4"/>
    <n v="19.399999999999999"/>
    <n v="0"/>
    <m/>
    <m/>
    <m/>
    <m/>
    <m/>
    <m/>
    <m/>
    <m/>
    <m/>
    <m/>
    <m/>
    <m/>
  </r>
  <r>
    <x v="21"/>
    <s v="Chain 4_Depot 2_SKU 3_45413"/>
    <x v="17"/>
    <x v="1"/>
    <x v="3"/>
    <x v="1"/>
    <x v="6"/>
    <x v="9"/>
    <s v="History"/>
    <n v="11115.73"/>
    <m/>
    <n v="3256.1622624786501"/>
    <n v="7594.9124764140597"/>
    <m/>
    <m/>
    <n v="0"/>
    <n v="0"/>
    <n v="0"/>
    <m/>
    <m/>
    <b v="0"/>
    <n v="3982"/>
    <n v="0"/>
    <n v="2752"/>
    <s v="Stable"/>
    <n v="2743"/>
    <n v="2215.25"/>
    <n v="19.239999999999998"/>
    <n v="0"/>
    <m/>
    <m/>
    <m/>
    <m/>
    <m/>
    <m/>
    <m/>
    <m/>
    <m/>
    <m/>
    <m/>
    <m/>
  </r>
  <r>
    <x v="22"/>
    <s v="Chain 4_Depot 2_SKU 3_45444"/>
    <x v="17"/>
    <x v="1"/>
    <x v="3"/>
    <x v="1"/>
    <x v="6"/>
    <x v="9"/>
    <s v="History"/>
    <n v="10957.81"/>
    <m/>
    <n v="3293.53165140179"/>
    <n v="7605.0398688549803"/>
    <m/>
    <m/>
    <n v="0"/>
    <n v="0"/>
    <n v="0"/>
    <m/>
    <m/>
    <b v="0"/>
    <n v="4236"/>
    <n v="3"/>
    <n v="1562"/>
    <s v="Stable"/>
    <n v="2764.55"/>
    <n v="2203.56"/>
    <n v="20.29"/>
    <n v="0"/>
    <m/>
    <m/>
    <m/>
    <m/>
    <m/>
    <m/>
    <m/>
    <m/>
    <m/>
    <m/>
    <m/>
    <m/>
  </r>
  <r>
    <x v="30"/>
    <s v="Chain 4_Depot 2_SKU 3_45474"/>
    <x v="17"/>
    <x v="1"/>
    <x v="3"/>
    <x v="1"/>
    <x v="6"/>
    <x v="9"/>
    <s v="History"/>
    <n v="8120.48"/>
    <n v="11032.69"/>
    <n v="3329.6955762919602"/>
    <n v="5469.8391938632603"/>
    <n v="11232.69"/>
    <n v="10832.69"/>
    <n v="0"/>
    <n v="0"/>
    <n v="1"/>
    <m/>
    <m/>
    <b v="0"/>
    <n v="2993"/>
    <n v="0"/>
    <n v="2827"/>
    <s v="Stable"/>
    <n v="2639.54"/>
    <n v="2129.87"/>
    <n v="19.309999999999999"/>
    <n v="0"/>
    <m/>
    <m/>
    <m/>
    <m/>
    <m/>
    <m/>
    <m/>
    <m/>
    <m/>
    <m/>
    <m/>
    <m/>
  </r>
  <r>
    <x v="23"/>
    <s v="Chain 4_Depot 2_SKU 3_45505"/>
    <x v="17"/>
    <x v="1"/>
    <x v="3"/>
    <x v="1"/>
    <x v="6"/>
    <x v="9"/>
    <s v="History"/>
    <n v="11174.36"/>
    <n v="11087.87"/>
    <n v="3367.0649653451401"/>
    <n v="8258.5089483907395"/>
    <n v="11287.87"/>
    <n v="10887.87"/>
    <n v="0"/>
    <n v="0"/>
    <n v="0"/>
    <m/>
    <m/>
    <b v="0"/>
    <n v="4012"/>
    <n v="0"/>
    <n v="2104"/>
    <s v="Stable"/>
    <n v="2764.75"/>
    <n v="2240.15"/>
    <n v="18.97"/>
    <n v="0"/>
    <m/>
    <m/>
    <m/>
    <m/>
    <m/>
    <m/>
    <m/>
    <m/>
    <m/>
    <m/>
    <m/>
    <m/>
  </r>
  <r>
    <x v="24"/>
    <s v="Chain 4_Depot 2_SKU 3_45536"/>
    <x v="17"/>
    <x v="1"/>
    <x v="3"/>
    <x v="1"/>
    <x v="6"/>
    <x v="9"/>
    <s v="History"/>
    <n v="11325.72"/>
    <n v="11289.26"/>
    <n v="3404.43435439831"/>
    <n v="7919.0778918839997"/>
    <n v="11489.26"/>
    <n v="11089.26"/>
    <n v="0"/>
    <n v="0"/>
    <n v="0"/>
    <m/>
    <m/>
    <b v="0"/>
    <n v="4583"/>
    <n v="1"/>
    <n v="1488"/>
    <s v="Stable"/>
    <n v="2714.32"/>
    <n v="2198.2800000000002"/>
    <n v="19.010000000000002"/>
    <n v="0"/>
    <m/>
    <m/>
    <m/>
    <m/>
    <m/>
    <m/>
    <m/>
    <m/>
    <m/>
    <m/>
    <m/>
    <m/>
  </r>
  <r>
    <x v="31"/>
    <s v="Chain 4_Depot 2_SKU 3_45566"/>
    <x v="17"/>
    <x v="1"/>
    <x v="3"/>
    <x v="1"/>
    <x v="6"/>
    <x v="9"/>
    <s v="Forecast"/>
    <m/>
    <n v="11410.13"/>
    <n v="3440.5982792884902"/>
    <n v="159408.64859247499"/>
    <n v="11610.13"/>
    <n v="11210.13"/>
    <m/>
    <m/>
    <m/>
    <m/>
    <m/>
    <m/>
    <m/>
    <m/>
    <n v="1894"/>
    <n v="0"/>
    <n v="2781.64"/>
    <n v="2207.5"/>
    <n v="20.64"/>
    <n v="0"/>
    <m/>
    <m/>
    <m/>
    <m/>
    <m/>
    <m/>
    <m/>
    <m/>
    <m/>
    <m/>
    <m/>
    <m/>
  </r>
  <r>
    <x v="25"/>
    <s v="Chain 4_Depot 2_SKU 3_45597"/>
    <x v="17"/>
    <x v="1"/>
    <x v="3"/>
    <x v="1"/>
    <x v="6"/>
    <x v="9"/>
    <s v="Forecast"/>
    <m/>
    <n v="11536.51"/>
    <n v="3477.9676683416601"/>
    <n v="131333.371834602"/>
    <n v="11736.51"/>
    <n v="11336.51"/>
    <m/>
    <m/>
    <m/>
    <m/>
    <m/>
    <m/>
    <m/>
    <m/>
    <n v="2111"/>
    <n v="0"/>
    <n v="2703.74"/>
    <n v="2183.09"/>
    <n v="19.260000000000002"/>
    <n v="0"/>
    <m/>
    <m/>
    <m/>
    <m/>
    <m/>
    <m/>
    <m/>
    <m/>
    <m/>
    <m/>
    <m/>
    <m/>
  </r>
  <r>
    <x v="32"/>
    <s v="Chain 4_Depot 2_SKU 3_45627"/>
    <x v="17"/>
    <x v="1"/>
    <x v="3"/>
    <x v="1"/>
    <x v="6"/>
    <x v="9"/>
    <s v="Forecast"/>
    <m/>
    <n v="11989.77"/>
    <n v="3514.1315932318298"/>
    <n v="-366699.46500827197"/>
    <n v="12189.77"/>
    <n v="11789.77"/>
    <m/>
    <m/>
    <m/>
    <m/>
    <m/>
    <m/>
    <m/>
    <m/>
    <n v="2217"/>
    <n v="0"/>
    <n v="2690.48"/>
    <n v="2130.94"/>
    <n v="20.8"/>
    <n v="0"/>
    <m/>
    <m/>
    <m/>
    <m/>
    <m/>
    <m/>
    <m/>
    <m/>
    <m/>
    <m/>
    <m/>
    <m/>
  </r>
  <r>
    <x v="0"/>
    <s v="Chain 4_Depot 2_SKU 4_44562"/>
    <x v="18"/>
    <x v="1"/>
    <x v="3"/>
    <x v="1"/>
    <x v="3"/>
    <x v="15"/>
    <s v="History"/>
    <n v="11438.08"/>
    <m/>
    <n v="11713.8658705"/>
    <n v="-275.90651679713397"/>
    <m/>
    <m/>
    <n v="0"/>
    <n v="0"/>
    <n v="0"/>
    <m/>
    <m/>
    <b v="0"/>
    <n v="4573"/>
    <n v="0"/>
    <n v="2062"/>
    <s v="Stable"/>
    <n v="1979.74"/>
    <n v="1773.06"/>
    <n v="10.44"/>
    <n v="0"/>
    <m/>
    <m/>
    <m/>
    <m/>
    <m/>
    <m/>
    <m/>
    <m/>
    <m/>
    <m/>
    <m/>
    <m/>
  </r>
  <r>
    <x v="2"/>
    <s v="Chain 4_Depot 2_SKU 4_44621"/>
    <x v="18"/>
    <x v="1"/>
    <x v="3"/>
    <x v="1"/>
    <x v="3"/>
    <x v="15"/>
    <s v="History"/>
    <n v="11924.55"/>
    <m/>
    <n v="10556.9492254907"/>
    <n v="1367.77626396102"/>
    <m/>
    <m/>
    <n v="0"/>
    <n v="0"/>
    <n v="0"/>
    <m/>
    <m/>
    <b v="0"/>
    <n v="4599"/>
    <n v="0"/>
    <n v="1130"/>
    <s v="Stable"/>
    <n v="1919.25"/>
    <n v="1777.13"/>
    <n v="7.4"/>
    <n v="0"/>
    <m/>
    <m/>
    <m/>
    <m/>
    <m/>
    <m/>
    <m/>
    <m/>
    <m/>
    <m/>
    <m/>
    <m/>
  </r>
  <r>
    <x v="20"/>
    <s v="Chain 4_Depot 2_SKU 4_45383"/>
    <x v="18"/>
    <x v="1"/>
    <x v="3"/>
    <x v="1"/>
    <x v="3"/>
    <x v="15"/>
    <s v="History"/>
    <n v="13664.15"/>
    <m/>
    <n v="-4384.9234432283301"/>
    <n v="18049.012729395501"/>
    <m/>
    <m/>
    <n v="0"/>
    <n v="0"/>
    <n v="0"/>
    <m/>
    <m/>
    <b v="0"/>
    <n v="4074"/>
    <n v="0"/>
    <n v="1215"/>
    <s v="Stable"/>
    <n v="1981.43"/>
    <n v="1795.07"/>
    <n v="9.41"/>
    <n v="0"/>
    <m/>
    <m/>
    <m/>
    <m/>
    <m/>
    <m/>
    <m/>
    <m/>
    <m/>
    <m/>
    <m/>
    <m/>
  </r>
  <r>
    <x v="22"/>
    <s v="Chain 4_Depot 2_SKU 4_45444"/>
    <x v="18"/>
    <x v="1"/>
    <x v="3"/>
    <x v="1"/>
    <x v="3"/>
    <x v="15"/>
    <s v="History"/>
    <n v="12901.64"/>
    <m/>
    <n v="-5581.0576047944396"/>
    <n v="18482.6052445981"/>
    <m/>
    <m/>
    <n v="0"/>
    <n v="0"/>
    <n v="0"/>
    <m/>
    <m/>
    <b v="1"/>
    <n v="2730"/>
    <n v="1"/>
    <n v="2799"/>
    <s v="Stable"/>
    <n v="1953.8"/>
    <n v="1748.59"/>
    <n v="10.5"/>
    <n v="0"/>
    <m/>
    <m/>
    <m/>
    <m/>
    <m/>
    <m/>
    <m/>
    <m/>
    <m/>
    <m/>
    <m/>
    <m/>
  </r>
  <r>
    <x v="30"/>
    <s v="Chain 4_Depot 2_SKU 4_45474"/>
    <x v="18"/>
    <x v="1"/>
    <x v="3"/>
    <x v="1"/>
    <x v="3"/>
    <x v="15"/>
    <s v="History"/>
    <n v="13254.97"/>
    <n v="13046.77"/>
    <n v="-6169.32030365836"/>
    <n v="19424.186558550002"/>
    <n v="13246.77"/>
    <n v="12846.77"/>
    <n v="0"/>
    <n v="0"/>
    <n v="0"/>
    <m/>
    <m/>
    <b v="0"/>
    <n v="2167"/>
    <n v="0"/>
    <n v="1660"/>
    <s v="Stable"/>
    <n v="1779.64"/>
    <n v="1609.97"/>
    <n v="9.5299999999999994"/>
    <n v="0"/>
    <m/>
    <m/>
    <m/>
    <m/>
    <m/>
    <m/>
    <m/>
    <m/>
    <m/>
    <m/>
    <m/>
    <m/>
  </r>
  <r>
    <x v="23"/>
    <s v="Chain 4_Depot 2_SKU 4_45505"/>
    <x v="18"/>
    <x v="1"/>
    <x v="3"/>
    <x v="1"/>
    <x v="3"/>
    <x v="15"/>
    <s v="History"/>
    <n v="13318.57"/>
    <n v="13488.22"/>
    <n v="-6777.1917704870802"/>
    <n v="20095.744925925599"/>
    <n v="13688.22"/>
    <n v="13288.22"/>
    <n v="0"/>
    <n v="0"/>
    <n v="0"/>
    <m/>
    <m/>
    <b v="0"/>
    <n v="2609"/>
    <n v="0"/>
    <n v="2104"/>
    <s v="Stable"/>
    <n v="1948.48"/>
    <n v="1763.49"/>
    <n v="9.49"/>
    <n v="0"/>
    <m/>
    <m/>
    <m/>
    <m/>
    <m/>
    <m/>
    <m/>
    <m/>
    <m/>
    <m/>
    <m/>
    <m/>
  </r>
  <r>
    <x v="24"/>
    <s v="Chain 4_Depot 2_SKU 4_45536"/>
    <x v="18"/>
    <x v="1"/>
    <x v="3"/>
    <x v="1"/>
    <x v="3"/>
    <x v="15"/>
    <s v="History"/>
    <n v="13243.9"/>
    <n v="13265"/>
    <n v="-7385.0632373157996"/>
    <n v="20628.962316274199"/>
    <n v="13465"/>
    <n v="13065"/>
    <n v="0"/>
    <n v="0"/>
    <n v="0"/>
    <m/>
    <m/>
    <b v="0"/>
    <n v="4315"/>
    <n v="0"/>
    <n v="2750"/>
    <s v="Stable"/>
    <n v="1901.09"/>
    <n v="1687.19"/>
    <n v="11.25"/>
    <n v="0"/>
    <m/>
    <m/>
    <m/>
    <m/>
    <m/>
    <m/>
    <m/>
    <m/>
    <m/>
    <m/>
    <m/>
    <m/>
  </r>
  <r>
    <x v="31"/>
    <s v="Chain 4_Depot 2_SKU 4_45566"/>
    <x v="18"/>
    <x v="1"/>
    <x v="3"/>
    <x v="1"/>
    <x v="3"/>
    <x v="15"/>
    <s v="Forecast"/>
    <m/>
    <n v="13548.86"/>
    <n v="-7973.3259471500496"/>
    <n v="96453.406226348001"/>
    <n v="13748.86"/>
    <n v="13348.86"/>
    <m/>
    <m/>
    <m/>
    <m/>
    <m/>
    <m/>
    <m/>
    <m/>
    <n v="2508"/>
    <n v="0"/>
    <n v="1961.79"/>
    <n v="1776.78"/>
    <n v="9.43"/>
    <n v="0"/>
    <m/>
    <m/>
    <m/>
    <m/>
    <m/>
    <m/>
    <m/>
    <m/>
    <m/>
    <m/>
    <m/>
    <m/>
  </r>
  <r>
    <x v="25"/>
    <s v="Chain 4_Depot 2_SKU 4_45597"/>
    <x v="18"/>
    <x v="1"/>
    <x v="3"/>
    <x v="1"/>
    <x v="3"/>
    <x v="15"/>
    <s v="Forecast"/>
    <m/>
    <n v="13668.14"/>
    <n v="-8581.1974139787708"/>
    <n v="-87089.057780085699"/>
    <n v="13868.14"/>
    <n v="13468.14"/>
    <m/>
    <m/>
    <m/>
    <m/>
    <m/>
    <m/>
    <m/>
    <m/>
    <n v="1373"/>
    <n v="0"/>
    <n v="1924.81"/>
    <n v="1154.8800000000001"/>
    <n v="40"/>
    <n v="1"/>
    <m/>
    <m/>
    <m/>
    <m/>
    <m/>
    <m/>
    <m/>
    <m/>
    <m/>
    <m/>
    <m/>
    <m/>
  </r>
  <r>
    <x v="32"/>
    <s v="Chain 4_Depot 2_SKU 4_45627"/>
    <x v="18"/>
    <x v="1"/>
    <x v="3"/>
    <x v="1"/>
    <x v="3"/>
    <x v="15"/>
    <s v="Forecast"/>
    <m/>
    <n v="14588.16"/>
    <n v="-9169.4601238130199"/>
    <n v="-84734.1525078048"/>
    <n v="14788.16"/>
    <n v="14388.16"/>
    <m/>
    <m/>
    <m/>
    <m/>
    <m/>
    <m/>
    <m/>
    <m/>
    <n v="1975"/>
    <n v="0"/>
    <n v="1911.01"/>
    <n v="1728.83"/>
    <n v="9.5299999999999994"/>
    <n v="0"/>
    <m/>
    <m/>
    <m/>
    <m/>
    <m/>
    <m/>
    <m/>
    <m/>
    <m/>
    <m/>
    <m/>
    <m/>
  </r>
  <r>
    <x v="0"/>
    <s v="Chain 4_Depot 6_SKU 10_44562"/>
    <x v="19"/>
    <x v="1"/>
    <x v="3"/>
    <x v="7"/>
    <x v="5"/>
    <x v="16"/>
    <s v="History"/>
    <n v="13773.35"/>
    <m/>
    <n v="16050.061507889999"/>
    <n v="-2276.72392527796"/>
    <m/>
    <m/>
    <n v="0"/>
    <n v="0"/>
    <n v="0"/>
    <m/>
    <m/>
    <b v="0"/>
    <n v="4900"/>
    <n v="1"/>
    <n v="2622"/>
    <s v="Stable"/>
    <n v="1005.94"/>
    <n v="813.94"/>
    <n v="19.09"/>
    <n v="0"/>
    <m/>
    <m/>
    <m/>
    <m/>
    <m/>
    <m/>
    <m/>
    <m/>
    <m/>
    <m/>
    <m/>
    <m/>
  </r>
  <r>
    <x v="1"/>
    <s v="Chain 4_Depot 6_SKU 10_44593"/>
    <x v="19"/>
    <x v="1"/>
    <x v="3"/>
    <x v="7"/>
    <x v="5"/>
    <x v="16"/>
    <s v="History"/>
    <n v="13783.26"/>
    <m/>
    <n v="16061.0455575749"/>
    <n v="-2277.77965780777"/>
    <m/>
    <m/>
    <n v="0"/>
    <n v="0"/>
    <n v="0"/>
    <m/>
    <m/>
    <b v="0"/>
    <n v="4817"/>
    <n v="1"/>
    <n v="1652"/>
    <s v="Stable"/>
    <n v="906.5"/>
    <n v="734.12"/>
    <n v="19.02"/>
    <n v="0"/>
    <m/>
    <m/>
    <m/>
    <m/>
    <m/>
    <m/>
    <m/>
    <m/>
    <m/>
    <m/>
    <m/>
    <m/>
  </r>
  <r>
    <x v="2"/>
    <s v="Chain 4_Depot 6_SKU 10_44621"/>
    <x v="19"/>
    <x v="1"/>
    <x v="3"/>
    <x v="7"/>
    <x v="5"/>
    <x v="16"/>
    <s v="History"/>
    <n v="14006.54"/>
    <m/>
    <n v="16070.966626343499"/>
    <n v="-2064.4381504746698"/>
    <m/>
    <m/>
    <n v="0"/>
    <n v="0"/>
    <n v="0"/>
    <m/>
    <m/>
    <b v="0"/>
    <n v="2444"/>
    <n v="0"/>
    <n v="1671"/>
    <s v="Stable"/>
    <n v="958.93"/>
    <n v="781.76"/>
    <n v="18.48"/>
    <n v="0"/>
    <m/>
    <m/>
    <m/>
    <m/>
    <m/>
    <m/>
    <m/>
    <m/>
    <m/>
    <m/>
    <m/>
    <m/>
  </r>
  <r>
    <x v="4"/>
    <s v="Chain 4_Depot 6_SKU 10_44682"/>
    <x v="19"/>
    <x v="1"/>
    <x v="3"/>
    <x v="7"/>
    <x v="5"/>
    <x v="16"/>
    <s v="History"/>
    <n v="14314.02"/>
    <m/>
    <n v="16092.5804037775"/>
    <n v="-1778.5703361803701"/>
    <m/>
    <m/>
    <n v="0"/>
    <n v="0"/>
    <n v="0"/>
    <m/>
    <m/>
    <b v="0"/>
    <n v="4170"/>
    <n v="0"/>
    <n v="2395"/>
    <s v="Stable"/>
    <n v="1020.9"/>
    <n v="843.17"/>
    <n v="17.41"/>
    <n v="0"/>
    <m/>
    <m/>
    <m/>
    <m/>
    <m/>
    <m/>
    <m/>
    <m/>
    <m/>
    <m/>
    <m/>
    <m/>
  </r>
  <r>
    <x v="8"/>
    <s v="Chain 4_Depot 6_SKU 10_44866"/>
    <x v="19"/>
    <x v="1"/>
    <x v="3"/>
    <x v="7"/>
    <x v="5"/>
    <x v="16"/>
    <s v="History"/>
    <n v="14564.14"/>
    <m/>
    <n v="16230.719961294801"/>
    <n v="-1666.5858325956999"/>
    <m/>
    <m/>
    <n v="0"/>
    <n v="0"/>
    <n v="0"/>
    <m/>
    <m/>
    <b v="0"/>
    <n v="3642"/>
    <n v="0"/>
    <n v="2270"/>
    <s v="Stable"/>
    <n v="915.11"/>
    <n v="735.39"/>
    <n v="19.64"/>
    <n v="0"/>
    <m/>
    <m/>
    <m/>
    <m/>
    <m/>
    <m/>
    <m/>
    <m/>
    <m/>
    <m/>
    <m/>
    <m/>
  </r>
  <r>
    <x v="9"/>
    <s v="Chain 4_Depot 6_SKU 10_44896"/>
    <x v="19"/>
    <x v="1"/>
    <x v="3"/>
    <x v="7"/>
    <x v="5"/>
    <x v="16"/>
    <s v="History"/>
    <n v="14446.55"/>
    <m/>
    <n v="16282.4515629572"/>
    <n v="-1835.88856269698"/>
    <m/>
    <m/>
    <n v="0"/>
    <n v="0"/>
    <n v="0"/>
    <m/>
    <m/>
    <b v="0"/>
    <n v="3572"/>
    <n v="1"/>
    <n v="2639"/>
    <s v="Stable"/>
    <n v="892.91"/>
    <n v="719.55"/>
    <n v="19.41"/>
    <n v="0"/>
    <m/>
    <m/>
    <m/>
    <m/>
    <m/>
    <m/>
    <m/>
    <m/>
    <m/>
    <m/>
    <m/>
    <m/>
  </r>
  <r>
    <x v="10"/>
    <s v="Chain 4_Depot 6_SKU 10_44927"/>
    <x v="19"/>
    <x v="1"/>
    <x v="3"/>
    <x v="7"/>
    <x v="5"/>
    <x v="16"/>
    <s v="History"/>
    <n v="14469.38"/>
    <m/>
    <n v="16389.007993546998"/>
    <n v="-1919.6403726579199"/>
    <m/>
    <m/>
    <n v="0"/>
    <n v="0"/>
    <n v="0"/>
    <m/>
    <m/>
    <b v="0"/>
    <n v="3358"/>
    <n v="0"/>
    <n v="1596"/>
    <s v="Stable"/>
    <n v="1057.81"/>
    <n v="859.28"/>
    <n v="18.77"/>
    <n v="0"/>
    <m/>
    <m/>
    <m/>
    <m/>
    <m/>
    <m/>
    <m/>
    <m/>
    <m/>
    <m/>
    <m/>
    <m/>
  </r>
  <r>
    <x v="11"/>
    <s v="Chain 4_Depot 6_SKU 10_44958"/>
    <x v="19"/>
    <x v="1"/>
    <x v="3"/>
    <x v="7"/>
    <x v="5"/>
    <x v="16"/>
    <s v="History"/>
    <n v="13937.61"/>
    <m/>
    <n v="16517.951534153301"/>
    <n v="-2580.3359264678402"/>
    <m/>
    <m/>
    <n v="0"/>
    <n v="0"/>
    <n v="0"/>
    <m/>
    <m/>
    <b v="0"/>
    <n v="4139"/>
    <n v="1"/>
    <n v="1449"/>
    <s v="Stable"/>
    <n v="1015.22"/>
    <n v="818.98"/>
    <n v="19.329999999999998"/>
    <n v="0"/>
    <m/>
    <m/>
    <m/>
    <m/>
    <m/>
    <m/>
    <m/>
    <m/>
    <m/>
    <m/>
    <m/>
    <m/>
  </r>
  <r>
    <x v="12"/>
    <s v="Chain 4_Depot 6_SKU 10_44986"/>
    <x v="19"/>
    <x v="1"/>
    <x v="3"/>
    <x v="7"/>
    <x v="5"/>
    <x v="16"/>
    <s v="History"/>
    <n v="14863.26"/>
    <m/>
    <n v="16643.378109343099"/>
    <n v="-1780.12987551641"/>
    <m/>
    <m/>
    <n v="0"/>
    <n v="0"/>
    <n v="0"/>
    <m/>
    <m/>
    <b v="0"/>
    <n v="2062"/>
    <n v="1"/>
    <n v="1484"/>
    <s v="Stable"/>
    <n v="943.89"/>
    <n v="772.39"/>
    <n v="18.170000000000002"/>
    <n v="0"/>
    <m/>
    <m/>
    <m/>
    <m/>
    <m/>
    <m/>
    <m/>
    <m/>
    <m/>
    <m/>
    <m/>
    <m/>
  </r>
  <r>
    <x v="20"/>
    <s v="Chain 4_Depot 6_SKU 10_45383"/>
    <x v="19"/>
    <x v="1"/>
    <x v="3"/>
    <x v="7"/>
    <x v="5"/>
    <x v="16"/>
    <s v="History"/>
    <n v="16268.76"/>
    <m/>
    <n v="18535.240586245702"/>
    <n v="-2266.47953177412"/>
    <m/>
    <m/>
    <n v="0"/>
    <n v="0"/>
    <n v="0"/>
    <m/>
    <m/>
    <b v="0"/>
    <n v="3777"/>
    <n v="0"/>
    <n v="1937"/>
    <s v="Stable"/>
    <n v="1031.47"/>
    <n v="846.52"/>
    <n v="17.93"/>
    <n v="0"/>
    <m/>
    <m/>
    <m/>
    <m/>
    <m/>
    <m/>
    <m/>
    <m/>
    <m/>
    <m/>
    <m/>
    <m/>
  </r>
  <r>
    <x v="21"/>
    <s v="Chain 4_Depot 6_SKU 10_45413"/>
    <x v="19"/>
    <x v="1"/>
    <x v="3"/>
    <x v="7"/>
    <x v="5"/>
    <x v="16"/>
    <s v="History"/>
    <n v="16349.69"/>
    <m/>
    <n v="18678.202486458798"/>
    <n v="-2328.5258734549002"/>
    <m/>
    <m/>
    <n v="0"/>
    <n v="0"/>
    <n v="0"/>
    <m/>
    <m/>
    <b v="0"/>
    <n v="2120"/>
    <n v="1"/>
    <n v="1498"/>
    <s v="Stable"/>
    <n v="932.87"/>
    <n v="744.48"/>
    <n v="20.190000000000001"/>
    <n v="0"/>
    <m/>
    <m/>
    <m/>
    <m/>
    <m/>
    <m/>
    <m/>
    <m/>
    <m/>
    <m/>
    <m/>
    <m/>
  </r>
  <r>
    <x v="22"/>
    <s v="Chain 4_Depot 6_SKU 10_45444"/>
    <x v="19"/>
    <x v="1"/>
    <x v="3"/>
    <x v="7"/>
    <x v="5"/>
    <x v="16"/>
    <s v="History"/>
    <n v="16013.63"/>
    <m/>
    <n v="18825.929752116801"/>
    <n v="-2812.2989110470198"/>
    <m/>
    <m/>
    <n v="0"/>
    <n v="0"/>
    <n v="0"/>
    <m/>
    <m/>
    <b v="0"/>
    <n v="3637"/>
    <n v="1"/>
    <n v="1973"/>
    <s v="Stable"/>
    <n v="964.2"/>
    <n v="770.02"/>
    <n v="20.14"/>
    <n v="0"/>
    <m/>
    <m/>
    <m/>
    <m/>
    <m/>
    <m/>
    <m/>
    <m/>
    <m/>
    <m/>
    <m/>
    <m/>
  </r>
  <r>
    <x v="30"/>
    <s v="Chain 4_Depot 6_SKU 10_45474"/>
    <x v="19"/>
    <x v="1"/>
    <x v="3"/>
    <x v="7"/>
    <x v="5"/>
    <x v="16"/>
    <s v="History"/>
    <n v="16517.97"/>
    <n v="16478.599999999999"/>
    <n v="18968.891620225098"/>
    <n v="-2450.93833066875"/>
    <n v="16678.599999999999"/>
    <n v="16278.6"/>
    <n v="0"/>
    <n v="0"/>
    <n v="0"/>
    <m/>
    <m/>
    <b v="0"/>
    <n v="3364"/>
    <n v="0"/>
    <n v="1633"/>
    <s v="Stable"/>
    <n v="977.77"/>
    <n v="793.24"/>
    <n v="18.87"/>
    <n v="0"/>
    <m/>
    <m/>
    <m/>
    <m/>
    <m/>
    <m/>
    <m/>
    <m/>
    <m/>
    <m/>
    <m/>
    <m/>
  </r>
  <r>
    <x v="23"/>
    <s v="Chain 4_Depot 6_SKU 10_45505"/>
    <x v="19"/>
    <x v="1"/>
    <x v="3"/>
    <x v="7"/>
    <x v="5"/>
    <x v="16"/>
    <s v="History"/>
    <n v="16475.3"/>
    <n v="16622.28"/>
    <n v="19116.618883937001"/>
    <n v="-2641.3099455848801"/>
    <n v="16822.28"/>
    <n v="16422.28"/>
    <n v="0"/>
    <n v="0"/>
    <n v="0"/>
    <m/>
    <m/>
    <b v="0"/>
    <n v="3007"/>
    <n v="0"/>
    <n v="2673"/>
    <s v="Stable"/>
    <n v="963.87"/>
    <n v="779.41"/>
    <n v="19.14"/>
    <n v="0"/>
    <m/>
    <m/>
    <m/>
    <m/>
    <m/>
    <m/>
    <m/>
    <m/>
    <m/>
    <m/>
    <m/>
    <m/>
  </r>
  <r>
    <x v="24"/>
    <s v="Chain 4_Depot 6_SKU 10_45536"/>
    <x v="19"/>
    <x v="1"/>
    <x v="3"/>
    <x v="7"/>
    <x v="5"/>
    <x v="16"/>
    <s v="History"/>
    <n v="16630.93"/>
    <n v="16690.7"/>
    <n v="19264.346147648899"/>
    <n v="-2633.4262750960002"/>
    <n v="16890.7"/>
    <n v="16490.7"/>
    <n v="0"/>
    <n v="0"/>
    <n v="0"/>
    <m/>
    <m/>
    <b v="0"/>
    <n v="2924"/>
    <n v="0"/>
    <n v="2019"/>
    <s v="Stable"/>
    <n v="991.77"/>
    <n v="804.08"/>
    <n v="18.920000000000002"/>
    <n v="0"/>
    <m/>
    <m/>
    <m/>
    <m/>
    <m/>
    <m/>
    <m/>
    <m/>
    <m/>
    <m/>
    <m/>
    <m/>
  </r>
  <r>
    <x v="31"/>
    <s v="Chain 4_Depot 6_SKU 10_45566"/>
    <x v="19"/>
    <x v="1"/>
    <x v="3"/>
    <x v="7"/>
    <x v="5"/>
    <x v="16"/>
    <s v="Forecast"/>
    <m/>
    <n v="16441.61"/>
    <n v="19407.308015757098"/>
    <n v="27421.9505377286"/>
    <n v="16641.61"/>
    <n v="16241.61"/>
    <m/>
    <m/>
    <m/>
    <m/>
    <m/>
    <m/>
    <m/>
    <m/>
    <n v="1114"/>
    <n v="0"/>
    <n v="999.67"/>
    <n v="818.82"/>
    <n v="18.09"/>
    <n v="0"/>
    <m/>
    <m/>
    <m/>
    <m/>
    <m/>
    <m/>
    <m/>
    <m/>
    <m/>
    <m/>
    <m/>
    <m/>
  </r>
  <r>
    <x v="25"/>
    <s v="Chain 4_Depot 6_SKU 10_45597"/>
    <x v="19"/>
    <x v="1"/>
    <x v="3"/>
    <x v="7"/>
    <x v="5"/>
    <x v="16"/>
    <s v="Forecast"/>
    <m/>
    <n v="17412.990000000002"/>
    <n v="19555.035279469001"/>
    <n v="-2695.7563260414399"/>
    <n v="17612.990000000002"/>
    <n v="17212.990000000002"/>
    <m/>
    <m/>
    <m/>
    <m/>
    <m/>
    <m/>
    <m/>
    <m/>
    <n v="1931"/>
    <n v="0"/>
    <n v="934.76"/>
    <n v="762.52"/>
    <n v="18.43"/>
    <n v="0"/>
    <m/>
    <m/>
    <m/>
    <m/>
    <m/>
    <m/>
    <m/>
    <m/>
    <m/>
    <m/>
    <m/>
    <m/>
  </r>
  <r>
    <x v="32"/>
    <s v="Chain 4_Depot 6_SKU 10_45627"/>
    <x v="19"/>
    <x v="1"/>
    <x v="3"/>
    <x v="7"/>
    <x v="5"/>
    <x v="16"/>
    <s v="Forecast"/>
    <m/>
    <n v="17232.5"/>
    <n v="19697.997147577302"/>
    <n v="-1041.90890603809"/>
    <n v="17432.5"/>
    <n v="17032.5"/>
    <m/>
    <m/>
    <m/>
    <m/>
    <m/>
    <m/>
    <m/>
    <m/>
    <n v="1673"/>
    <n v="0"/>
    <n v="1027.27"/>
    <n v="837.88"/>
    <n v="18.440000000000001"/>
    <n v="0"/>
    <m/>
    <m/>
    <m/>
    <m/>
    <m/>
    <m/>
    <m/>
    <m/>
    <m/>
    <m/>
    <m/>
    <m/>
  </r>
  <r>
    <x v="22"/>
    <s v="Chain 4_Depot 6_SKU 24_45444"/>
    <x v="20"/>
    <x v="1"/>
    <x v="3"/>
    <x v="7"/>
    <x v="3"/>
    <x v="17"/>
    <s v="History"/>
    <n v="18206.34"/>
    <m/>
    <n v="0"/>
    <n v="0"/>
    <m/>
    <m/>
    <n v="0"/>
    <n v="0"/>
    <n v="0"/>
    <m/>
    <m/>
    <b v="0"/>
    <n v="2932"/>
    <n v="0"/>
    <n v="2693"/>
    <s v="Strong"/>
    <n v="1176.57"/>
    <n v="1008.16"/>
    <n v="14.31"/>
    <n v="0"/>
    <m/>
    <m/>
    <m/>
    <m/>
    <m/>
    <m/>
    <m/>
    <m/>
    <m/>
    <m/>
    <m/>
    <m/>
  </r>
  <r>
    <x v="30"/>
    <s v="Chain 4_Depot 6_SKU 24_45474"/>
    <x v="20"/>
    <x v="1"/>
    <x v="3"/>
    <x v="7"/>
    <x v="3"/>
    <x v="17"/>
    <s v="History"/>
    <n v="17929.27"/>
    <n v="18029.919999999998"/>
    <n v="0"/>
    <n v="0"/>
    <n v="18229.919999999998"/>
    <n v="17829.919999999998"/>
    <n v="0"/>
    <n v="0"/>
    <n v="0"/>
    <m/>
    <m/>
    <b v="0"/>
    <n v="3663"/>
    <n v="0"/>
    <n v="2247"/>
    <s v="Strong"/>
    <n v="1171.6500000000001"/>
    <n v="1022.49"/>
    <n v="12.73"/>
    <n v="0"/>
    <m/>
    <m/>
    <m/>
    <m/>
    <m/>
    <m/>
    <m/>
    <m/>
    <m/>
    <m/>
    <m/>
    <m/>
  </r>
  <r>
    <x v="23"/>
    <s v="Chain 4_Depot 6_SKU 24_45505"/>
    <x v="20"/>
    <x v="1"/>
    <x v="3"/>
    <x v="7"/>
    <x v="3"/>
    <x v="17"/>
    <s v="History"/>
    <n v="18369.91"/>
    <n v="18401.71"/>
    <n v="0"/>
    <n v="0"/>
    <n v="18601.71"/>
    <n v="18201.71"/>
    <n v="0"/>
    <n v="0"/>
    <n v="0"/>
    <m/>
    <m/>
    <b v="0"/>
    <n v="2556"/>
    <n v="0"/>
    <n v="1800"/>
    <s v="Strong"/>
    <n v="1176.58"/>
    <n v="1007.75"/>
    <n v="14.35"/>
    <n v="0"/>
    <m/>
    <m/>
    <m/>
    <m/>
    <m/>
    <m/>
    <m/>
    <m/>
    <m/>
    <m/>
    <m/>
    <m/>
  </r>
  <r>
    <x v="24"/>
    <s v="Chain 4_Depot 6_SKU 24_45536"/>
    <x v="20"/>
    <x v="1"/>
    <x v="3"/>
    <x v="7"/>
    <x v="3"/>
    <x v="17"/>
    <s v="History"/>
    <n v="18685.759999999998"/>
    <n v="18719.25"/>
    <n v="0"/>
    <n v="0"/>
    <n v="18919.25"/>
    <n v="18519.25"/>
    <n v="0"/>
    <n v="0"/>
    <n v="0"/>
    <m/>
    <m/>
    <b v="0"/>
    <n v="3671"/>
    <n v="0"/>
    <n v="2967"/>
    <s v="Strong"/>
    <n v="1241.05"/>
    <n v="1203.82"/>
    <n v="3"/>
    <n v="1"/>
    <m/>
    <m/>
    <m/>
    <m/>
    <m/>
    <m/>
    <m/>
    <m/>
    <m/>
    <m/>
    <m/>
    <m/>
  </r>
  <r>
    <x v="31"/>
    <s v="Chain 4_Depot 6_SKU 24_45566"/>
    <x v="20"/>
    <x v="1"/>
    <x v="3"/>
    <x v="7"/>
    <x v="3"/>
    <x v="17"/>
    <s v="Forecast"/>
    <m/>
    <n v="18347.95"/>
    <n v="0"/>
    <n v="0"/>
    <n v="18547.95"/>
    <n v="18147.95"/>
    <m/>
    <m/>
    <m/>
    <m/>
    <m/>
    <m/>
    <m/>
    <m/>
    <n v="1277"/>
    <n v="0"/>
    <n v="1226.0999999999999"/>
    <n v="1046.33"/>
    <n v="14.66"/>
    <n v="0"/>
    <m/>
    <m/>
    <m/>
    <m/>
    <m/>
    <m/>
    <m/>
    <m/>
    <m/>
    <m/>
    <m/>
    <m/>
  </r>
  <r>
    <x v="25"/>
    <s v="Chain 4_Depot 6_SKU 24_45597"/>
    <x v="20"/>
    <x v="1"/>
    <x v="3"/>
    <x v="7"/>
    <x v="3"/>
    <x v="17"/>
    <s v="Forecast"/>
    <m/>
    <n v="18445.73"/>
    <n v="0"/>
    <n v="0"/>
    <n v="18645.73"/>
    <n v="18245.73"/>
    <m/>
    <m/>
    <m/>
    <m/>
    <m/>
    <m/>
    <m/>
    <m/>
    <n v="2717"/>
    <n v="0"/>
    <n v="1210.7"/>
    <n v="1031.68"/>
    <n v="14.79"/>
    <n v="0"/>
    <m/>
    <m/>
    <m/>
    <m/>
    <m/>
    <m/>
    <m/>
    <m/>
    <m/>
    <m/>
    <m/>
    <m/>
  </r>
  <r>
    <x v="32"/>
    <s v="Chain 4_Depot 6_SKU 24_45627"/>
    <x v="20"/>
    <x v="1"/>
    <x v="3"/>
    <x v="7"/>
    <x v="3"/>
    <x v="17"/>
    <s v="Forecast"/>
    <m/>
    <n v="18781.47"/>
    <n v="0"/>
    <n v="0"/>
    <n v="18981.47"/>
    <n v="18581.47"/>
    <m/>
    <m/>
    <m/>
    <m/>
    <m/>
    <m/>
    <m/>
    <m/>
    <n v="1365"/>
    <n v="0"/>
    <n v="1263.82"/>
    <n v="1081.0999999999999"/>
    <n v="14.46"/>
    <n v="0"/>
    <m/>
    <m/>
    <m/>
    <m/>
    <m/>
    <m/>
    <m/>
    <m/>
    <m/>
    <m/>
    <m/>
    <m/>
  </r>
  <r>
    <x v="31"/>
    <s v="Chain 4_Depot 6_SKU 25_45566"/>
    <x v="21"/>
    <x v="1"/>
    <x v="3"/>
    <x v="7"/>
    <x v="3"/>
    <x v="11"/>
    <s v="Forecast"/>
    <m/>
    <n v="23131.63"/>
    <n v="0"/>
    <n v="0"/>
    <n v="23331.63"/>
    <n v="22931.63"/>
    <m/>
    <m/>
    <m/>
    <m/>
    <m/>
    <m/>
    <m/>
    <m/>
    <n v="1292"/>
    <n v="0"/>
    <n v="1819.19"/>
    <n v="1599.53"/>
    <n v="12.07"/>
    <n v="0"/>
    <m/>
    <m/>
    <m/>
    <m/>
    <m/>
    <m/>
    <m/>
    <m/>
    <m/>
    <m/>
    <m/>
    <m/>
  </r>
  <r>
    <x v="25"/>
    <s v="Chain 4_Depot 6_SKU 25_45597"/>
    <x v="21"/>
    <x v="1"/>
    <x v="3"/>
    <x v="7"/>
    <x v="3"/>
    <x v="11"/>
    <s v="Forecast"/>
    <m/>
    <n v="23543.43"/>
    <n v="0"/>
    <n v="0"/>
    <n v="23743.43"/>
    <n v="23343.43"/>
    <m/>
    <m/>
    <m/>
    <m/>
    <m/>
    <m/>
    <m/>
    <m/>
    <n v="2292"/>
    <n v="0"/>
    <n v="1660.36"/>
    <n v="1451.29"/>
    <n v="12.59"/>
    <n v="0"/>
    <m/>
    <m/>
    <m/>
    <m/>
    <m/>
    <m/>
    <m/>
    <m/>
    <m/>
    <m/>
    <m/>
    <m/>
  </r>
  <r>
    <x v="32"/>
    <s v="Chain 4_Depot 6_SKU 25_45627"/>
    <x v="21"/>
    <x v="1"/>
    <x v="3"/>
    <x v="7"/>
    <x v="3"/>
    <x v="11"/>
    <s v="Forecast"/>
    <m/>
    <n v="23551.47"/>
    <n v="0"/>
    <n v="0"/>
    <n v="23751.47"/>
    <n v="23351.47"/>
    <m/>
    <m/>
    <m/>
    <m/>
    <m/>
    <m/>
    <m/>
    <m/>
    <n v="2884"/>
    <n v="0"/>
    <n v="1771.36"/>
    <n v="1586.84"/>
    <n v="10.42"/>
    <n v="0"/>
    <m/>
    <m/>
    <m/>
    <m/>
    <m/>
    <m/>
    <m/>
    <m/>
    <m/>
    <m/>
    <m/>
    <m/>
  </r>
  <r>
    <x v="0"/>
    <s v="Chain 4_Depot 7_SKU 12_44562"/>
    <x v="22"/>
    <x v="1"/>
    <x v="3"/>
    <x v="3"/>
    <x v="5"/>
    <x v="18"/>
    <s v="History"/>
    <n v="1350"/>
    <m/>
    <n v="230.54692499999999"/>
    <n v="51.045119994354103"/>
    <m/>
    <m/>
    <n v="0"/>
    <n v="0"/>
    <n v="0"/>
    <n v="3"/>
    <m/>
    <b v="0"/>
    <n v="4410"/>
    <n v="0"/>
    <n v="2173"/>
    <s v="Stable"/>
    <n v="1644.76"/>
    <n v="1407.84"/>
    <n v="14.4"/>
    <n v="0"/>
    <m/>
    <m/>
    <m/>
    <m/>
    <m/>
    <m/>
    <m/>
    <m/>
    <m/>
    <m/>
    <m/>
    <m/>
  </r>
  <r>
    <x v="1"/>
    <s v="Chain 4_Depot 7_SKU 12_44593"/>
    <x v="22"/>
    <x v="1"/>
    <x v="3"/>
    <x v="3"/>
    <x v="5"/>
    <x v="18"/>
    <s v="History"/>
    <n v="225"/>
    <m/>
    <n v="413.62262879876698"/>
    <n v="-2269.7120307832201"/>
    <m/>
    <m/>
    <n v="0"/>
    <n v="0"/>
    <n v="0"/>
    <n v="3"/>
    <m/>
    <b v="0"/>
    <n v="3820"/>
    <n v="0"/>
    <n v="1799"/>
    <s v="Stable"/>
    <n v="1656.13"/>
    <n v="1422.08"/>
    <n v="14.13"/>
    <n v="0"/>
    <m/>
    <m/>
    <m/>
    <m/>
    <m/>
    <m/>
    <m/>
    <m/>
    <m/>
    <m/>
    <m/>
    <m/>
  </r>
  <r>
    <x v="2"/>
    <s v="Chain 4_Depot 7_SKU 12_44621"/>
    <x v="22"/>
    <x v="1"/>
    <x v="3"/>
    <x v="3"/>
    <x v="5"/>
    <x v="18"/>
    <s v="History"/>
    <n v="360"/>
    <m/>
    <n v="578.98132892719696"/>
    <n v="-86.247263570469997"/>
    <m/>
    <m/>
    <n v="0"/>
    <n v="0"/>
    <n v="0"/>
    <n v="3"/>
    <m/>
    <b v="0"/>
    <n v="4964"/>
    <n v="1"/>
    <n v="1872"/>
    <s v="Stable"/>
    <n v="1613.49"/>
    <n v="1372.61"/>
    <n v="14.93"/>
    <n v="0"/>
    <m/>
    <m/>
    <m/>
    <m/>
    <m/>
    <m/>
    <m/>
    <m/>
    <m/>
    <m/>
    <m/>
    <m/>
  </r>
  <r>
    <x v="3"/>
    <s v="Chain 4_Depot 7_SKU 12_44652"/>
    <x v="22"/>
    <x v="1"/>
    <x v="3"/>
    <x v="3"/>
    <x v="5"/>
    <x v="18"/>
    <s v="History"/>
    <n v="270"/>
    <m/>
    <n v="762.05703275071301"/>
    <n v="3488.2331174701399"/>
    <m/>
    <m/>
    <n v="0"/>
    <n v="0"/>
    <n v="0"/>
    <n v="3"/>
    <m/>
    <b v="0"/>
    <n v="4521"/>
    <n v="1"/>
    <n v="2363"/>
    <s v="Stable"/>
    <n v="1705.59"/>
    <n v="1468.28"/>
    <n v="13.91"/>
    <n v="0"/>
    <m/>
    <m/>
    <m/>
    <m/>
    <m/>
    <m/>
    <m/>
    <m/>
    <m/>
    <m/>
    <m/>
    <m/>
  </r>
  <r>
    <x v="4"/>
    <s v="Chain 4_Depot 7_SKU 12_44682"/>
    <x v="22"/>
    <x v="1"/>
    <x v="3"/>
    <x v="3"/>
    <x v="5"/>
    <x v="18"/>
    <s v="History"/>
    <n v="45"/>
    <m/>
    <n v="939.22706873881498"/>
    <n v="-426.48510779480102"/>
    <m/>
    <m/>
    <n v="0"/>
    <n v="0"/>
    <n v="0"/>
    <n v="3"/>
    <m/>
    <b v="0"/>
    <n v="3869"/>
    <n v="0"/>
    <n v="1128"/>
    <s v="Stable"/>
    <n v="1588.19"/>
    <n v="1375.45"/>
    <n v="13.4"/>
    <n v="0"/>
    <m/>
    <m/>
    <m/>
    <m/>
    <m/>
    <m/>
    <m/>
    <m/>
    <m/>
    <m/>
    <m/>
    <m/>
  </r>
  <r>
    <x v="5"/>
    <s v="Chain 4_Depot 7_SKU 12_44713"/>
    <x v="22"/>
    <x v="1"/>
    <x v="3"/>
    <x v="3"/>
    <x v="5"/>
    <x v="18"/>
    <s v="History"/>
    <n v="0"/>
    <m/>
    <n v="1122.3027726536"/>
    <n v="-219.58203887731801"/>
    <m/>
    <m/>
    <n v="0"/>
    <n v="0"/>
    <n v="0"/>
    <n v="3"/>
    <m/>
    <b v="0"/>
    <n v="4568"/>
    <n v="0"/>
    <n v="1437"/>
    <s v="Stable"/>
    <n v="1671.38"/>
    <n v="1436.02"/>
    <n v="14.08"/>
    <n v="0"/>
    <m/>
    <m/>
    <m/>
    <m/>
    <m/>
    <m/>
    <m/>
    <m/>
    <m/>
    <m/>
    <m/>
    <m/>
  </r>
  <r>
    <x v="6"/>
    <s v="Chain 4_Depot 7_SKU 12_44743"/>
    <x v="22"/>
    <x v="1"/>
    <x v="3"/>
    <x v="3"/>
    <x v="5"/>
    <x v="18"/>
    <s v="History"/>
    <n v="0"/>
    <m/>
    <n v="1299.4728087875501"/>
    <n v="-587.57304407261097"/>
    <m/>
    <m/>
    <n v="0"/>
    <n v="0"/>
    <n v="0"/>
    <n v="3"/>
    <m/>
    <b v="0"/>
    <n v="3786"/>
    <n v="0"/>
    <n v="1750"/>
    <s v="Stable"/>
    <n v="1706.09"/>
    <n v="1480.8"/>
    <n v="13.21"/>
    <n v="0"/>
    <m/>
    <m/>
    <m/>
    <m/>
    <m/>
    <m/>
    <m/>
    <m/>
    <m/>
    <m/>
    <m/>
    <m/>
  </r>
  <r>
    <x v="7"/>
    <s v="Chain 4_Depot 7_SKU 12_44774"/>
    <x v="22"/>
    <x v="1"/>
    <x v="3"/>
    <x v="3"/>
    <x v="5"/>
    <x v="18"/>
    <s v="History"/>
    <n v="315"/>
    <m/>
    <n v="1482.5485128897501"/>
    <n v="-1483.21714210663"/>
    <m/>
    <m/>
    <n v="0"/>
    <n v="0"/>
    <n v="0"/>
    <n v="3"/>
    <m/>
    <b v="0"/>
    <n v="3454"/>
    <n v="0"/>
    <n v="1500"/>
    <s v="Stable"/>
    <n v="1671.05"/>
    <n v="1425.82"/>
    <n v="14.68"/>
    <n v="0"/>
    <m/>
    <m/>
    <m/>
    <m/>
    <m/>
    <m/>
    <m/>
    <m/>
    <m/>
    <m/>
    <m/>
    <m/>
  </r>
  <r>
    <x v="35"/>
    <s v="Chain 4_Depot 7_SKU 12_44805"/>
    <x v="22"/>
    <x v="1"/>
    <x v="3"/>
    <x v="3"/>
    <x v="5"/>
    <x v="18"/>
    <s v="History"/>
    <n v="0"/>
    <m/>
    <n v="1665.62421698606"/>
    <n v="-2136.32700871922"/>
    <m/>
    <m/>
    <n v="0"/>
    <n v="0"/>
    <n v="0"/>
    <n v="3"/>
    <m/>
    <b v="0"/>
    <n v="3867"/>
    <n v="1"/>
    <n v="2081"/>
    <s v="Stable"/>
    <n v="1636.87"/>
    <n v="1426.3"/>
    <n v="12.86"/>
    <n v="0"/>
    <m/>
    <m/>
    <m/>
    <m/>
    <m/>
    <m/>
    <m/>
    <m/>
    <m/>
    <m/>
    <m/>
    <m/>
  </r>
  <r>
    <x v="33"/>
    <s v="Chain 4_Depot 7_SKU 12_44835"/>
    <x v="22"/>
    <x v="1"/>
    <x v="3"/>
    <x v="3"/>
    <x v="5"/>
    <x v="18"/>
    <s v="History"/>
    <n v="1485"/>
    <m/>
    <n v="1842.79425330611"/>
    <n v="719.21327074800399"/>
    <m/>
    <m/>
    <n v="0"/>
    <n v="0"/>
    <n v="0"/>
    <n v="3"/>
    <m/>
    <b v="0"/>
    <n v="4738"/>
    <n v="0"/>
    <n v="2221"/>
    <s v="Stable"/>
    <n v="1620.59"/>
    <n v="1397.82"/>
    <n v="13.75"/>
    <n v="0"/>
    <m/>
    <m/>
    <m/>
    <m/>
    <m/>
    <m/>
    <m/>
    <m/>
    <m/>
    <m/>
    <m/>
    <m/>
  </r>
  <r>
    <x v="8"/>
    <s v="Chain 4_Depot 7_SKU 12_44866"/>
    <x v="22"/>
    <x v="1"/>
    <x v="3"/>
    <x v="3"/>
    <x v="5"/>
    <x v="18"/>
    <s v="History"/>
    <n v="3150"/>
    <m/>
    <n v="2025.8699574319901"/>
    <n v="1119.86118500731"/>
    <m/>
    <m/>
    <n v="0"/>
    <n v="0"/>
    <n v="0"/>
    <n v="3"/>
    <m/>
    <b v="0"/>
    <n v="4579"/>
    <n v="1"/>
    <n v="1210"/>
    <s v="Stable"/>
    <n v="1698.8"/>
    <n v="1489.46"/>
    <n v="12.32"/>
    <n v="0"/>
    <m/>
    <m/>
    <m/>
    <m/>
    <m/>
    <m/>
    <m/>
    <m/>
    <m/>
    <m/>
    <m/>
    <m/>
  </r>
  <r>
    <x v="9"/>
    <s v="Chain 4_Depot 7_SKU 12_44896"/>
    <x v="22"/>
    <x v="1"/>
    <x v="3"/>
    <x v="3"/>
    <x v="5"/>
    <x v="18"/>
    <s v="History"/>
    <n v="2317.5"/>
    <m/>
    <n v="2203.03999363921"/>
    <n v="-232.691857634673"/>
    <m/>
    <m/>
    <n v="0"/>
    <n v="0"/>
    <n v="0"/>
    <n v="4"/>
    <m/>
    <b v="0"/>
    <n v="4007"/>
    <n v="0"/>
    <n v="2937"/>
    <s v="Stable"/>
    <n v="1575.85"/>
    <n v="1395.36"/>
    <n v="11.45"/>
    <n v="0"/>
    <m/>
    <m/>
    <m/>
    <m/>
    <m/>
    <m/>
    <m/>
    <m/>
    <m/>
    <m/>
    <m/>
    <m/>
  </r>
  <r>
    <x v="10"/>
    <s v="Chain 4_Depot 7_SKU 12_44927"/>
    <x v="22"/>
    <x v="1"/>
    <x v="3"/>
    <x v="3"/>
    <x v="5"/>
    <x v="18"/>
    <s v="History"/>
    <n v="45"/>
    <m/>
    <n v="2386.11569777869"/>
    <n v="-351.95394968034498"/>
    <m/>
    <m/>
    <n v="0"/>
    <n v="0"/>
    <n v="1"/>
    <n v="4"/>
    <m/>
    <b v="0"/>
    <n v="3434"/>
    <n v="0"/>
    <n v="1901"/>
    <s v="Stable"/>
    <n v="1598.49"/>
    <n v="1369.3"/>
    <n v="14.34"/>
    <n v="0"/>
    <m/>
    <m/>
    <m/>
    <m/>
    <m/>
    <m/>
    <m/>
    <m/>
    <m/>
    <m/>
    <m/>
    <m/>
  </r>
  <r>
    <x v="11"/>
    <s v="Chain 4_Depot 7_SKU 12_44958"/>
    <x v="22"/>
    <x v="1"/>
    <x v="3"/>
    <x v="3"/>
    <x v="5"/>
    <x v="18"/>
    <s v="History"/>
    <n v="90"/>
    <m/>
    <n v="2569.1914018100601"/>
    <n v="-1884.1659468764501"/>
    <m/>
    <m/>
    <n v="0"/>
    <n v="0"/>
    <n v="0"/>
    <n v="4"/>
    <m/>
    <b v="0"/>
    <n v="2839"/>
    <n v="0"/>
    <n v="1044"/>
    <s v="Stable"/>
    <n v="1627.12"/>
    <n v="1394.49"/>
    <n v="14.3"/>
    <n v="0"/>
    <m/>
    <m/>
    <m/>
    <m/>
    <m/>
    <m/>
    <m/>
    <m/>
    <m/>
    <m/>
    <m/>
    <m/>
  </r>
  <r>
    <x v="12"/>
    <s v="Chain 4_Depot 7_SKU 12_44986"/>
    <x v="22"/>
    <x v="1"/>
    <x v="3"/>
    <x v="3"/>
    <x v="5"/>
    <x v="18"/>
    <s v="History"/>
    <n v="2250"/>
    <m/>
    <n v="2734.5501022314102"/>
    <n v="-501.236579715343"/>
    <m/>
    <m/>
    <n v="0"/>
    <n v="0"/>
    <n v="0"/>
    <n v="4"/>
    <m/>
    <b v="0"/>
    <n v="2240"/>
    <n v="1"/>
    <n v="2120"/>
    <s v="Stable"/>
    <n v="1708.88"/>
    <n v="1467.69"/>
    <n v="14.11"/>
    <n v="0"/>
    <m/>
    <m/>
    <m/>
    <m/>
    <m/>
    <m/>
    <m/>
    <m/>
    <m/>
    <m/>
    <m/>
    <m/>
  </r>
  <r>
    <x v="13"/>
    <s v="Chain 4_Depot 7_SKU 12_45017"/>
    <x v="22"/>
    <x v="1"/>
    <x v="3"/>
    <x v="3"/>
    <x v="5"/>
    <x v="18"/>
    <s v="History"/>
    <n v="9450"/>
    <m/>
    <n v="2917.6258063569398"/>
    <n v="3891.9491524298201"/>
    <m/>
    <m/>
    <n v="0"/>
    <n v="0"/>
    <n v="0"/>
    <n v="4"/>
    <m/>
    <b v="0"/>
    <n v="2535"/>
    <n v="0"/>
    <n v="2302"/>
    <s v="Stable"/>
    <n v="1665.99"/>
    <n v="1444.87"/>
    <n v="13.27"/>
    <n v="0"/>
    <m/>
    <m/>
    <m/>
    <m/>
    <m/>
    <m/>
    <m/>
    <m/>
    <m/>
    <m/>
    <m/>
    <m/>
  </r>
  <r>
    <x v="14"/>
    <s v="Chain 4_Depot 7_SKU 12_45047"/>
    <x v="22"/>
    <x v="1"/>
    <x v="3"/>
    <x v="3"/>
    <x v="5"/>
    <x v="18"/>
    <s v="History"/>
    <n v="1935"/>
    <m/>
    <n v="3094.79584253962"/>
    <n v="-804.80243120621606"/>
    <m/>
    <m/>
    <n v="0"/>
    <n v="0"/>
    <n v="0"/>
    <n v="4"/>
    <m/>
    <b v="0"/>
    <n v="3407"/>
    <n v="0"/>
    <n v="1534"/>
    <s v="Stable"/>
    <n v="1598.6"/>
    <n v="1398.1"/>
    <n v="12.54"/>
    <n v="0"/>
    <m/>
    <m/>
    <m/>
    <m/>
    <m/>
    <m/>
    <m/>
    <m/>
    <m/>
    <m/>
    <m/>
    <m/>
  </r>
  <r>
    <x v="15"/>
    <s v="Chain 4_Depot 7_SKU 12_45078"/>
    <x v="22"/>
    <x v="1"/>
    <x v="3"/>
    <x v="3"/>
    <x v="5"/>
    <x v="18"/>
    <s v="History"/>
    <n v="4410"/>
    <m/>
    <n v="3277.87154654915"/>
    <n v="181.49088610458699"/>
    <m/>
    <m/>
    <n v="0"/>
    <n v="0"/>
    <n v="0"/>
    <n v="4"/>
    <m/>
    <b v="1"/>
    <n v="2082"/>
    <n v="0"/>
    <n v="2433"/>
    <s v="Stable"/>
    <n v="1631.48"/>
    <n v="1394.58"/>
    <n v="14.52"/>
    <n v="0"/>
    <m/>
    <m/>
    <m/>
    <m/>
    <m/>
    <m/>
    <m/>
    <m/>
    <m/>
    <m/>
    <m/>
    <m/>
  </r>
  <r>
    <x v="16"/>
    <s v="Chain 4_Depot 7_SKU 12_45108"/>
    <x v="22"/>
    <x v="1"/>
    <x v="3"/>
    <x v="3"/>
    <x v="5"/>
    <x v="18"/>
    <s v="History"/>
    <n v="3195"/>
    <m/>
    <n v="3455.0415826732001"/>
    <n v="-995.73911555358302"/>
    <m/>
    <m/>
    <n v="0"/>
    <n v="0"/>
    <n v="0"/>
    <n v="4"/>
    <m/>
    <b v="0"/>
    <n v="2981"/>
    <n v="0"/>
    <n v="1460"/>
    <s v="Stable"/>
    <n v="1616.28"/>
    <n v="1398.3"/>
    <n v="13.49"/>
    <n v="0"/>
    <m/>
    <m/>
    <m/>
    <m/>
    <m/>
    <m/>
    <m/>
    <m/>
    <m/>
    <m/>
    <m/>
    <m/>
  </r>
  <r>
    <x v="26"/>
    <s v="Chain 4_Depot 7_SKU 12_45139"/>
    <x v="22"/>
    <x v="1"/>
    <x v="3"/>
    <x v="3"/>
    <x v="5"/>
    <x v="18"/>
    <s v="History"/>
    <n v="4545"/>
    <m/>
    <n v="3638.1172866325501"/>
    <n v="-1044.82102214874"/>
    <m/>
    <m/>
    <n v="0"/>
    <n v="0"/>
    <n v="0"/>
    <n v="4"/>
    <m/>
    <b v="0"/>
    <n v="2950"/>
    <n v="0"/>
    <n v="1390"/>
    <s v="Stable"/>
    <n v="1611.51"/>
    <n v="1385.83"/>
    <n v="14"/>
    <n v="0"/>
    <m/>
    <m/>
    <m/>
    <m/>
    <m/>
    <m/>
    <m/>
    <m/>
    <m/>
    <m/>
    <m/>
    <m/>
  </r>
  <r>
    <x v="27"/>
    <s v="Chain 4_Depot 7_SKU 12_45170"/>
    <x v="22"/>
    <x v="1"/>
    <x v="3"/>
    <x v="3"/>
    <x v="5"/>
    <x v="18"/>
    <s v="History"/>
    <n v="3105"/>
    <m/>
    <n v="3821.19299065424"/>
    <n v="-2566.4848601369299"/>
    <m/>
    <m/>
    <n v="0"/>
    <n v="0"/>
    <n v="0"/>
    <n v="4"/>
    <m/>
    <b v="1"/>
    <n v="2610"/>
    <n v="1"/>
    <n v="2870"/>
    <s v="Stable"/>
    <n v="1695.94"/>
    <n v="1471.23"/>
    <n v="13.25"/>
    <n v="0"/>
    <m/>
    <m/>
    <m/>
    <m/>
    <m/>
    <m/>
    <m/>
    <m/>
    <m/>
    <m/>
    <m/>
    <m/>
  </r>
  <r>
    <x v="34"/>
    <s v="Chain 4_Depot 7_SKU 12_45200"/>
    <x v="22"/>
    <x v="1"/>
    <x v="3"/>
    <x v="3"/>
    <x v="5"/>
    <x v="18"/>
    <s v="History"/>
    <n v="6210"/>
    <m/>
    <n v="3998.3630268266402"/>
    <n v="1111.65724537347"/>
    <m/>
    <m/>
    <n v="0"/>
    <n v="0"/>
    <n v="0"/>
    <n v="4"/>
    <m/>
    <b v="0"/>
    <n v="2573"/>
    <n v="0"/>
    <n v="2067"/>
    <s v="Stable"/>
    <n v="1578.41"/>
    <n v="1383.34"/>
    <n v="12.36"/>
    <n v="0"/>
    <m/>
    <m/>
    <m/>
    <m/>
    <m/>
    <m/>
    <m/>
    <m/>
    <m/>
    <m/>
    <m/>
    <m/>
  </r>
  <r>
    <x v="28"/>
    <s v="Chain 4_Depot 7_SKU 12_45231"/>
    <x v="22"/>
    <x v="1"/>
    <x v="3"/>
    <x v="3"/>
    <x v="5"/>
    <x v="18"/>
    <s v="History"/>
    <n v="4905"/>
    <m/>
    <n v="4181.4381210812899"/>
    <n v="719.97366983777397"/>
    <m/>
    <m/>
    <n v="0"/>
    <n v="0"/>
    <n v="0"/>
    <n v="4"/>
    <m/>
    <b v="0"/>
    <n v="4333"/>
    <n v="0"/>
    <n v="1026"/>
    <s v="Stable"/>
    <n v="1727.44"/>
    <n v="1483.73"/>
    <n v="14.11"/>
    <n v="0"/>
    <m/>
    <m/>
    <m/>
    <m/>
    <m/>
    <m/>
    <m/>
    <m/>
    <m/>
    <m/>
    <m/>
    <m/>
  </r>
  <r>
    <x v="29"/>
    <s v="Chain 4_Depot 7_SKU 12_45261"/>
    <x v="22"/>
    <x v="1"/>
    <x v="3"/>
    <x v="3"/>
    <x v="5"/>
    <x v="18"/>
    <s v="History"/>
    <n v="4185"/>
    <m/>
    <n v="4358.6075672086399"/>
    <n v="181.149074847327"/>
    <m/>
    <m/>
    <n v="0"/>
    <n v="0"/>
    <n v="0"/>
    <n v="4"/>
    <m/>
    <b v="0"/>
    <n v="2988"/>
    <n v="1"/>
    <n v="1793"/>
    <s v="Stable"/>
    <n v="1688.41"/>
    <n v="1426.07"/>
    <n v="15.54"/>
    <n v="0"/>
    <m/>
    <m/>
    <m/>
    <m/>
    <m/>
    <m/>
    <m/>
    <m/>
    <m/>
    <m/>
    <m/>
    <m/>
  </r>
  <r>
    <x v="17"/>
    <s v="Chain 4_Depot 7_SKU 12_45292"/>
    <x v="22"/>
    <x v="1"/>
    <x v="3"/>
    <x v="3"/>
    <x v="5"/>
    <x v="18"/>
    <s v="History"/>
    <n v="4725"/>
    <m/>
    <n v="4541.6826002261696"/>
    <n v="-755.35722118487104"/>
    <m/>
    <m/>
    <n v="0"/>
    <n v="0"/>
    <n v="0"/>
    <n v="4"/>
    <m/>
    <b v="0"/>
    <n v="2458"/>
    <n v="2"/>
    <n v="2120"/>
    <s v="Stable"/>
    <n v="1701.54"/>
    <n v="1478.23"/>
    <n v="13.12"/>
    <n v="0"/>
    <m/>
    <m/>
    <m/>
    <m/>
    <m/>
    <m/>
    <m/>
    <m/>
    <m/>
    <m/>
    <m/>
    <m/>
  </r>
  <r>
    <x v="18"/>
    <s v="Chain 4_Depot 7_SKU 12_45323"/>
    <x v="22"/>
    <x v="1"/>
    <x v="3"/>
    <x v="3"/>
    <x v="5"/>
    <x v="18"/>
    <s v="History"/>
    <n v="1755"/>
    <m/>
    <n v="4724.7576332605204"/>
    <n v="-1497.3892951043699"/>
    <m/>
    <m/>
    <n v="0"/>
    <n v="0"/>
    <n v="0"/>
    <n v="4"/>
    <m/>
    <b v="0"/>
    <n v="4173"/>
    <n v="0"/>
    <n v="1974"/>
    <s v="Stable"/>
    <n v="1623.85"/>
    <n v="1385.13"/>
    <n v="14.7"/>
    <n v="0"/>
    <m/>
    <m/>
    <m/>
    <m/>
    <m/>
    <m/>
    <m/>
    <m/>
    <m/>
    <m/>
    <m/>
    <m/>
  </r>
  <r>
    <x v="19"/>
    <s v="Chain 4_Depot 7_SKU 12_45352"/>
    <x v="22"/>
    <x v="1"/>
    <x v="3"/>
    <x v="3"/>
    <x v="5"/>
    <x v="18"/>
    <s v="History"/>
    <n v="5715"/>
    <m/>
    <n v="4896.02137379956"/>
    <n v="746.77068116890598"/>
    <m/>
    <m/>
    <n v="0"/>
    <n v="0"/>
    <n v="0"/>
    <n v="4"/>
    <m/>
    <b v="0"/>
    <n v="3522"/>
    <n v="0"/>
    <n v="1547"/>
    <s v="Stable"/>
    <n v="1639.5"/>
    <n v="1409.79"/>
    <n v="14.01"/>
    <n v="0"/>
    <m/>
    <m/>
    <m/>
    <m/>
    <m/>
    <m/>
    <m/>
    <m/>
    <m/>
    <m/>
    <m/>
    <m/>
  </r>
  <r>
    <x v="20"/>
    <s v="Chain 4_Depot 7_SKU 12_45383"/>
    <x v="22"/>
    <x v="1"/>
    <x v="3"/>
    <x v="3"/>
    <x v="5"/>
    <x v="18"/>
    <s v="History"/>
    <n v="9135"/>
    <m/>
    <n v="5079.0964067895802"/>
    <n v="2678.8411993720001"/>
    <m/>
    <m/>
    <n v="0"/>
    <n v="0"/>
    <n v="0"/>
    <n v="4"/>
    <m/>
    <b v="0"/>
    <n v="3522"/>
    <n v="0"/>
    <n v="1547"/>
    <s v="Stable"/>
    <n v="1639.5"/>
    <n v="1409.79"/>
    <n v="14.01"/>
    <n v="0"/>
    <m/>
    <m/>
    <m/>
    <m/>
    <m/>
    <m/>
    <m/>
    <m/>
    <m/>
    <m/>
    <m/>
    <m/>
  </r>
  <r>
    <x v="21"/>
    <s v="Chain 4_Depot 7_SKU 12_45413"/>
    <x v="22"/>
    <x v="1"/>
    <x v="3"/>
    <x v="3"/>
    <x v="5"/>
    <x v="18"/>
    <s v="History"/>
    <n v="6390"/>
    <m/>
    <n v="5256.2657935541101"/>
    <n v="332.71411118210301"/>
    <m/>
    <m/>
    <n v="0"/>
    <n v="0"/>
    <n v="1"/>
    <n v="4"/>
    <m/>
    <b v="0"/>
    <n v="4601"/>
    <n v="1"/>
    <n v="1566"/>
    <s v="Stable"/>
    <n v="1620.77"/>
    <n v="1400.82"/>
    <n v="13.57"/>
    <n v="0"/>
    <m/>
    <m/>
    <m/>
    <m/>
    <m/>
    <m/>
    <m/>
    <m/>
    <m/>
    <m/>
    <m/>
    <m/>
  </r>
  <r>
    <x v="22"/>
    <s v="Chain 4_Depot 7_SKU 12_45444"/>
    <x v="22"/>
    <x v="1"/>
    <x v="3"/>
    <x v="3"/>
    <x v="5"/>
    <x v="18"/>
    <s v="History"/>
    <n v="4365"/>
    <m/>
    <n v="5439.3408265441203"/>
    <n v="-1021.56100553795"/>
    <m/>
    <m/>
    <n v="0"/>
    <n v="0"/>
    <n v="0"/>
    <n v="4"/>
    <m/>
    <b v="0"/>
    <n v="4657"/>
    <n v="1"/>
    <n v="1703"/>
    <s v="Stable"/>
    <n v="1671.68"/>
    <n v="1438.15"/>
    <n v="13.97"/>
    <n v="0"/>
    <m/>
    <m/>
    <m/>
    <m/>
    <m/>
    <m/>
    <m/>
    <m/>
    <m/>
    <m/>
    <m/>
    <m/>
  </r>
  <r>
    <x v="30"/>
    <s v="Chain 4_Depot 7_SKU 12_45474"/>
    <x v="22"/>
    <x v="1"/>
    <x v="3"/>
    <x v="3"/>
    <x v="5"/>
    <x v="18"/>
    <s v="History"/>
    <n v="5805"/>
    <n v="6402"/>
    <n v="5616.5102133086502"/>
    <n v="229.83228482769599"/>
    <n v="4609.4399999999996"/>
    <n v="7618.38"/>
    <n v="0"/>
    <n v="0"/>
    <n v="0"/>
    <n v="5"/>
    <m/>
    <b v="0"/>
    <n v="3984"/>
    <n v="0"/>
    <n v="2242"/>
    <s v="Stable"/>
    <n v="1711.8"/>
    <n v="1464.55"/>
    <n v="10"/>
    <n v="0"/>
    <m/>
    <m/>
    <m/>
    <m/>
    <m/>
    <m/>
    <m/>
    <m/>
    <m/>
    <m/>
    <m/>
    <m/>
  </r>
  <r>
    <x v="23"/>
    <s v="Chain 4_Depot 7_SKU 12_45505"/>
    <x v="22"/>
    <x v="1"/>
    <x v="3"/>
    <x v="3"/>
    <x v="5"/>
    <x v="18"/>
    <s v="History"/>
    <n v="1125"/>
    <n v="4793"/>
    <n v="5799.5852462986604"/>
    <n v="-2360.03499410936"/>
    <n v="3642.68"/>
    <n v="5847.46"/>
    <n v="0"/>
    <n v="0"/>
    <n v="0"/>
    <n v="5"/>
    <m/>
    <b v="0"/>
    <n v="3566"/>
    <n v="0"/>
    <n v="1184"/>
    <s v="Stable"/>
    <n v="1591.64"/>
    <n v="1324.76"/>
    <n v="5"/>
    <n v="0"/>
    <m/>
    <m/>
    <m/>
    <m/>
    <m/>
    <m/>
    <m/>
    <m/>
    <m/>
    <m/>
    <m/>
    <m/>
  </r>
  <r>
    <x v="24"/>
    <s v="Chain 4_Depot 7_SKU 12_45536"/>
    <x v="22"/>
    <x v="1"/>
    <x v="3"/>
    <x v="3"/>
    <x v="5"/>
    <x v="18"/>
    <s v="History"/>
    <n v="2430"/>
    <n v="3458"/>
    <n v="5982.6602792886797"/>
    <n v="-1276.2542601396201"/>
    <n v="2904.72"/>
    <n v="3803.8"/>
    <n v="0"/>
    <n v="0"/>
    <n v="0"/>
    <n v="5"/>
    <m/>
    <b v="0"/>
    <n v="4159"/>
    <n v="0"/>
    <n v="2092"/>
    <s v="Stable"/>
    <n v="1628.72"/>
    <n v="1414.23"/>
    <n v="12"/>
    <n v="0"/>
    <m/>
    <m/>
    <m/>
    <m/>
    <m/>
    <m/>
    <m/>
    <m/>
    <m/>
    <m/>
    <m/>
    <m/>
  </r>
  <r>
    <x v="31"/>
    <s v="Chain 4_Depot 7_SKU 12_45566"/>
    <x v="22"/>
    <x v="1"/>
    <x v="3"/>
    <x v="3"/>
    <x v="5"/>
    <x v="18"/>
    <s v="Forecast"/>
    <m/>
    <n v="3294"/>
    <n v="6159.8296660532096"/>
    <n v="-66.845248825420001"/>
    <n v="2734.02"/>
    <n v="4084.56"/>
    <m/>
    <m/>
    <m/>
    <m/>
    <m/>
    <m/>
    <m/>
    <m/>
    <n v="2852"/>
    <n v="0"/>
    <n v="1639.44"/>
    <n v="1407.93"/>
    <m/>
    <n v="0"/>
    <m/>
    <m/>
    <m/>
    <m/>
    <m/>
    <m/>
    <m/>
    <m/>
    <m/>
    <m/>
    <m/>
    <m/>
  </r>
  <r>
    <x v="25"/>
    <s v="Chain 4_Depot 7_SKU 12_45597"/>
    <x v="22"/>
    <x v="1"/>
    <x v="3"/>
    <x v="3"/>
    <x v="5"/>
    <x v="18"/>
    <s v="Forecast"/>
    <m/>
    <n v="2784"/>
    <n v="6342.9046990432198"/>
    <n v="1918.0506315103401"/>
    <n v="2310.7199999999998"/>
    <n v="3591.36"/>
    <m/>
    <m/>
    <m/>
    <m/>
    <m/>
    <m/>
    <m/>
    <m/>
    <n v="2153"/>
    <n v="0"/>
    <n v="1577.21"/>
    <n v="1529.89"/>
    <m/>
    <n v="1"/>
    <m/>
    <m/>
    <m/>
    <m/>
    <m/>
    <m/>
    <m/>
    <m/>
    <m/>
    <m/>
    <m/>
    <m/>
  </r>
  <r>
    <x v="32"/>
    <s v="Chain 4_Depot 7_SKU 12_45627"/>
    <x v="22"/>
    <x v="1"/>
    <x v="3"/>
    <x v="3"/>
    <x v="5"/>
    <x v="18"/>
    <s v="Forecast"/>
    <m/>
    <n v="2549"/>
    <n v="6520.0740858077497"/>
    <n v="-1060.34487441274"/>
    <n v="1605.8700000000001"/>
    <n v="2905.8599999999997"/>
    <m/>
    <m/>
    <m/>
    <m/>
    <m/>
    <m/>
    <m/>
    <m/>
    <n v="2590"/>
    <n v="0"/>
    <n v="1676.57"/>
    <n v="1450.73"/>
    <m/>
    <n v="0"/>
    <m/>
    <m/>
    <m/>
    <m/>
    <m/>
    <m/>
    <m/>
    <m/>
    <m/>
    <m/>
    <m/>
    <m/>
  </r>
  <r>
    <x v="0"/>
    <s v="Chain 5_Depot 2_SKU 6_44562"/>
    <x v="23"/>
    <x v="1"/>
    <x v="4"/>
    <x v="1"/>
    <x v="6"/>
    <x v="19"/>
    <s v="History"/>
    <n v="7712.55"/>
    <m/>
    <n v="7584.7856392799904"/>
    <n v="1022.72674102937"/>
    <m/>
    <m/>
    <n v="0"/>
    <n v="0"/>
    <n v="0"/>
    <m/>
    <m/>
    <b v="0"/>
    <n v="4338"/>
    <n v="1"/>
    <n v="2941"/>
    <s v="Stable"/>
    <n v="1406.22"/>
    <n v="1194.97"/>
    <n v="15.02"/>
    <n v="0"/>
    <m/>
    <m/>
    <m/>
    <m/>
    <m/>
    <m/>
    <m/>
    <m/>
    <m/>
    <m/>
    <m/>
    <m/>
  </r>
  <r>
    <x v="1"/>
    <s v="Chain 5_Depot 2_SKU 6_44593"/>
    <x v="23"/>
    <x v="1"/>
    <x v="4"/>
    <x v="1"/>
    <x v="6"/>
    <x v="19"/>
    <s v="History"/>
    <n v="8065.8"/>
    <m/>
    <n v="7634.0929324203098"/>
    <n v="3134.6809879227899"/>
    <m/>
    <m/>
    <n v="0"/>
    <n v="0"/>
    <n v="0"/>
    <m/>
    <m/>
    <b v="0"/>
    <n v="3963"/>
    <n v="0"/>
    <n v="2141"/>
    <s v="Stable"/>
    <n v="1343.25"/>
    <n v="1124.6300000000001"/>
    <n v="16.28"/>
    <n v="0"/>
    <m/>
    <m/>
    <m/>
    <m/>
    <m/>
    <m/>
    <m/>
    <m/>
    <m/>
    <m/>
    <m/>
    <m/>
  </r>
  <r>
    <x v="2"/>
    <s v="Chain 5_Depot 2_SKU 6_44621"/>
    <x v="23"/>
    <x v="1"/>
    <x v="4"/>
    <x v="1"/>
    <x v="6"/>
    <x v="19"/>
    <s v="History"/>
    <n v="9999.4500000000007"/>
    <m/>
    <n v="7678.6285566402403"/>
    <n v="4858.8749257364598"/>
    <m/>
    <m/>
    <n v="0"/>
    <n v="0"/>
    <n v="0"/>
    <m/>
    <m/>
    <b v="0"/>
    <n v="4149"/>
    <n v="1"/>
    <n v="2300"/>
    <s v="Stable"/>
    <n v="1362.29"/>
    <n v="1125.26"/>
    <n v="17.399999999999999"/>
    <n v="0"/>
    <m/>
    <m/>
    <m/>
    <m/>
    <m/>
    <m/>
    <m/>
    <m/>
    <m/>
    <m/>
    <m/>
    <m/>
  </r>
  <r>
    <x v="3"/>
    <s v="Chain 5_Depot 2_SKU 6_44652"/>
    <x v="23"/>
    <x v="1"/>
    <x v="4"/>
    <x v="1"/>
    <x v="6"/>
    <x v="19"/>
    <s v="History"/>
    <n v="6145.6184999999996"/>
    <m/>
    <n v="7727.9358516990096"/>
    <n v="5091.9886440882701"/>
    <m/>
    <m/>
    <n v="0"/>
    <n v="0"/>
    <n v="0"/>
    <m/>
    <m/>
    <b v="0"/>
    <n v="4009"/>
    <n v="0"/>
    <n v="1725"/>
    <s v="Stable"/>
    <n v="1402.68"/>
    <n v="1167.72"/>
    <n v="16.75"/>
    <n v="0"/>
    <m/>
    <m/>
    <m/>
    <m/>
    <m/>
    <m/>
    <m/>
    <m/>
    <m/>
    <m/>
    <m/>
    <m/>
  </r>
  <r>
    <x v="4"/>
    <s v="Chain 5_Depot 2_SKU 6_44682"/>
    <x v="23"/>
    <x v="1"/>
    <x v="4"/>
    <x v="1"/>
    <x v="6"/>
    <x v="19"/>
    <s v="History"/>
    <n v="14909.4"/>
    <m/>
    <n v="7775.6525960392701"/>
    <n v="4245.1722425719599"/>
    <m/>
    <m/>
    <n v="0"/>
    <n v="0"/>
    <n v="0"/>
    <m/>
    <m/>
    <b v="0"/>
    <n v="4914"/>
    <n v="0"/>
    <n v="2243"/>
    <s v="Stable"/>
    <n v="1441.23"/>
    <n v="1208.6600000000001"/>
    <n v="16.14"/>
    <n v="0"/>
    <m/>
    <m/>
    <m/>
    <m/>
    <m/>
    <m/>
    <m/>
    <m/>
    <m/>
    <m/>
    <m/>
    <m/>
  </r>
  <r>
    <x v="5"/>
    <s v="Chain 5_Depot 2_SKU 6_44713"/>
    <x v="23"/>
    <x v="1"/>
    <x v="4"/>
    <x v="1"/>
    <x v="6"/>
    <x v="19"/>
    <s v="History"/>
    <n v="5829.75"/>
    <m/>
    <n v="7824.9598911257799"/>
    <n v="-1789.92834219972"/>
    <m/>
    <m/>
    <n v="0"/>
    <n v="0"/>
    <n v="0"/>
    <m/>
    <m/>
    <b v="0"/>
    <n v="4889"/>
    <n v="0"/>
    <n v="2928"/>
    <s v="Stable"/>
    <n v="1461.17"/>
    <n v="1218.3399999999999"/>
    <n v="16.62"/>
    <n v="0"/>
    <m/>
    <m/>
    <m/>
    <m/>
    <m/>
    <m/>
    <m/>
    <m/>
    <m/>
    <m/>
    <m/>
    <m/>
  </r>
  <r>
    <x v="6"/>
    <s v="Chain 5_Depot 2_SKU 6_44743"/>
    <x v="23"/>
    <x v="1"/>
    <x v="4"/>
    <x v="1"/>
    <x v="6"/>
    <x v="19"/>
    <s v="History"/>
    <n v="2588.3910000000001"/>
    <m/>
    <n v="7872.6766237557704"/>
    <n v="-6239.7457417567603"/>
    <m/>
    <m/>
    <n v="0"/>
    <n v="0"/>
    <n v="0"/>
    <m/>
    <m/>
    <b v="0"/>
    <n v="2961"/>
    <n v="0"/>
    <n v="2049"/>
    <s v="Stable"/>
    <n v="1303.1500000000001"/>
    <n v="1092.6099999999999"/>
    <n v="16.16"/>
    <n v="0"/>
    <m/>
    <m/>
    <m/>
    <m/>
    <m/>
    <m/>
    <m/>
    <m/>
    <m/>
    <m/>
    <m/>
    <m/>
  </r>
  <r>
    <x v="7"/>
    <s v="Chain 5_Depot 2_SKU 6_44774"/>
    <x v="23"/>
    <x v="1"/>
    <x v="4"/>
    <x v="1"/>
    <x v="6"/>
    <x v="19"/>
    <s v="History"/>
    <n v="4711.95"/>
    <m/>
    <n v="7921.9839192754898"/>
    <n v="-4054.8099596540701"/>
    <m/>
    <m/>
    <n v="0"/>
    <n v="0"/>
    <n v="0"/>
    <m/>
    <m/>
    <b v="0"/>
    <n v="4989"/>
    <n v="0"/>
    <n v="1520"/>
    <s v="Stable"/>
    <n v="1393.39"/>
    <n v="1147.93"/>
    <n v="17.62"/>
    <n v="0"/>
    <m/>
    <m/>
    <m/>
    <m/>
    <m/>
    <m/>
    <m/>
    <m/>
    <m/>
    <m/>
    <m/>
    <m/>
  </r>
  <r>
    <x v="35"/>
    <s v="Chain 5_Depot 2_SKU 6_44805"/>
    <x v="23"/>
    <x v="1"/>
    <x v="4"/>
    <x v="1"/>
    <x v="6"/>
    <x v="19"/>
    <s v="History"/>
    <n v="5348.25"/>
    <m/>
    <n v="7971.2912100346603"/>
    <n v="-3252.6840389643298"/>
    <m/>
    <m/>
    <n v="0"/>
    <n v="0"/>
    <n v="0"/>
    <m/>
    <m/>
    <b v="0"/>
    <n v="3026"/>
    <n v="0"/>
    <n v="2806"/>
    <s v="Stable"/>
    <n v="1452.97"/>
    <n v="1212.8599999999999"/>
    <n v="16.53"/>
    <n v="0"/>
    <m/>
    <m/>
    <m/>
    <m/>
    <m/>
    <m/>
    <m/>
    <m/>
    <m/>
    <m/>
    <m/>
    <m/>
  </r>
  <r>
    <x v="33"/>
    <s v="Chain 5_Depot 2_SKU 6_44835"/>
    <x v="23"/>
    <x v="1"/>
    <x v="4"/>
    <x v="1"/>
    <x v="6"/>
    <x v="19"/>
    <s v="History"/>
    <n v="7978.95"/>
    <m/>
    <n v="8018.9969503269103"/>
    <n v="-785.49365110899896"/>
    <m/>
    <m/>
    <n v="0"/>
    <n v="0"/>
    <n v="0"/>
    <m/>
    <m/>
    <b v="0"/>
    <n v="4132"/>
    <n v="0"/>
    <n v="1009"/>
    <s v="Stable"/>
    <n v="1295.73"/>
    <n v="1061.0999999999999"/>
    <n v="18.11"/>
    <n v="0"/>
    <m/>
    <m/>
    <m/>
    <m/>
    <m/>
    <m/>
    <m/>
    <m/>
    <m/>
    <m/>
    <m/>
    <m/>
  </r>
  <r>
    <x v="8"/>
    <s v="Chain 5_Depot 2_SKU 6_44866"/>
    <x v="23"/>
    <x v="1"/>
    <x v="4"/>
    <x v="1"/>
    <x v="6"/>
    <x v="19"/>
    <s v="History"/>
    <n v="7029"/>
    <m/>
    <n v="8068.2928820691604"/>
    <n v="-1040.7383348671799"/>
    <m/>
    <m/>
    <n v="0"/>
    <n v="0"/>
    <n v="0"/>
    <m/>
    <m/>
    <b v="0"/>
    <n v="4375"/>
    <n v="0"/>
    <n v="1983"/>
    <s v="Stable"/>
    <n v="1395.72"/>
    <n v="1161.1500000000001"/>
    <n v="16.809999999999999"/>
    <n v="0"/>
    <m/>
    <m/>
    <m/>
    <m/>
    <m/>
    <m/>
    <m/>
    <m/>
    <m/>
    <m/>
    <m/>
    <m/>
  </r>
  <r>
    <x v="9"/>
    <s v="Chain 5_Depot 2_SKU 6_44896"/>
    <x v="23"/>
    <x v="1"/>
    <x v="4"/>
    <x v="1"/>
    <x v="6"/>
    <x v="19"/>
    <s v="History"/>
    <n v="5612.85"/>
    <m/>
    <n v="8115.9986130564303"/>
    <n v="-1961.6820801710801"/>
    <m/>
    <m/>
    <n v="0"/>
    <n v="0"/>
    <n v="0"/>
    <m/>
    <m/>
    <b v="0"/>
    <n v="4863"/>
    <n v="0"/>
    <n v="1377"/>
    <s v="Stable"/>
    <n v="1379.9"/>
    <n v="1137.05"/>
    <n v="17.600000000000001"/>
    <n v="0"/>
    <m/>
    <m/>
    <m/>
    <m/>
    <m/>
    <m/>
    <m/>
    <m/>
    <m/>
    <m/>
    <m/>
    <m/>
  </r>
  <r>
    <x v="10"/>
    <s v="Chain 5_Depot 2_SKU 6_44927"/>
    <x v="23"/>
    <x v="1"/>
    <x v="4"/>
    <x v="1"/>
    <x v="6"/>
    <x v="19"/>
    <s v="History"/>
    <n v="9506.25"/>
    <m/>
    <n v="8165.29452442805"/>
    <n v="773.79705170279396"/>
    <m/>
    <m/>
    <n v="0"/>
    <n v="0"/>
    <n v="1"/>
    <m/>
    <m/>
    <b v="0"/>
    <n v="3473"/>
    <n v="1"/>
    <n v="2656"/>
    <s v="Stable"/>
    <n v="1400.73"/>
    <n v="1156.57"/>
    <n v="17.43"/>
    <n v="0"/>
    <m/>
    <m/>
    <m/>
    <m/>
    <m/>
    <m/>
    <m/>
    <m/>
    <m/>
    <m/>
    <m/>
    <m/>
  </r>
  <r>
    <x v="11"/>
    <s v="Chain 5_Depot 2_SKU 6_44958"/>
    <x v="23"/>
    <x v="1"/>
    <x v="4"/>
    <x v="1"/>
    <x v="6"/>
    <x v="19"/>
    <s v="History"/>
    <n v="13063.05"/>
    <m/>
    <n v="8214.5904253335993"/>
    <n v="3323.5633396264602"/>
    <m/>
    <m/>
    <n v="0"/>
    <n v="0"/>
    <n v="0"/>
    <m/>
    <m/>
    <b v="0"/>
    <n v="4501"/>
    <n v="0"/>
    <n v="2660"/>
    <s v="Stable"/>
    <n v="1341.38"/>
    <n v="1134.02"/>
    <n v="15.46"/>
    <n v="0"/>
    <m/>
    <m/>
    <m/>
    <m/>
    <m/>
    <m/>
    <m/>
    <m/>
    <m/>
    <m/>
    <m/>
    <m/>
  </r>
  <r>
    <x v="12"/>
    <s v="Chain 5_Depot 2_SKU 6_44986"/>
    <x v="23"/>
    <x v="1"/>
    <x v="4"/>
    <x v="1"/>
    <x v="6"/>
    <x v="19"/>
    <s v="History"/>
    <n v="16371.27"/>
    <m/>
    <n v="8258.97855394412"/>
    <n v="4646.48219132944"/>
    <m/>
    <m/>
    <n v="0"/>
    <n v="0"/>
    <n v="0"/>
    <m/>
    <m/>
    <b v="0"/>
    <n v="3947"/>
    <n v="0"/>
    <n v="1681"/>
    <s v="Stable"/>
    <n v="1308.22"/>
    <n v="1104.0899999999999"/>
    <n v="15.6"/>
    <n v="0"/>
    <m/>
    <m/>
    <m/>
    <m/>
    <m/>
    <m/>
    <m/>
    <m/>
    <m/>
    <m/>
    <m/>
    <m/>
  </r>
  <r>
    <x v="13"/>
    <s v="Chain 5_Depot 2_SKU 6_45017"/>
    <x v="23"/>
    <x v="1"/>
    <x v="4"/>
    <x v="1"/>
    <x v="6"/>
    <x v="19"/>
    <s v="History"/>
    <n v="20798.64"/>
    <m/>
    <n v="8308.0858100915593"/>
    <n v="5309.3226872853402"/>
    <m/>
    <m/>
    <n v="0"/>
    <n v="0"/>
    <n v="0"/>
    <m/>
    <m/>
    <b v="0"/>
    <n v="4676"/>
    <n v="0"/>
    <n v="1583"/>
    <s v="Stable"/>
    <n v="1284.3399999999999"/>
    <n v="1077.75"/>
    <n v="16.09"/>
    <n v="0"/>
    <m/>
    <m/>
    <m/>
    <m/>
    <m/>
    <m/>
    <m/>
    <m/>
    <m/>
    <m/>
    <m/>
    <m/>
  </r>
  <r>
    <x v="14"/>
    <s v="Chain 5_Depot 2_SKU 6_45047"/>
    <x v="23"/>
    <x v="1"/>
    <x v="4"/>
    <x v="1"/>
    <x v="6"/>
    <x v="19"/>
    <s v="History"/>
    <n v="12805.56"/>
    <m/>
    <n v="8355.51677795664"/>
    <n v="4045.4091571389099"/>
    <m/>
    <m/>
    <n v="0"/>
    <n v="0"/>
    <n v="0"/>
    <m/>
    <m/>
    <b v="0"/>
    <n v="3177"/>
    <n v="0"/>
    <n v="1151"/>
    <s v="Stable"/>
    <n v="1428.82"/>
    <n v="1174.67"/>
    <n v="17.79"/>
    <n v="0"/>
    <m/>
    <m/>
    <m/>
    <m/>
    <m/>
    <m/>
    <m/>
    <m/>
    <m/>
    <m/>
    <m/>
    <m/>
  </r>
  <r>
    <x v="15"/>
    <s v="Chain 5_Depot 2_SKU 6_45078"/>
    <x v="23"/>
    <x v="1"/>
    <x v="4"/>
    <x v="1"/>
    <x v="6"/>
    <x v="19"/>
    <s v="History"/>
    <n v="9050.94"/>
    <m/>
    <n v="8404.4704741019905"/>
    <n v="-1499.8631381359601"/>
    <m/>
    <m/>
    <n v="0"/>
    <n v="0"/>
    <n v="0"/>
    <m/>
    <m/>
    <b v="0"/>
    <n v="2664"/>
    <n v="0"/>
    <n v="1719"/>
    <s v="Stable"/>
    <n v="1435.2"/>
    <n v="1191.06"/>
    <n v="17.010000000000002"/>
    <n v="0"/>
    <m/>
    <m/>
    <m/>
    <m/>
    <m/>
    <m/>
    <m/>
    <m/>
    <m/>
    <m/>
    <m/>
    <m/>
  </r>
  <r>
    <x v="16"/>
    <s v="Chain 5_Depot 2_SKU 6_45108"/>
    <x v="23"/>
    <x v="1"/>
    <x v="4"/>
    <x v="1"/>
    <x v="6"/>
    <x v="19"/>
    <s v="History"/>
    <n v="2529.9"/>
    <m/>
    <n v="8451.8417092125601"/>
    <n v="-6470.2843900276903"/>
    <m/>
    <m/>
    <n v="0"/>
    <n v="0"/>
    <n v="0"/>
    <m/>
    <m/>
    <b v="1"/>
    <n v="2011"/>
    <n v="2"/>
    <n v="2072"/>
    <s v="Stable"/>
    <n v="1395.13"/>
    <n v="1179.1400000000001"/>
    <n v="15.48"/>
    <n v="0"/>
    <m/>
    <m/>
    <m/>
    <m/>
    <m/>
    <m/>
    <m/>
    <m/>
    <m/>
    <m/>
    <m/>
    <m/>
  </r>
  <r>
    <x v="26"/>
    <s v="Chain 5_Depot 2_SKU 6_45139"/>
    <x v="23"/>
    <x v="1"/>
    <x v="4"/>
    <x v="1"/>
    <x v="6"/>
    <x v="19"/>
    <s v="History"/>
    <n v="4152.0600000000004"/>
    <m/>
    <n v="8500.7698559348501"/>
    <n v="-3832.8814137570098"/>
    <m/>
    <m/>
    <n v="0"/>
    <n v="0"/>
    <n v="0"/>
    <m/>
    <m/>
    <b v="0"/>
    <n v="3156"/>
    <n v="1"/>
    <n v="2177"/>
    <s v="Stable"/>
    <n v="1353.29"/>
    <n v="1129.28"/>
    <n v="16.55"/>
    <n v="0"/>
    <m/>
    <m/>
    <m/>
    <m/>
    <m/>
    <m/>
    <m/>
    <m/>
    <m/>
    <m/>
    <m/>
    <m/>
  </r>
  <r>
    <x v="27"/>
    <s v="Chain 5_Depot 2_SKU 6_45170"/>
    <x v="23"/>
    <x v="1"/>
    <x v="4"/>
    <x v="1"/>
    <x v="6"/>
    <x v="19"/>
    <s v="History"/>
    <n v="4944.82"/>
    <m/>
    <n v="8549.6980029636707"/>
    <n v="-3495.0802490900801"/>
    <m/>
    <m/>
    <n v="0"/>
    <n v="0"/>
    <n v="0"/>
    <m/>
    <m/>
    <b v="0"/>
    <n v="2303"/>
    <n v="0"/>
    <n v="1858"/>
    <s v="Stable"/>
    <n v="1298.8499999999999"/>
    <n v="1259.8800000000001"/>
    <n v="3"/>
    <n v="1"/>
    <m/>
    <m/>
    <m/>
    <m/>
    <m/>
    <m/>
    <m/>
    <m/>
    <m/>
    <m/>
    <m/>
    <m/>
  </r>
  <r>
    <x v="34"/>
    <s v="Chain 5_Depot 2_SKU 6_45200"/>
    <x v="23"/>
    <x v="1"/>
    <x v="4"/>
    <x v="1"/>
    <x v="6"/>
    <x v="19"/>
    <s v="History"/>
    <n v="7288.05"/>
    <m/>
    <n v="8597.02600466074"/>
    <n v="-575.189309064344"/>
    <m/>
    <m/>
    <n v="0"/>
    <n v="0"/>
    <n v="0"/>
    <m/>
    <m/>
    <b v="0"/>
    <n v="3763"/>
    <n v="0"/>
    <n v="2316"/>
    <s v="Stable"/>
    <n v="1408.17"/>
    <n v="1178.6099999999999"/>
    <n v="16.3"/>
    <n v="0"/>
    <m/>
    <m/>
    <m/>
    <m/>
    <m/>
    <m/>
    <m/>
    <m/>
    <m/>
    <m/>
    <m/>
    <m/>
  </r>
  <r>
    <x v="28"/>
    <s v="Chain 5_Depot 2_SKU 6_45231"/>
    <x v="23"/>
    <x v="1"/>
    <x v="4"/>
    <x v="1"/>
    <x v="6"/>
    <x v="19"/>
    <s v="History"/>
    <n v="7378"/>
    <m/>
    <n v="8645.9316109297197"/>
    <n v="-1250.25555816055"/>
    <m/>
    <m/>
    <n v="0"/>
    <n v="0"/>
    <n v="0"/>
    <m/>
    <m/>
    <b v="0"/>
    <n v="4830"/>
    <n v="1"/>
    <n v="2603"/>
    <s v="Stable"/>
    <n v="1324.96"/>
    <n v="1106.31"/>
    <n v="16.5"/>
    <n v="0"/>
    <m/>
    <m/>
    <m/>
    <m/>
    <m/>
    <m/>
    <m/>
    <m/>
    <m/>
    <m/>
    <m/>
    <m/>
  </r>
  <r>
    <x v="29"/>
    <s v="Chain 5_Depot 2_SKU 6_45261"/>
    <x v="23"/>
    <x v="1"/>
    <x v="4"/>
    <x v="1"/>
    <x v="6"/>
    <x v="19"/>
    <s v="History"/>
    <n v="7492.93"/>
    <m/>
    <n v="8693.2596117802896"/>
    <n v="-1746.6531791698101"/>
    <m/>
    <m/>
    <n v="0"/>
    <n v="0"/>
    <n v="0"/>
    <m/>
    <m/>
    <b v="0"/>
    <n v="2042"/>
    <n v="1"/>
    <n v="1049"/>
    <s v="Stable"/>
    <n v="1344.44"/>
    <n v="1115.83"/>
    <n v="17"/>
    <n v="0"/>
    <m/>
    <m/>
    <m/>
    <m/>
    <m/>
    <m/>
    <m/>
    <m/>
    <m/>
    <m/>
    <m/>
    <m/>
  </r>
  <r>
    <x v="17"/>
    <s v="Chain 5_Depot 2_SKU 6_45292"/>
    <x v="23"/>
    <x v="1"/>
    <x v="4"/>
    <x v="1"/>
    <x v="6"/>
    <x v="19"/>
    <s v="History"/>
    <n v="9573.7099999999991"/>
    <m/>
    <n v="8742.1652150773207"/>
    <n v="524.66928714185599"/>
    <m/>
    <m/>
    <n v="0"/>
    <n v="0"/>
    <n v="0"/>
    <m/>
    <m/>
    <b v="0"/>
    <n v="2943"/>
    <n v="0"/>
    <n v="1663"/>
    <s v="Stable"/>
    <n v="1350.67"/>
    <n v="1126.98"/>
    <n v="16.559999999999999"/>
    <n v="0"/>
    <m/>
    <m/>
    <m/>
    <m/>
    <m/>
    <m/>
    <m/>
    <m/>
    <m/>
    <m/>
    <m/>
    <m/>
  </r>
  <r>
    <x v="18"/>
    <s v="Chain 5_Depot 2_SKU 6_45323"/>
    <x v="23"/>
    <x v="1"/>
    <x v="4"/>
    <x v="1"/>
    <x v="6"/>
    <x v="19"/>
    <s v="History"/>
    <n v="13461.95"/>
    <m/>
    <n v="8791.0659588729104"/>
    <n v="3512.9271904911602"/>
    <m/>
    <m/>
    <n v="0"/>
    <n v="0"/>
    <n v="0"/>
    <m/>
    <m/>
    <b v="0"/>
    <n v="4390"/>
    <n v="0"/>
    <n v="1530"/>
    <s v="Stable"/>
    <n v="1370.12"/>
    <n v="1139.29"/>
    <n v="16.850000000000001"/>
    <n v="0"/>
    <m/>
    <m/>
    <m/>
    <m/>
    <m/>
    <m/>
    <m/>
    <m/>
    <m/>
    <m/>
    <m/>
    <m/>
  </r>
  <r>
    <x v="19"/>
    <s v="Chain 5_Depot 2_SKU 6_45352"/>
    <x v="23"/>
    <x v="1"/>
    <x v="4"/>
    <x v="1"/>
    <x v="6"/>
    <x v="19"/>
    <s v="History"/>
    <n v="13176.54"/>
    <m/>
    <n v="8836.8118084485995"/>
    <n v="5284.4853024547801"/>
    <m/>
    <m/>
    <n v="0"/>
    <n v="0"/>
    <n v="0"/>
    <m/>
    <m/>
    <b v="0"/>
    <n v="3349"/>
    <n v="1"/>
    <n v="2635"/>
    <s v="Stable"/>
    <n v="1342.05"/>
    <n v="1127.5"/>
    <n v="15.99"/>
    <n v="0"/>
    <m/>
    <m/>
    <m/>
    <m/>
    <m/>
    <m/>
    <m/>
    <m/>
    <m/>
    <m/>
    <m/>
    <m/>
  </r>
  <r>
    <x v="20"/>
    <s v="Chain 5_Depot 2_SKU 6_45383"/>
    <x v="23"/>
    <x v="1"/>
    <x v="4"/>
    <x v="1"/>
    <x v="6"/>
    <x v="19"/>
    <s v="History"/>
    <n v="13019.4"/>
    <m/>
    <n v="8885.7125442019296"/>
    <n v="4657.5085256355796"/>
    <m/>
    <m/>
    <n v="0"/>
    <n v="0"/>
    <n v="0"/>
    <m/>
    <m/>
    <b v="0"/>
    <n v="4545"/>
    <n v="0"/>
    <n v="2083"/>
    <s v="Stable"/>
    <n v="1381.67"/>
    <n v="1164.22"/>
    <n v="15.74"/>
    <n v="0"/>
    <m/>
    <m/>
    <m/>
    <m/>
    <m/>
    <m/>
    <m/>
    <m/>
    <m/>
    <m/>
    <m/>
    <m/>
  </r>
  <r>
    <x v="21"/>
    <s v="Chain 5_Depot 2_SKU 6_45413"/>
    <x v="23"/>
    <x v="1"/>
    <x v="4"/>
    <x v="1"/>
    <x v="6"/>
    <x v="19"/>
    <s v="History"/>
    <n v="10303.200000000001"/>
    <m/>
    <n v="8933.0358368664401"/>
    <n v="4643.9260173253397"/>
    <m/>
    <m/>
    <n v="0"/>
    <n v="0"/>
    <n v="0"/>
    <m/>
    <m/>
    <b v="0"/>
    <n v="4411"/>
    <n v="1"/>
    <n v="2190"/>
    <s v="Stable"/>
    <n v="1348.91"/>
    <n v="1113.1099999999999"/>
    <n v="17.48"/>
    <n v="0"/>
    <m/>
    <m/>
    <m/>
    <m/>
    <m/>
    <m/>
    <m/>
    <m/>
    <m/>
    <m/>
    <m/>
    <m/>
  </r>
  <r>
    <x v="22"/>
    <s v="Chain 5_Depot 2_SKU 6_45444"/>
    <x v="23"/>
    <x v="1"/>
    <x v="4"/>
    <x v="1"/>
    <x v="6"/>
    <x v="19"/>
    <s v="History"/>
    <n v="4668.84"/>
    <m/>
    <n v="8981.9365726197702"/>
    <n v="-2369.3469806098601"/>
    <m/>
    <m/>
    <n v="0"/>
    <n v="0"/>
    <n v="0"/>
    <m/>
    <m/>
    <b v="0"/>
    <n v="2890"/>
    <n v="0"/>
    <n v="2225"/>
    <s v="Stable"/>
    <n v="1415.07"/>
    <n v="1159.99"/>
    <n v="18.03"/>
    <n v="0"/>
    <m/>
    <m/>
    <m/>
    <m/>
    <m/>
    <m/>
    <m/>
    <m/>
    <m/>
    <m/>
    <m/>
    <m/>
  </r>
  <r>
    <x v="30"/>
    <s v="Chain 5_Depot 2_SKU 6_45474"/>
    <x v="23"/>
    <x v="1"/>
    <x v="4"/>
    <x v="1"/>
    <x v="6"/>
    <x v="19"/>
    <s v="History"/>
    <n v="1788.75"/>
    <n v="2003.4"/>
    <n v="9029.2598652842807"/>
    <n v="-5776.32171570233"/>
    <n v="1502.5500000000002"/>
    <n v="2444.1480000000001"/>
    <n v="0"/>
    <n v="0"/>
    <n v="0"/>
    <m/>
    <m/>
    <b v="0"/>
    <n v="4474"/>
    <n v="0"/>
    <n v="1856"/>
    <s v="Stable"/>
    <n v="1431.55"/>
    <n v="1166.27"/>
    <n v="18.53"/>
    <n v="0"/>
    <m/>
    <m/>
    <m/>
    <m/>
    <m/>
    <m/>
    <m/>
    <m/>
    <m/>
    <m/>
    <m/>
    <m/>
  </r>
  <r>
    <x v="23"/>
    <s v="Chain 5_Depot 2_SKU 6_45505"/>
    <x v="23"/>
    <x v="1"/>
    <x v="4"/>
    <x v="1"/>
    <x v="6"/>
    <x v="19"/>
    <s v="History"/>
    <n v="4250.34"/>
    <n v="4037.8229999999999"/>
    <n v="9078.1606010376108"/>
    <n v="-4499.32396921485"/>
    <n v="3553.28424"/>
    <n v="5128.03521"/>
    <n v="0"/>
    <n v="0"/>
    <n v="0"/>
    <m/>
    <m/>
    <b v="0"/>
    <n v="3004"/>
    <n v="1"/>
    <n v="1145"/>
    <s v="Stable"/>
    <n v="1385.43"/>
    <n v="1161.17"/>
    <n v="16.190000000000001"/>
    <n v="0"/>
    <m/>
    <m/>
    <m/>
    <m/>
    <m/>
    <m/>
    <m/>
    <m/>
    <m/>
    <m/>
    <m/>
    <m/>
  </r>
  <r>
    <x v="24"/>
    <s v="Chain 5_Depot 2_SKU 6_45536"/>
    <x v="23"/>
    <x v="1"/>
    <x v="4"/>
    <x v="1"/>
    <x v="6"/>
    <x v="19"/>
    <s v="History"/>
    <n v="5837.4"/>
    <n v="5603.9039999999995"/>
    <n v="9127.06133679093"/>
    <n v="-2767.9083512952898"/>
    <n v="4651.240319999999"/>
    <n v="6108.2553600000001"/>
    <n v="0"/>
    <n v="0"/>
    <n v="0"/>
    <m/>
    <m/>
    <b v="0"/>
    <n v="2020"/>
    <n v="0"/>
    <n v="1914"/>
    <s v="Stable"/>
    <n v="1403.13"/>
    <n v="1153.4000000000001"/>
    <n v="17.8"/>
    <n v="0"/>
    <m/>
    <m/>
    <m/>
    <m/>
    <m/>
    <m/>
    <m/>
    <m/>
    <m/>
    <m/>
    <m/>
    <m/>
  </r>
  <r>
    <x v="31"/>
    <s v="Chain 5_Depot 2_SKU 6_45566"/>
    <x v="23"/>
    <x v="1"/>
    <x v="4"/>
    <x v="1"/>
    <x v="6"/>
    <x v="19"/>
    <s v="Forecast"/>
    <m/>
    <n v="6383.4642000000003"/>
    <n v="9174.3846294554405"/>
    <n v="-1207.1117100930001"/>
    <n v="5745.1177800000005"/>
    <n v="7340.9838300000001"/>
    <m/>
    <m/>
    <m/>
    <m/>
    <m/>
    <m/>
    <m/>
    <m/>
    <n v="2699"/>
    <n v="0"/>
    <n v="1485.89"/>
    <n v="1205.8399999999999"/>
    <n v="18.850000000000001"/>
    <n v="0"/>
    <m/>
    <m/>
    <m/>
    <m/>
    <m/>
    <m/>
    <m/>
    <m/>
    <m/>
    <m/>
    <m/>
    <m/>
  </r>
  <r>
    <x v="25"/>
    <s v="Chain 5_Depot 2_SKU 6_45597"/>
    <x v="23"/>
    <x v="1"/>
    <x v="4"/>
    <x v="1"/>
    <x v="6"/>
    <x v="19"/>
    <s v="Forecast"/>
    <m/>
    <n v="8256.8127000000004"/>
    <n v="9223.2853652087706"/>
    <n v="-622.54617572783297"/>
    <n v="7843.9720649999999"/>
    <n v="8669.6533350000009"/>
    <m/>
    <m/>
    <m/>
    <m/>
    <m/>
    <m/>
    <m/>
    <m/>
    <n v="2993"/>
    <n v="0"/>
    <n v="1321.37"/>
    <n v="1105.9000000000001"/>
    <n v="16.309999999999999"/>
    <n v="0"/>
    <m/>
    <m/>
    <m/>
    <m/>
    <m/>
    <m/>
    <m/>
    <m/>
    <m/>
    <m/>
    <m/>
    <m/>
  </r>
  <r>
    <x v="32"/>
    <s v="Chain 5_Depot 2_SKU 6_45627"/>
    <x v="23"/>
    <x v="1"/>
    <x v="4"/>
    <x v="1"/>
    <x v="6"/>
    <x v="19"/>
    <s v="Forecast"/>
    <m/>
    <n v="5188.6507000000001"/>
    <n v="9270.6086578732793"/>
    <n v="-2390.9722254939502"/>
    <n v="4150.9205600000005"/>
    <n v="5863.1752909999996"/>
    <m/>
    <m/>
    <m/>
    <m/>
    <m/>
    <m/>
    <m/>
    <m/>
    <n v="1992"/>
    <n v="0"/>
    <n v="1318.33"/>
    <n v="1131.0999999999999"/>
    <n v="14.2"/>
    <n v="0"/>
    <m/>
    <m/>
    <m/>
    <m/>
    <m/>
    <m/>
    <m/>
    <m/>
    <m/>
    <m/>
    <m/>
    <m/>
  </r>
  <r>
    <x v="0"/>
    <s v="Chain 5_Depot 2_SKU 7_44562"/>
    <x v="24"/>
    <x v="1"/>
    <x v="4"/>
    <x v="1"/>
    <x v="6"/>
    <x v="20"/>
    <s v="History"/>
    <n v="17954.29"/>
    <m/>
    <n v="18059.254693620001"/>
    <n v="-229.79987975912599"/>
    <m/>
    <m/>
    <n v="0"/>
    <n v="0"/>
    <n v="0"/>
    <m/>
    <m/>
    <b v="0"/>
    <n v="2172"/>
    <n v="0"/>
    <n v="1367"/>
    <s v="Stable"/>
    <n v="2057.3200000000002"/>
    <n v="1850.41"/>
    <n v="10.06"/>
    <n v="0"/>
    <m/>
    <m/>
    <m/>
    <m/>
    <m/>
    <m/>
    <m/>
    <m/>
    <m/>
    <m/>
    <m/>
    <m/>
  </r>
  <r>
    <x v="1"/>
    <s v="Chain 5_Depot 2_SKU 7_44593"/>
    <x v="24"/>
    <x v="1"/>
    <x v="4"/>
    <x v="1"/>
    <x v="6"/>
    <x v="20"/>
    <s v="History"/>
    <n v="17621.05"/>
    <m/>
    <n v="18173.097652327499"/>
    <n v="-463.69749184628"/>
    <m/>
    <m/>
    <n v="0"/>
    <n v="0"/>
    <n v="0"/>
    <m/>
    <m/>
    <b v="0"/>
    <n v="2671"/>
    <n v="1"/>
    <n v="2243"/>
    <s v="Stable"/>
    <n v="2129.21"/>
    <n v="1898.1"/>
    <n v="10.85"/>
    <n v="0"/>
    <m/>
    <m/>
    <m/>
    <m/>
    <m/>
    <m/>
    <m/>
    <m/>
    <m/>
    <m/>
    <m/>
    <m/>
  </r>
  <r>
    <x v="2"/>
    <s v="Chain 5_Depot 2_SKU 7_44621"/>
    <x v="24"/>
    <x v="1"/>
    <x v="4"/>
    <x v="1"/>
    <x v="6"/>
    <x v="20"/>
    <s v="History"/>
    <n v="18655.509999999998"/>
    <m/>
    <n v="18275.923550312302"/>
    <n v="-226.97965825442299"/>
    <m/>
    <m/>
    <n v="0"/>
    <n v="0"/>
    <n v="0"/>
    <m/>
    <m/>
    <b v="1"/>
    <n v="2163"/>
    <n v="0"/>
    <n v="2360"/>
    <s v="Stable"/>
    <n v="2069.5500000000002"/>
    <n v="1815.98"/>
    <n v="12.25"/>
    <n v="0"/>
    <m/>
    <m/>
    <m/>
    <m/>
    <m/>
    <m/>
    <m/>
    <m/>
    <m/>
    <m/>
    <m/>
    <m/>
  </r>
  <r>
    <x v="3"/>
    <s v="Chain 5_Depot 2_SKU 7_44652"/>
    <x v="24"/>
    <x v="1"/>
    <x v="4"/>
    <x v="1"/>
    <x v="6"/>
    <x v="20"/>
    <s v="History"/>
    <n v="18815.48"/>
    <m/>
    <n v="18389.7665087758"/>
    <n v="-351.08354051563703"/>
    <m/>
    <m/>
    <n v="0"/>
    <n v="0"/>
    <n v="0"/>
    <m/>
    <m/>
    <b v="0"/>
    <n v="2464"/>
    <n v="1"/>
    <n v="2246"/>
    <s v="Stable"/>
    <n v="2121.09"/>
    <n v="1881.57"/>
    <n v="11.29"/>
    <n v="0"/>
    <m/>
    <m/>
    <m/>
    <m/>
    <m/>
    <m/>
    <m/>
    <m/>
    <m/>
    <m/>
    <m/>
    <m/>
  </r>
  <r>
    <x v="4"/>
    <s v="Chain 5_Depot 2_SKU 7_44682"/>
    <x v="24"/>
    <x v="1"/>
    <x v="4"/>
    <x v="1"/>
    <x v="6"/>
    <x v="20"/>
    <s v="History"/>
    <n v="19135.93"/>
    <m/>
    <n v="18499.937113590098"/>
    <n v="-407.67912688707798"/>
    <m/>
    <m/>
    <n v="0"/>
    <n v="0"/>
    <n v="0"/>
    <m/>
    <m/>
    <b v="1"/>
    <n v="2496"/>
    <n v="1"/>
    <n v="2671"/>
    <s v="Stable"/>
    <n v="2154.0100000000002"/>
    <n v="1944.37"/>
    <n v="9.73"/>
    <n v="0"/>
    <m/>
    <m/>
    <m/>
    <m/>
    <m/>
    <m/>
    <m/>
    <m/>
    <m/>
    <m/>
    <m/>
    <m/>
  </r>
  <r>
    <x v="5"/>
    <s v="Chain 5_Depot 2_SKU 7_44713"/>
    <x v="24"/>
    <x v="1"/>
    <x v="4"/>
    <x v="1"/>
    <x v="6"/>
    <x v="20"/>
    <s v="History"/>
    <n v="18952.29"/>
    <m/>
    <n v="18613.780071598801"/>
    <n v="824.16056497255101"/>
    <m/>
    <m/>
    <n v="0"/>
    <n v="0"/>
    <n v="0"/>
    <m/>
    <m/>
    <b v="1"/>
    <n v="2699"/>
    <n v="0"/>
    <n v="2791"/>
    <s v="Stable"/>
    <n v="2004.52"/>
    <n v="1787.79"/>
    <n v="10.81"/>
    <n v="0"/>
    <m/>
    <m/>
    <m/>
    <m/>
    <m/>
    <m/>
    <m/>
    <m/>
    <m/>
    <m/>
    <m/>
    <m/>
  </r>
  <r>
    <x v="6"/>
    <s v="Chain 5_Depot 2_SKU 7_44743"/>
    <x v="24"/>
    <x v="1"/>
    <x v="4"/>
    <x v="1"/>
    <x v="6"/>
    <x v="20"/>
    <s v="History"/>
    <n v="18884.939999999999"/>
    <m/>
    <n v="18723.950676061799"/>
    <n v="-542.227149162518"/>
    <m/>
    <m/>
    <n v="0"/>
    <n v="0"/>
    <n v="0"/>
    <m/>
    <m/>
    <b v="0"/>
    <n v="4442"/>
    <n v="0"/>
    <n v="1359"/>
    <s v="Stable"/>
    <n v="2055.2800000000002"/>
    <n v="1839.06"/>
    <n v="10.52"/>
    <n v="0"/>
    <m/>
    <m/>
    <m/>
    <m/>
    <m/>
    <m/>
    <m/>
    <m/>
    <m/>
    <m/>
    <m/>
    <m/>
  </r>
  <r>
    <x v="7"/>
    <s v="Chain 5_Depot 2_SKU 7_44774"/>
    <x v="24"/>
    <x v="1"/>
    <x v="4"/>
    <x v="1"/>
    <x v="6"/>
    <x v="20"/>
    <s v="History"/>
    <n v="18870.95"/>
    <m/>
    <n v="18837.793634408499"/>
    <n v="-493.32434307723901"/>
    <m/>
    <m/>
    <n v="0"/>
    <n v="0"/>
    <n v="0"/>
    <m/>
    <m/>
    <b v="0"/>
    <n v="2702"/>
    <n v="0"/>
    <n v="1920"/>
    <s v="Stable"/>
    <n v="2092.5500000000002"/>
    <n v="1868.28"/>
    <n v="10.72"/>
    <n v="0"/>
    <m/>
    <m/>
    <m/>
    <m/>
    <m/>
    <m/>
    <m/>
    <m/>
    <m/>
    <m/>
    <m/>
    <m/>
  </r>
  <r>
    <x v="35"/>
    <s v="Chain 5_Depot 2_SKU 7_44805"/>
    <x v="24"/>
    <x v="1"/>
    <x v="4"/>
    <x v="1"/>
    <x v="6"/>
    <x v="20"/>
    <s v="History"/>
    <n v="18818"/>
    <m/>
    <n v="18951.636597957"/>
    <n v="1929.3030480332"/>
    <m/>
    <m/>
    <n v="0"/>
    <n v="0"/>
    <n v="0"/>
    <m/>
    <m/>
    <b v="0"/>
    <n v="3940"/>
    <n v="0"/>
    <n v="1328"/>
    <s v="Stable"/>
    <n v="2126.75"/>
    <n v="1873.35"/>
    <n v="11.91"/>
    <n v="0"/>
    <m/>
    <m/>
    <m/>
    <m/>
    <m/>
    <m/>
    <m/>
    <m/>
    <m/>
    <m/>
    <m/>
    <m/>
  </r>
  <r>
    <x v="33"/>
    <s v="Chain 5_Depot 2_SKU 7_44835"/>
    <x v="24"/>
    <x v="1"/>
    <x v="4"/>
    <x v="1"/>
    <x v="6"/>
    <x v="20"/>
    <s v="History"/>
    <n v="19072.78"/>
    <m/>
    <n v="19062.1491797993"/>
    <n v="-348.55035502598099"/>
    <m/>
    <m/>
    <n v="0"/>
    <n v="0"/>
    <n v="0"/>
    <m/>
    <m/>
    <b v="0"/>
    <n v="4355"/>
    <n v="1"/>
    <n v="1961"/>
    <s v="Stable"/>
    <n v="2102.6799999999998"/>
    <n v="1857.08"/>
    <n v="11.68"/>
    <n v="0"/>
    <m/>
    <m/>
    <m/>
    <m/>
    <m/>
    <m/>
    <m/>
    <m/>
    <m/>
    <m/>
    <m/>
    <m/>
  </r>
  <r>
    <x v="8"/>
    <s v="Chain 5_Depot 2_SKU 7_44866"/>
    <x v="24"/>
    <x v="1"/>
    <x v="4"/>
    <x v="1"/>
    <x v="6"/>
    <x v="20"/>
    <s v="History"/>
    <n v="18974.060000000001"/>
    <m/>
    <n v="19176.464861424301"/>
    <n v="-34.758140820811803"/>
    <m/>
    <m/>
    <n v="0"/>
    <n v="0"/>
    <n v="0"/>
    <m/>
    <m/>
    <b v="0"/>
    <n v="3791"/>
    <n v="0"/>
    <n v="1462"/>
    <s v="Stable"/>
    <n v="2108.71"/>
    <n v="1882.64"/>
    <n v="10.72"/>
    <n v="0"/>
    <m/>
    <m/>
    <m/>
    <m/>
    <m/>
    <m/>
    <m/>
    <m/>
    <m/>
    <m/>
    <m/>
    <m/>
  </r>
  <r>
    <x v="9"/>
    <s v="Chain 5_Depot 2_SKU 7_44896"/>
    <x v="24"/>
    <x v="1"/>
    <x v="4"/>
    <x v="1"/>
    <x v="6"/>
    <x v="20"/>
    <s v="History"/>
    <n v="18838.34"/>
    <m/>
    <n v="19287.109810201498"/>
    <n v="-335.77261952450698"/>
    <m/>
    <m/>
    <n v="0"/>
    <n v="0"/>
    <n v="0"/>
    <m/>
    <m/>
    <b v="0"/>
    <n v="2182"/>
    <n v="1"/>
    <n v="1945"/>
    <s v="Stable"/>
    <n v="2213.15"/>
    <n v="1986.47"/>
    <n v="10.24"/>
    <n v="0"/>
    <m/>
    <m/>
    <m/>
    <m/>
    <m/>
    <m/>
    <m/>
    <m/>
    <m/>
    <m/>
    <m/>
    <m/>
  </r>
  <r>
    <x v="10"/>
    <s v="Chain 5_Depot 2_SKU 7_44927"/>
    <x v="24"/>
    <x v="1"/>
    <x v="4"/>
    <x v="1"/>
    <x v="6"/>
    <x v="20"/>
    <s v="History"/>
    <n v="18698.650000000001"/>
    <m/>
    <n v="19401.590580520799"/>
    <n v="-383.46619707493102"/>
    <m/>
    <m/>
    <n v="0"/>
    <n v="0"/>
    <n v="0"/>
    <m/>
    <m/>
    <b v="0"/>
    <n v="2628"/>
    <n v="0"/>
    <n v="1962"/>
    <s v="Stable"/>
    <n v="2050.38"/>
    <n v="1846.17"/>
    <n v="9.9600000000000009"/>
    <n v="0"/>
    <m/>
    <m/>
    <m/>
    <m/>
    <m/>
    <m/>
    <m/>
    <m/>
    <m/>
    <m/>
    <m/>
    <m/>
  </r>
  <r>
    <x v="11"/>
    <s v="Chain 5_Depot 2_SKU 7_44958"/>
    <x v="24"/>
    <x v="1"/>
    <x v="4"/>
    <x v="1"/>
    <x v="6"/>
    <x v="20"/>
    <s v="History"/>
    <n v="19456.349999999999"/>
    <m/>
    <n v="19516.3803142736"/>
    <n v="-324.318108581096"/>
    <m/>
    <m/>
    <n v="0"/>
    <n v="0"/>
    <n v="0"/>
    <m/>
    <m/>
    <b v="0"/>
    <n v="4557"/>
    <n v="2"/>
    <n v="2584"/>
    <s v="Stable"/>
    <n v="2167.77"/>
    <n v="1909.43"/>
    <n v="11.92"/>
    <n v="0"/>
    <m/>
    <m/>
    <m/>
    <m/>
    <m/>
    <m/>
    <m/>
    <m/>
    <m/>
    <m/>
    <m/>
    <m/>
  </r>
  <r>
    <x v="12"/>
    <s v="Chain 5_Depot 2_SKU 7_44986"/>
    <x v="24"/>
    <x v="1"/>
    <x v="4"/>
    <x v="1"/>
    <x v="6"/>
    <x v="20"/>
    <s v="History"/>
    <n v="19264.11"/>
    <m/>
    <n v="19620.1345514975"/>
    <n v="-366.03120559210299"/>
    <m/>
    <m/>
    <n v="0"/>
    <n v="0"/>
    <n v="0"/>
    <m/>
    <m/>
    <b v="0"/>
    <n v="3731"/>
    <n v="0"/>
    <n v="2827"/>
    <s v="Stable"/>
    <n v="2093.5"/>
    <n v="1871.04"/>
    <n v="10.63"/>
    <n v="0"/>
    <m/>
    <m/>
    <m/>
    <m/>
    <m/>
    <m/>
    <m/>
    <m/>
    <m/>
    <m/>
    <m/>
    <m/>
  </r>
  <r>
    <x v="13"/>
    <s v="Chain 5_Depot 2_SKU 7_45017"/>
    <x v="24"/>
    <x v="1"/>
    <x v="4"/>
    <x v="1"/>
    <x v="6"/>
    <x v="20"/>
    <s v="History"/>
    <n v="18973.86"/>
    <m/>
    <n v="19735.626672130002"/>
    <n v="-202.21097750852601"/>
    <m/>
    <m/>
    <n v="0"/>
    <n v="0"/>
    <n v="0"/>
    <m/>
    <m/>
    <b v="0"/>
    <n v="2545"/>
    <n v="0"/>
    <n v="2405"/>
    <s v="Stable"/>
    <n v="2138.4699999999998"/>
    <n v="1927.36"/>
    <n v="9.8699999999999992"/>
    <n v="0"/>
    <m/>
    <m/>
    <m/>
    <m/>
    <m/>
    <m/>
    <m/>
    <m/>
    <m/>
    <m/>
    <m/>
    <m/>
  </r>
  <r>
    <x v="14"/>
    <s v="Chain 5_Depot 2_SKU 7_45047"/>
    <x v="24"/>
    <x v="1"/>
    <x v="4"/>
    <x v="1"/>
    <x v="6"/>
    <x v="20"/>
    <s v="History"/>
    <n v="19451.77"/>
    <m/>
    <n v="19917.342315858299"/>
    <n v="-562.71978027397302"/>
    <m/>
    <m/>
    <n v="0"/>
    <n v="0"/>
    <n v="0"/>
    <m/>
    <m/>
    <b v="0"/>
    <n v="3587"/>
    <n v="0"/>
    <n v="1835"/>
    <s v="Stable"/>
    <n v="2217.4499999999998"/>
    <n v="1950.32"/>
    <n v="12.05"/>
    <n v="0"/>
    <m/>
    <m/>
    <m/>
    <m/>
    <m/>
    <m/>
    <m/>
    <m/>
    <m/>
    <m/>
    <m/>
    <m/>
  </r>
  <r>
    <x v="15"/>
    <s v="Chain 5_Depot 2_SKU 7_45078"/>
    <x v="24"/>
    <x v="1"/>
    <x v="4"/>
    <x v="1"/>
    <x v="6"/>
    <x v="20"/>
    <s v="History"/>
    <n v="20035.7"/>
    <m/>
    <n v="20105.922111771299"/>
    <n v="971.03272129168397"/>
    <m/>
    <m/>
    <n v="0"/>
    <n v="0"/>
    <n v="0"/>
    <m/>
    <m/>
    <b v="0"/>
    <n v="2623"/>
    <n v="1"/>
    <n v="2613"/>
    <s v="Stable"/>
    <n v="2145.4299999999998"/>
    <n v="1940.06"/>
    <n v="9.57"/>
    <n v="0"/>
    <m/>
    <m/>
    <m/>
    <m/>
    <m/>
    <m/>
    <m/>
    <m/>
    <m/>
    <m/>
    <m/>
    <m/>
  </r>
  <r>
    <x v="16"/>
    <s v="Chain 5_Depot 2_SKU 7_45108"/>
    <x v="24"/>
    <x v="1"/>
    <x v="4"/>
    <x v="1"/>
    <x v="6"/>
    <x v="20"/>
    <s v="History"/>
    <n v="19995.150000000001"/>
    <m/>
    <n v="20289.297383822501"/>
    <n v="-675.97379659642502"/>
    <m/>
    <m/>
    <n v="0"/>
    <n v="0"/>
    <n v="0"/>
    <m/>
    <m/>
    <b v="1"/>
    <n v="2593"/>
    <n v="0"/>
    <n v="2640"/>
    <s v="Stable"/>
    <n v="2129.62"/>
    <n v="1929.01"/>
    <n v="9.42"/>
    <n v="0"/>
    <m/>
    <m/>
    <m/>
    <m/>
    <m/>
    <m/>
    <m/>
    <m/>
    <m/>
    <m/>
    <m/>
    <m/>
  </r>
  <r>
    <x v="26"/>
    <s v="Chain 5_Depot 2_SKU 7_45139"/>
    <x v="24"/>
    <x v="1"/>
    <x v="4"/>
    <x v="1"/>
    <x v="6"/>
    <x v="20"/>
    <s v="History"/>
    <n v="20519.689999999999"/>
    <m/>
    <n v="20479.564989759201"/>
    <n v="-360.573864358408"/>
    <m/>
    <m/>
    <n v="0"/>
    <n v="0"/>
    <n v="0"/>
    <m/>
    <m/>
    <b v="0"/>
    <n v="2743"/>
    <n v="1"/>
    <n v="1168"/>
    <s v="Stable"/>
    <n v="2190.96"/>
    <n v="2006.17"/>
    <n v="8.43"/>
    <n v="0"/>
    <m/>
    <m/>
    <m/>
    <m/>
    <m/>
    <m/>
    <m/>
    <m/>
    <m/>
    <m/>
    <m/>
    <m/>
  </r>
  <r>
    <x v="27"/>
    <s v="Chain 5_Depot 2_SKU 7_45170"/>
    <x v="24"/>
    <x v="1"/>
    <x v="4"/>
    <x v="1"/>
    <x v="6"/>
    <x v="20"/>
    <s v="History"/>
    <n v="20901.16"/>
    <m/>
    <n v="20670.580569887901"/>
    <n v="1778.81572994423"/>
    <m/>
    <m/>
    <n v="0"/>
    <n v="0"/>
    <n v="0"/>
    <m/>
    <m/>
    <b v="0"/>
    <n v="3768"/>
    <n v="0"/>
    <n v="1216"/>
    <s v="Stable"/>
    <n v="2167.2399999999998"/>
    <n v="1932.56"/>
    <n v="10.83"/>
    <n v="0"/>
    <m/>
    <m/>
    <m/>
    <m/>
    <m/>
    <m/>
    <m/>
    <m/>
    <m/>
    <m/>
    <m/>
    <m/>
  </r>
  <r>
    <x v="34"/>
    <s v="Chain 5_Depot 2_SKU 7_45200"/>
    <x v="24"/>
    <x v="1"/>
    <x v="4"/>
    <x v="1"/>
    <x v="6"/>
    <x v="20"/>
    <s v="History"/>
    <n v="20245.080000000002"/>
    <m/>
    <n v="20856.2053686504"/>
    <n v="-180.93258356932199"/>
    <m/>
    <m/>
    <n v="0"/>
    <n v="0"/>
    <n v="0"/>
    <m/>
    <m/>
    <b v="0"/>
    <n v="3459"/>
    <n v="0"/>
    <n v="1377"/>
    <s v="Stable"/>
    <n v="2071.0300000000002"/>
    <n v="1846.89"/>
    <n v="10.82"/>
    <n v="0"/>
    <m/>
    <m/>
    <m/>
    <m/>
    <m/>
    <m/>
    <m/>
    <m/>
    <m/>
    <m/>
    <m/>
    <m/>
  </r>
  <r>
    <x v="28"/>
    <s v="Chain 5_Depot 2_SKU 7_45231"/>
    <x v="24"/>
    <x v="1"/>
    <x v="4"/>
    <x v="1"/>
    <x v="6"/>
    <x v="20"/>
    <s v="History"/>
    <n v="21052.28"/>
    <m/>
    <n v="21048.549445630098"/>
    <n v="-194.16641035502201"/>
    <m/>
    <m/>
    <n v="0"/>
    <n v="0"/>
    <n v="0"/>
    <m/>
    <m/>
    <b v="0"/>
    <n v="3948"/>
    <n v="0"/>
    <n v="1118"/>
    <s v="Stable"/>
    <n v="2125.73"/>
    <n v="1908.22"/>
    <n v="10.23"/>
    <n v="0"/>
    <m/>
    <m/>
    <m/>
    <m/>
    <m/>
    <m/>
    <m/>
    <m/>
    <m/>
    <m/>
    <m/>
    <m/>
  </r>
  <r>
    <x v="29"/>
    <s v="Chain 5_Depot 2_SKU 7_45261"/>
    <x v="24"/>
    <x v="1"/>
    <x v="4"/>
    <x v="1"/>
    <x v="6"/>
    <x v="20"/>
    <s v="History"/>
    <n v="21147.55"/>
    <m/>
    <n v="21234.847466927898"/>
    <n v="-178.01762370105399"/>
    <m/>
    <m/>
    <n v="0"/>
    <n v="0"/>
    <n v="0"/>
    <m/>
    <m/>
    <b v="0"/>
    <n v="4601"/>
    <n v="0"/>
    <n v="1189"/>
    <s v="Stable"/>
    <n v="2025.13"/>
    <n v="1817.32"/>
    <n v="10.26"/>
    <n v="0"/>
    <m/>
    <m/>
    <m/>
    <m/>
    <m/>
    <m/>
    <m/>
    <m/>
    <m/>
    <m/>
    <m/>
    <m/>
  </r>
  <r>
    <x v="17"/>
    <s v="Chain 5_Depot 2_SKU 7_45292"/>
    <x v="24"/>
    <x v="1"/>
    <x v="4"/>
    <x v="1"/>
    <x v="6"/>
    <x v="20"/>
    <s v="History"/>
    <n v="21107.69"/>
    <m/>
    <n v="21427.961669199001"/>
    <n v="-537.24313101544999"/>
    <m/>
    <m/>
    <n v="0"/>
    <n v="0"/>
    <n v="0"/>
    <m/>
    <m/>
    <b v="0"/>
    <n v="4068"/>
    <n v="0"/>
    <n v="1766"/>
    <s v="Stable"/>
    <n v="2083.9899999999998"/>
    <n v="1876.99"/>
    <n v="9.93"/>
    <n v="0"/>
    <m/>
    <m/>
    <m/>
    <m/>
    <m/>
    <m/>
    <m/>
    <m/>
    <m/>
    <m/>
    <m/>
    <m/>
  </r>
  <r>
    <x v="18"/>
    <s v="Chain 5_Depot 2_SKU 7_45323"/>
    <x v="24"/>
    <x v="1"/>
    <x v="4"/>
    <x v="1"/>
    <x v="6"/>
    <x v="20"/>
    <s v="History"/>
    <n v="21233.14"/>
    <m/>
    <n v="21621.195981913301"/>
    <n v="-184.56800383051501"/>
    <m/>
    <m/>
    <n v="0"/>
    <n v="0"/>
    <n v="0"/>
    <m/>
    <m/>
    <b v="0"/>
    <n v="4601"/>
    <n v="2"/>
    <n v="1369"/>
    <s v="Stable"/>
    <n v="2126.6999999999998"/>
    <n v="1276.02"/>
    <n v="40"/>
    <n v="1"/>
    <m/>
    <m/>
    <m/>
    <m/>
    <m/>
    <m/>
    <m/>
    <m/>
    <m/>
    <m/>
    <m/>
    <m/>
  </r>
  <r>
    <x v="19"/>
    <s v="Chain 5_Depot 2_SKU 7_45352"/>
    <x v="24"/>
    <x v="1"/>
    <x v="4"/>
    <x v="1"/>
    <x v="6"/>
    <x v="20"/>
    <s v="History"/>
    <n v="21259.33"/>
    <m/>
    <n v="21802.037224522701"/>
    <n v="51.878079982872002"/>
    <m/>
    <m/>
    <n v="0"/>
    <n v="0"/>
    <n v="0"/>
    <m/>
    <m/>
    <b v="0"/>
    <n v="4444"/>
    <n v="1"/>
    <n v="2801"/>
    <s v="Stable"/>
    <n v="2080.89"/>
    <n v="1848.56"/>
    <n v="11.17"/>
    <n v="0"/>
    <m/>
    <m/>
    <m/>
    <m/>
    <m/>
    <m/>
    <m/>
    <m/>
    <m/>
    <m/>
    <m/>
    <m/>
  </r>
  <r>
    <x v="20"/>
    <s v="Chain 5_Depot 2_SKU 7_45383"/>
    <x v="24"/>
    <x v="1"/>
    <x v="4"/>
    <x v="1"/>
    <x v="6"/>
    <x v="20"/>
    <s v="History"/>
    <n v="21105.56"/>
    <m/>
    <n v="21995.350276967201"/>
    <n v="-648.71576422324802"/>
    <m/>
    <m/>
    <n v="0"/>
    <n v="0"/>
    <n v="0"/>
    <m/>
    <m/>
    <b v="0"/>
    <n v="4672"/>
    <n v="1"/>
    <n v="1148"/>
    <s v="Stable"/>
    <n v="2124.67"/>
    <n v="1915.66"/>
    <n v="9.84"/>
    <n v="0"/>
    <m/>
    <m/>
    <m/>
    <m/>
    <m/>
    <m/>
    <m/>
    <m/>
    <m/>
    <m/>
    <m/>
    <m/>
  </r>
  <r>
    <x v="21"/>
    <s v="Chain 5_Depot 2_SKU 7_45413"/>
    <x v="24"/>
    <x v="1"/>
    <x v="4"/>
    <x v="1"/>
    <x v="6"/>
    <x v="20"/>
    <s v="History"/>
    <n v="20968.66"/>
    <m/>
    <n v="22182.427424494101"/>
    <n v="-96.813825217711397"/>
    <m/>
    <m/>
    <n v="0"/>
    <n v="0"/>
    <n v="0"/>
    <m/>
    <m/>
    <b v="1"/>
    <n v="2104"/>
    <n v="1"/>
    <n v="2699"/>
    <s v="Stable"/>
    <n v="2110.33"/>
    <n v="1854.34"/>
    <n v="12.13"/>
    <n v="0"/>
    <m/>
    <m/>
    <m/>
    <m/>
    <m/>
    <m/>
    <m/>
    <m/>
    <m/>
    <m/>
    <m/>
    <m/>
  </r>
  <r>
    <x v="22"/>
    <s v="Chain 5_Depot 2_SKU 7_45444"/>
    <x v="24"/>
    <x v="1"/>
    <x v="4"/>
    <x v="1"/>
    <x v="6"/>
    <x v="20"/>
    <s v="History"/>
    <n v="24458.99"/>
    <m/>
    <n v="22375.740476938601"/>
    <n v="529.93840627134898"/>
    <m/>
    <m/>
    <n v="0"/>
    <n v="0"/>
    <n v="1"/>
    <m/>
    <m/>
    <b v="0"/>
    <n v="4239"/>
    <n v="0"/>
    <n v="1651"/>
    <s v="Stable"/>
    <n v="2137.8200000000002"/>
    <n v="1901.52"/>
    <n v="11.05"/>
    <n v="0"/>
    <m/>
    <m/>
    <m/>
    <m/>
    <m/>
    <m/>
    <m/>
    <m/>
    <m/>
    <m/>
    <m/>
    <m/>
  </r>
  <r>
    <x v="30"/>
    <s v="Chain 5_Depot 2_SKU 7_45474"/>
    <x v="24"/>
    <x v="1"/>
    <x v="4"/>
    <x v="1"/>
    <x v="6"/>
    <x v="20"/>
    <s v="History"/>
    <n v="21113.97"/>
    <n v="21250.92"/>
    <n v="22562.817624465501"/>
    <n v="-274.103525883933"/>
    <n v="21450.92"/>
    <n v="21050.92"/>
    <n v="0"/>
    <n v="0"/>
    <n v="0"/>
    <m/>
    <m/>
    <b v="1"/>
    <n v="2016"/>
    <n v="0"/>
    <n v="2882"/>
    <s v="Stable"/>
    <n v="2089.79"/>
    <n v="1891.35"/>
    <n v="9.5"/>
    <n v="0"/>
    <m/>
    <m/>
    <m/>
    <m/>
    <m/>
    <m/>
    <m/>
    <m/>
    <m/>
    <m/>
    <m/>
    <m/>
  </r>
  <r>
    <x v="23"/>
    <s v="Chain 5_Depot 2_SKU 7_45505"/>
    <x v="24"/>
    <x v="1"/>
    <x v="4"/>
    <x v="1"/>
    <x v="6"/>
    <x v="20"/>
    <s v="History"/>
    <n v="21177.17"/>
    <n v="21138.76"/>
    <n v="22756.130676910001"/>
    <n v="-757.92471042008901"/>
    <n v="21338.76"/>
    <n v="20938.759999999998"/>
    <n v="0"/>
    <n v="0"/>
    <n v="0"/>
    <m/>
    <m/>
    <b v="1"/>
    <n v="2392"/>
    <n v="0"/>
    <n v="2511"/>
    <s v="Stable"/>
    <n v="2063.9899999999998"/>
    <n v="1809.92"/>
    <n v="12.31"/>
    <n v="0"/>
    <m/>
    <m/>
    <m/>
    <m/>
    <m/>
    <m/>
    <m/>
    <m/>
    <m/>
    <m/>
    <m/>
    <m/>
  </r>
  <r>
    <x v="24"/>
    <s v="Chain 5_Depot 2_SKU 7_45536"/>
    <x v="24"/>
    <x v="1"/>
    <x v="4"/>
    <x v="1"/>
    <x v="6"/>
    <x v="20"/>
    <s v="History"/>
    <n v="28793.73"/>
    <n v="21318.11"/>
    <n v="22949.443729354502"/>
    <n v="2228.2528092962102"/>
    <n v="21518.11"/>
    <n v="21118.11"/>
    <n v="0"/>
    <n v="0"/>
    <n v="1"/>
    <m/>
    <m/>
    <b v="0"/>
    <n v="2424"/>
    <n v="1"/>
    <n v="1769"/>
    <s v="Stable"/>
    <n v="2184.91"/>
    <n v="1928.47"/>
    <n v="11.74"/>
    <n v="0"/>
    <m/>
    <m/>
    <m/>
    <m/>
    <m/>
    <m/>
    <m/>
    <m/>
    <m/>
    <m/>
    <m/>
    <m/>
  </r>
  <r>
    <x v="31"/>
    <s v="Chain 5_Depot 2_SKU 7_45566"/>
    <x v="24"/>
    <x v="1"/>
    <x v="4"/>
    <x v="1"/>
    <x v="6"/>
    <x v="20"/>
    <s v="Forecast"/>
    <m/>
    <n v="21410.99"/>
    <n v="23136.520876881401"/>
    <n v="-682.89451087017903"/>
    <n v="21610.99"/>
    <n v="21210.99"/>
    <m/>
    <m/>
    <m/>
    <m/>
    <m/>
    <m/>
    <m/>
    <m/>
    <n v="1373"/>
    <n v="0"/>
    <n v="2086.2199999999998"/>
    <n v="1869.51"/>
    <n v="10.39"/>
    <n v="0"/>
    <m/>
    <m/>
    <m/>
    <m/>
    <m/>
    <m/>
    <m/>
    <m/>
    <m/>
    <m/>
    <m/>
    <m/>
  </r>
  <r>
    <x v="25"/>
    <s v="Chain 5_Depot 2_SKU 7_45597"/>
    <x v="24"/>
    <x v="1"/>
    <x v="4"/>
    <x v="1"/>
    <x v="6"/>
    <x v="20"/>
    <s v="Forecast"/>
    <m/>
    <n v="21704.07"/>
    <n v="23329.833929325901"/>
    <n v="283.15200725288599"/>
    <n v="21904.07"/>
    <n v="21504.07"/>
    <m/>
    <m/>
    <m/>
    <m/>
    <m/>
    <m/>
    <m/>
    <m/>
    <n v="1780"/>
    <n v="0"/>
    <n v="2144"/>
    <n v="1915.33"/>
    <n v="10.67"/>
    <n v="0"/>
    <m/>
    <m/>
    <m/>
    <m/>
    <m/>
    <m/>
    <m/>
    <m/>
    <m/>
    <m/>
    <m/>
    <m/>
  </r>
  <r>
    <x v="32"/>
    <s v="Chain 5_Depot 2_SKU 7_45627"/>
    <x v="24"/>
    <x v="1"/>
    <x v="4"/>
    <x v="1"/>
    <x v="6"/>
    <x v="20"/>
    <s v="Forecast"/>
    <m/>
    <n v="22163.71"/>
    <n v="23516.911076852801"/>
    <n v="-651.22147258310599"/>
    <n v="22363.71"/>
    <n v="21963.71"/>
    <m/>
    <m/>
    <m/>
    <m/>
    <m/>
    <m/>
    <m/>
    <m/>
    <n v="2716"/>
    <n v="0"/>
    <n v="2182.7600000000002"/>
    <n v="1922.26"/>
    <n v="11.93"/>
    <n v="0"/>
    <m/>
    <m/>
    <m/>
    <m/>
    <m/>
    <m/>
    <m/>
    <m/>
    <m/>
    <m/>
    <m/>
    <m/>
  </r>
  <r>
    <x v="12"/>
    <s v="Chain 5_Depot 2_SKU 9_44986"/>
    <x v="25"/>
    <x v="1"/>
    <x v="4"/>
    <x v="1"/>
    <x v="6"/>
    <x v="14"/>
    <s v="History"/>
    <n v="5676.1"/>
    <m/>
    <n v="6746.6063998400004"/>
    <n v="-1102.1401818648201"/>
    <m/>
    <m/>
    <n v="0"/>
    <n v="0"/>
    <n v="0"/>
    <m/>
    <m/>
    <b v="0"/>
    <n v="4738"/>
    <n v="1"/>
    <n v="2227"/>
    <s v="Weak"/>
    <n v="1158.4100000000001"/>
    <n v="947.21"/>
    <n v="18.23"/>
    <n v="0"/>
    <m/>
    <m/>
    <m/>
    <m/>
    <m/>
    <m/>
    <m/>
    <m/>
    <m/>
    <m/>
    <m/>
    <m/>
  </r>
  <r>
    <x v="13"/>
    <s v="Chain 5_Depot 2_SKU 9_45017"/>
    <x v="25"/>
    <x v="1"/>
    <x v="4"/>
    <x v="1"/>
    <x v="6"/>
    <x v="14"/>
    <s v="History"/>
    <n v="5852.28"/>
    <m/>
    <n v="6758.4408756015"/>
    <n v="-900.28925477503901"/>
    <m/>
    <m/>
    <n v="0"/>
    <n v="0"/>
    <n v="0"/>
    <m/>
    <m/>
    <b v="0"/>
    <n v="3842"/>
    <n v="0"/>
    <n v="1457"/>
    <s v="Weak"/>
    <n v="1146.94"/>
    <n v="958.19"/>
    <n v="16.46"/>
    <n v="0"/>
    <m/>
    <m/>
    <m/>
    <m/>
    <m/>
    <m/>
    <m/>
    <m/>
    <m/>
    <m/>
    <m/>
    <m/>
  </r>
  <r>
    <x v="14"/>
    <s v="Chain 5_Depot 2_SKU 9_45047"/>
    <x v="25"/>
    <x v="1"/>
    <x v="4"/>
    <x v="1"/>
    <x v="6"/>
    <x v="14"/>
    <s v="History"/>
    <n v="5692.49"/>
    <m/>
    <n v="6769.8936429635996"/>
    <n v="-1039.2867709662301"/>
    <m/>
    <m/>
    <n v="0"/>
    <n v="0"/>
    <n v="0"/>
    <m/>
    <m/>
    <b v="0"/>
    <n v="2746"/>
    <n v="0"/>
    <n v="1829"/>
    <s v="Weak"/>
    <n v="1129.3499999999999"/>
    <n v="925.17"/>
    <n v="18.079999999999998"/>
    <n v="0"/>
    <m/>
    <m/>
    <m/>
    <m/>
    <m/>
    <m/>
    <m/>
    <m/>
    <m/>
    <m/>
    <m/>
    <m/>
  </r>
  <r>
    <x v="15"/>
    <s v="Chain 5_Depot 2_SKU 9_45078"/>
    <x v="25"/>
    <x v="1"/>
    <x v="4"/>
    <x v="1"/>
    <x v="6"/>
    <x v="14"/>
    <s v="History"/>
    <n v="5948.44"/>
    <m/>
    <n v="6781.7282704274003"/>
    <n v="-727.57563468068702"/>
    <m/>
    <m/>
    <n v="0"/>
    <n v="0"/>
    <n v="0"/>
    <m/>
    <m/>
    <b v="0"/>
    <n v="4816"/>
    <n v="0"/>
    <n v="1256"/>
    <s v="Weak"/>
    <n v="1158.51"/>
    <n v="969.76"/>
    <n v="16.29"/>
    <n v="0"/>
    <m/>
    <m/>
    <m/>
    <m/>
    <m/>
    <m/>
    <m/>
    <m/>
    <m/>
    <m/>
    <m/>
    <m/>
  </r>
  <r>
    <x v="16"/>
    <s v="Chain 5_Depot 2_SKU 9_45108"/>
    <x v="25"/>
    <x v="1"/>
    <x v="4"/>
    <x v="1"/>
    <x v="6"/>
    <x v="14"/>
    <s v="History"/>
    <n v="6228.95"/>
    <m/>
    <n v="6793.1811277794104"/>
    <n v="-626.86794791388297"/>
    <m/>
    <m/>
    <n v="0"/>
    <n v="0"/>
    <n v="0"/>
    <m/>
    <m/>
    <b v="0"/>
    <n v="2871"/>
    <n v="0"/>
    <n v="2552"/>
    <s v="Weak"/>
    <n v="1246.3900000000001"/>
    <n v="1033.08"/>
    <n v="17.11"/>
    <n v="0"/>
    <m/>
    <m/>
    <m/>
    <m/>
    <m/>
    <m/>
    <m/>
    <m/>
    <m/>
    <m/>
    <m/>
    <m/>
  </r>
  <r>
    <x v="26"/>
    <s v="Chain 5_Depot 2_SKU 9_45139"/>
    <x v="25"/>
    <x v="1"/>
    <x v="4"/>
    <x v="1"/>
    <x v="6"/>
    <x v="14"/>
    <s v="History"/>
    <n v="6606.22"/>
    <m/>
    <n v="6805.0157340269097"/>
    <n v="-309.92178000539201"/>
    <m/>
    <m/>
    <n v="0"/>
    <n v="0"/>
    <n v="0"/>
    <m/>
    <m/>
    <b v="0"/>
    <n v="2494"/>
    <n v="1"/>
    <n v="2295"/>
    <s v="Weak"/>
    <n v="1148.81"/>
    <n v="957.05"/>
    <n v="16.690000000000001"/>
    <n v="0"/>
    <m/>
    <m/>
    <m/>
    <m/>
    <m/>
    <m/>
    <m/>
    <m/>
    <m/>
    <m/>
    <m/>
    <m/>
  </r>
  <r>
    <x v="27"/>
    <s v="Chain 5_Depot 2_SKU 9_45170"/>
    <x v="25"/>
    <x v="1"/>
    <x v="4"/>
    <x v="1"/>
    <x v="6"/>
    <x v="14"/>
    <s v="History"/>
    <n v="6566.33"/>
    <m/>
    <n v="6772.3768162190299"/>
    <n v="-151.65019325547399"/>
    <m/>
    <m/>
    <n v="0"/>
    <n v="0"/>
    <n v="0"/>
    <m/>
    <m/>
    <b v="0"/>
    <n v="4464"/>
    <n v="0"/>
    <n v="1008"/>
    <s v="Weak"/>
    <n v="1112.03"/>
    <n v="922.21"/>
    <n v="17.07"/>
    <n v="0"/>
    <m/>
    <m/>
    <m/>
    <m/>
    <m/>
    <m/>
    <m/>
    <m/>
    <m/>
    <m/>
    <m/>
    <m/>
  </r>
  <r>
    <x v="34"/>
    <s v="Chain 5_Depot 2_SKU 9_45200"/>
    <x v="25"/>
    <x v="1"/>
    <x v="4"/>
    <x v="1"/>
    <x v="6"/>
    <x v="14"/>
    <s v="History"/>
    <n v="6368.7"/>
    <m/>
    <n v="6740.7846125219103"/>
    <n v="-370.13511620468898"/>
    <m/>
    <m/>
    <n v="0"/>
    <n v="0"/>
    <n v="0"/>
    <m/>
    <m/>
    <b v="0"/>
    <n v="3414"/>
    <n v="1"/>
    <n v="1760"/>
    <s v="Weak"/>
    <n v="1134.1099999999999"/>
    <n v="940"/>
    <n v="17.12"/>
    <n v="0"/>
    <m/>
    <m/>
    <m/>
    <m/>
    <m/>
    <m/>
    <m/>
    <m/>
    <m/>
    <m/>
    <m/>
    <m/>
  </r>
  <r>
    <x v="28"/>
    <s v="Chain 5_Depot 2_SKU 9_45231"/>
    <x v="25"/>
    <x v="1"/>
    <x v="4"/>
    <x v="1"/>
    <x v="6"/>
    <x v="14"/>
    <s v="History"/>
    <n v="6736.41"/>
    <m/>
    <n v="6708.1393407838796"/>
    <n v="27.221862529447499"/>
    <m/>
    <m/>
    <n v="0"/>
    <n v="0"/>
    <n v="0"/>
    <m/>
    <m/>
    <b v="0"/>
    <n v="2627"/>
    <n v="1"/>
    <n v="1948"/>
    <s v="Weak"/>
    <n v="1191.67"/>
    <n v="1155.92"/>
    <n v="3"/>
    <n v="1"/>
    <m/>
    <m/>
    <m/>
    <m/>
    <m/>
    <m/>
    <m/>
    <m/>
    <m/>
    <m/>
    <m/>
    <m/>
  </r>
  <r>
    <x v="29"/>
    <s v="Chain 5_Depot 2_SKU 9_45261"/>
    <x v="25"/>
    <x v="1"/>
    <x v="4"/>
    <x v="1"/>
    <x v="6"/>
    <x v="14"/>
    <s v="History"/>
    <n v="6910.13"/>
    <m/>
    <n v="6676.5470619799498"/>
    <n v="234.39330785208901"/>
    <m/>
    <m/>
    <n v="0"/>
    <n v="0"/>
    <n v="0"/>
    <m/>
    <m/>
    <b v="0"/>
    <n v="3075"/>
    <n v="0"/>
    <n v="2224"/>
    <s v="Weak"/>
    <n v="1118.1099999999999"/>
    <n v="912.65"/>
    <n v="18.38"/>
    <n v="0"/>
    <m/>
    <m/>
    <m/>
    <m/>
    <m/>
    <m/>
    <m/>
    <m/>
    <m/>
    <m/>
    <m/>
    <m/>
  </r>
  <r>
    <x v="17"/>
    <s v="Chain 5_Depot 2_SKU 9_45292"/>
    <x v="25"/>
    <x v="1"/>
    <x v="4"/>
    <x v="1"/>
    <x v="6"/>
    <x v="14"/>
    <s v="History"/>
    <n v="9729.41"/>
    <m/>
    <n v="6643.9016314861201"/>
    <n v="3084.6901540356798"/>
    <m/>
    <m/>
    <n v="0"/>
    <n v="1"/>
    <n v="1"/>
    <m/>
    <m/>
    <b v="0"/>
    <n v="2141"/>
    <n v="0"/>
    <n v="2082"/>
    <s v="Weak"/>
    <n v="1152.31"/>
    <n v="949.66"/>
    <n v="17.59"/>
    <n v="0"/>
    <m/>
    <m/>
    <m/>
    <m/>
    <m/>
    <m/>
    <m/>
    <m/>
    <m/>
    <m/>
    <m/>
    <m/>
  </r>
  <r>
    <x v="18"/>
    <s v="Chain 5_Depot 2_SKU 9_45323"/>
    <x v="25"/>
    <x v="1"/>
    <x v="4"/>
    <x v="1"/>
    <x v="6"/>
    <x v="14"/>
    <s v="History"/>
    <n v="8245.93"/>
    <m/>
    <n v="6611.2562187327203"/>
    <n v="1635.9183607238101"/>
    <m/>
    <m/>
    <n v="0"/>
    <n v="1"/>
    <n v="1"/>
    <m/>
    <m/>
    <b v="0"/>
    <n v="3487"/>
    <n v="0"/>
    <n v="1886"/>
    <s v="Weak"/>
    <n v="1177.6400000000001"/>
    <n v="980.6"/>
    <n v="16.73"/>
    <n v="0"/>
    <m/>
    <m/>
    <m/>
    <m/>
    <m/>
    <m/>
    <m/>
    <m/>
    <m/>
    <m/>
    <m/>
    <m/>
  </r>
  <r>
    <x v="19"/>
    <s v="Chain 5_Depot 2_SKU 9_45352"/>
    <x v="25"/>
    <x v="1"/>
    <x v="4"/>
    <x v="1"/>
    <x v="6"/>
    <x v="14"/>
    <s v="History"/>
    <n v="5510.97"/>
    <m/>
    <n v="6580.7152604846196"/>
    <n v="-1038.6885649444"/>
    <m/>
    <m/>
    <n v="0"/>
    <n v="1"/>
    <n v="0"/>
    <m/>
    <m/>
    <b v="0"/>
    <n v="2045"/>
    <n v="0"/>
    <n v="1392"/>
    <s v="Weak"/>
    <n v="1121.9100000000001"/>
    <n v="931.97"/>
    <n v="16.93"/>
    <n v="0"/>
    <m/>
    <m/>
    <m/>
    <m/>
    <m/>
    <m/>
    <m/>
    <m/>
    <m/>
    <m/>
    <m/>
    <m/>
  </r>
  <r>
    <x v="20"/>
    <s v="Chain 5_Depot 2_SKU 9_45383"/>
    <x v="25"/>
    <x v="1"/>
    <x v="4"/>
    <x v="1"/>
    <x v="6"/>
    <x v="14"/>
    <s v="History"/>
    <n v="5569.6"/>
    <m/>
    <n v="6548.0680401818299"/>
    <n v="-984.90209574975199"/>
    <m/>
    <m/>
    <n v="0"/>
    <n v="1"/>
    <n v="0"/>
    <m/>
    <m/>
    <b v="0"/>
    <n v="4891"/>
    <n v="0"/>
    <n v="2675"/>
    <s v="Weak"/>
    <n v="1065.78"/>
    <n v="883.02"/>
    <n v="17.149999999999999"/>
    <n v="0"/>
    <m/>
    <m/>
    <m/>
    <m/>
    <m/>
    <m/>
    <m/>
    <m/>
    <m/>
    <m/>
    <m/>
    <m/>
  </r>
  <r>
    <x v="21"/>
    <s v="Chain 5_Depot 2_SKU 9_45413"/>
    <x v="25"/>
    <x v="1"/>
    <x v="4"/>
    <x v="1"/>
    <x v="6"/>
    <x v="14"/>
    <s v="History"/>
    <n v="5607.86"/>
    <m/>
    <n v="6516.2592006967898"/>
    <n v="-948.32870052067699"/>
    <m/>
    <m/>
    <n v="0"/>
    <n v="1"/>
    <n v="0"/>
    <m/>
    <m/>
    <b v="0"/>
    <n v="4057"/>
    <n v="0"/>
    <n v="2142"/>
    <s v="Weak"/>
    <n v="1100.43"/>
    <n v="883.15"/>
    <n v="19.739999999999998"/>
    <n v="0"/>
    <m/>
    <m/>
    <m/>
    <m/>
    <m/>
    <m/>
    <m/>
    <m/>
    <m/>
    <m/>
    <m/>
    <m/>
  </r>
  <r>
    <x v="22"/>
    <s v="Chain 5_Depot 2_SKU 9_45444"/>
    <x v="25"/>
    <x v="1"/>
    <x v="4"/>
    <x v="1"/>
    <x v="6"/>
    <x v="14"/>
    <s v="History"/>
    <n v="5591.68"/>
    <m/>
    <n v="6298.6962165964997"/>
    <n v="-812.13621442685803"/>
    <m/>
    <m/>
    <n v="0"/>
    <n v="1"/>
    <n v="0"/>
    <m/>
    <m/>
    <b v="0"/>
    <n v="2663"/>
    <n v="0"/>
    <n v="2576"/>
    <s v="Weak"/>
    <n v="1111.06"/>
    <n v="912.6"/>
    <n v="17.86"/>
    <n v="0"/>
    <m/>
    <m/>
    <m/>
    <m/>
    <m/>
    <m/>
    <m/>
    <m/>
    <m/>
    <m/>
    <m/>
    <m/>
  </r>
  <r>
    <x v="30"/>
    <s v="Chain 5_Depot 2_SKU 9_45474"/>
    <x v="25"/>
    <x v="1"/>
    <x v="4"/>
    <x v="1"/>
    <x v="6"/>
    <x v="14"/>
    <s v="History"/>
    <n v="5488.48"/>
    <n v="5998.91"/>
    <n v="6088.1513932736498"/>
    <n v="-531.62060309722699"/>
    <n v="6198.91"/>
    <n v="5798.91"/>
    <n v="0"/>
    <n v="1"/>
    <n v="0"/>
    <m/>
    <m/>
    <b v="0"/>
    <n v="2572"/>
    <n v="1"/>
    <n v="1398"/>
    <s v="Weak"/>
    <n v="1142.56"/>
    <n v="937.27"/>
    <n v="17.97"/>
    <n v="0"/>
    <m/>
    <m/>
    <m/>
    <m/>
    <m/>
    <m/>
    <m/>
    <m/>
    <m/>
    <m/>
    <m/>
    <m/>
  </r>
  <r>
    <x v="23"/>
    <s v="Chain 5_Depot 2_SKU 9_45505"/>
    <x v="25"/>
    <x v="1"/>
    <x v="4"/>
    <x v="1"/>
    <x v="6"/>
    <x v="14"/>
    <s v="History"/>
    <n v="5369.34"/>
    <n v="5952.48"/>
    <n v="5870.5884091733597"/>
    <n v="-393.84969188364698"/>
    <n v="6152.48"/>
    <n v="5752.48"/>
    <n v="0"/>
    <n v="1"/>
    <n v="0"/>
    <m/>
    <m/>
    <b v="0"/>
    <n v="4029"/>
    <n v="0"/>
    <n v="2857"/>
    <s v="Weak"/>
    <n v="1156.21"/>
    <n v="939.4"/>
    <n v="18.75"/>
    <n v="0"/>
    <m/>
    <m/>
    <m/>
    <m/>
    <m/>
    <m/>
    <m/>
    <m/>
    <m/>
    <m/>
    <m/>
    <m/>
  </r>
  <r>
    <x v="24"/>
    <s v="Chain 5_Depot 2_SKU 9_45536"/>
    <x v="25"/>
    <x v="1"/>
    <x v="4"/>
    <x v="1"/>
    <x v="6"/>
    <x v="14"/>
    <s v="History"/>
    <n v="5642.84"/>
    <n v="6540.05"/>
    <n v="5653.0254250730804"/>
    <n v="-66.086692716155"/>
    <n v="6740.05"/>
    <n v="6340.05"/>
    <n v="0"/>
    <n v="1"/>
    <n v="0"/>
    <m/>
    <m/>
    <b v="0"/>
    <n v="3553"/>
    <n v="0"/>
    <n v="1330"/>
    <s v="Weak"/>
    <n v="1195.19"/>
    <n v="995.05"/>
    <n v="16.75"/>
    <n v="0"/>
    <m/>
    <m/>
    <m/>
    <m/>
    <m/>
    <m/>
    <m/>
    <m/>
    <m/>
    <m/>
    <m/>
    <m/>
  </r>
  <r>
    <x v="31"/>
    <s v="Chain 5_Depot 2_SKU 9_45566"/>
    <x v="25"/>
    <x v="1"/>
    <x v="4"/>
    <x v="1"/>
    <x v="6"/>
    <x v="14"/>
    <s v="Forecast"/>
    <m/>
    <n v="6157.8"/>
    <n v="5442.4806017502297"/>
    <n v="-455.92937233590197"/>
    <n v="6357.8"/>
    <n v="5957.8"/>
    <m/>
    <m/>
    <m/>
    <m/>
    <m/>
    <m/>
    <m/>
    <m/>
    <n v="2290"/>
    <n v="0"/>
    <n v="1092.6400000000001"/>
    <n v="877.67"/>
    <n v="19.670000000000002"/>
    <n v="0"/>
    <m/>
    <m/>
    <m/>
    <m/>
    <m/>
    <m/>
    <m/>
    <m/>
    <m/>
    <m/>
    <m/>
    <m/>
  </r>
  <r>
    <x v="25"/>
    <s v="Chain 5_Depot 2_SKU 9_45597"/>
    <x v="25"/>
    <x v="1"/>
    <x v="4"/>
    <x v="1"/>
    <x v="6"/>
    <x v="14"/>
    <s v="Forecast"/>
    <m/>
    <n v="6261.13"/>
    <n v="5224.9176176499404"/>
    <n v="117.71409798304001"/>
    <n v="6461.13"/>
    <n v="6061.13"/>
    <m/>
    <m/>
    <m/>
    <m/>
    <m/>
    <m/>
    <m/>
    <m/>
    <n v="2543"/>
    <n v="0"/>
    <n v="1187.9100000000001"/>
    <n v="988.2"/>
    <n v="16.809999999999999"/>
    <n v="0"/>
    <m/>
    <m/>
    <m/>
    <m/>
    <m/>
    <m/>
    <m/>
    <m/>
    <m/>
    <m/>
    <m/>
    <m/>
  </r>
  <r>
    <x v="32"/>
    <s v="Chain 5_Depot 2_SKU 9_45627"/>
    <x v="25"/>
    <x v="1"/>
    <x v="4"/>
    <x v="1"/>
    <x v="6"/>
    <x v="14"/>
    <s v="Forecast"/>
    <m/>
    <n v="6752.28"/>
    <n v="5014.3727943270897"/>
    <n v="182.656779441726"/>
    <n v="6952.28"/>
    <n v="6552.28"/>
    <m/>
    <m/>
    <m/>
    <m/>
    <m/>
    <m/>
    <m/>
    <m/>
    <n v="2718"/>
    <n v="0"/>
    <n v="1135.45"/>
    <n v="950.15"/>
    <n v="16.32"/>
    <n v="0"/>
    <m/>
    <m/>
    <m/>
    <m/>
    <m/>
    <m/>
    <m/>
    <m/>
    <m/>
    <m/>
    <m/>
    <m/>
  </r>
  <r>
    <x v="7"/>
    <s v="Chain 5_Depot 4_SKU 18_44774"/>
    <x v="26"/>
    <x v="1"/>
    <x v="4"/>
    <x v="8"/>
    <x v="0"/>
    <x v="21"/>
    <s v="History"/>
    <n v="6915.04"/>
    <m/>
    <n v="6590.9754537299996"/>
    <n v="-534.139837999767"/>
    <m/>
    <m/>
    <n v="0"/>
    <n v="0"/>
    <n v="0"/>
    <m/>
    <m/>
    <b v="0"/>
    <n v="3938"/>
    <n v="1"/>
    <n v="2192"/>
    <s v="Stable"/>
    <n v="1613.45"/>
    <n v="1411.1"/>
    <n v="12.54"/>
    <n v="0"/>
    <m/>
    <m/>
    <m/>
    <m/>
    <m/>
    <m/>
    <m/>
    <m/>
    <m/>
    <m/>
    <m/>
    <m/>
  </r>
  <r>
    <x v="35"/>
    <s v="Chain 5_Depot 4_SKU 18_44805"/>
    <x v="26"/>
    <x v="1"/>
    <x v="4"/>
    <x v="8"/>
    <x v="0"/>
    <x v="21"/>
    <s v="History"/>
    <n v="7367.47"/>
    <m/>
    <n v="6642.1853170330296"/>
    <n v="381.45230954799803"/>
    <m/>
    <m/>
    <n v="0"/>
    <n v="0"/>
    <n v="0"/>
    <m/>
    <m/>
    <b v="0"/>
    <n v="3404"/>
    <n v="1"/>
    <n v="1989"/>
    <s v="Stable"/>
    <n v="1597.02"/>
    <n v="1366.71"/>
    <n v="14.42"/>
    <n v="0"/>
    <m/>
    <m/>
    <m/>
    <m/>
    <m/>
    <m/>
    <m/>
    <m/>
    <m/>
    <m/>
    <m/>
    <m/>
  </r>
  <r>
    <x v="33"/>
    <s v="Chain 5_Depot 4_SKU 18_44835"/>
    <x v="26"/>
    <x v="1"/>
    <x v="4"/>
    <x v="8"/>
    <x v="0"/>
    <x v="21"/>
    <s v="History"/>
    <n v="6990.1"/>
    <m/>
    <n v="6691.7432491845602"/>
    <n v="551.56819613229095"/>
    <m/>
    <m/>
    <n v="0"/>
    <n v="0"/>
    <n v="0"/>
    <m/>
    <m/>
    <b v="0"/>
    <n v="2443"/>
    <n v="0"/>
    <n v="1297"/>
    <s v="Stable"/>
    <n v="1584.08"/>
    <n v="1335.51"/>
    <n v="15.69"/>
    <n v="0"/>
    <m/>
    <m/>
    <m/>
    <m/>
    <m/>
    <m/>
    <m/>
    <m/>
    <m/>
    <m/>
    <m/>
    <m/>
  </r>
  <r>
    <x v="8"/>
    <s v="Chain 5_Depot 4_SKU 18_44866"/>
    <x v="26"/>
    <x v="1"/>
    <x v="4"/>
    <x v="8"/>
    <x v="0"/>
    <x v="21"/>
    <s v="History"/>
    <n v="6636.13"/>
    <m/>
    <n v="6742.95311254649"/>
    <n v="149.32276592682899"/>
    <m/>
    <m/>
    <n v="0"/>
    <n v="0"/>
    <n v="0"/>
    <m/>
    <m/>
    <b v="0"/>
    <n v="2259"/>
    <n v="0"/>
    <n v="1232"/>
    <s v="Stable"/>
    <n v="1572"/>
    <n v="1353.59"/>
    <n v="13.89"/>
    <n v="0"/>
    <m/>
    <m/>
    <m/>
    <m/>
    <m/>
    <m/>
    <m/>
    <m/>
    <m/>
    <m/>
    <m/>
    <m/>
  </r>
  <r>
    <x v="9"/>
    <s v="Chain 5_Depot 4_SKU 18_44896"/>
    <x v="26"/>
    <x v="1"/>
    <x v="4"/>
    <x v="8"/>
    <x v="0"/>
    <x v="21"/>
    <s v="History"/>
    <n v="6883.27"/>
    <m/>
    <n v="6792.51104498734"/>
    <n v="85.200461240016395"/>
    <m/>
    <m/>
    <n v="0"/>
    <n v="0"/>
    <n v="0"/>
    <m/>
    <m/>
    <b v="0"/>
    <n v="3538"/>
    <n v="0"/>
    <n v="2926"/>
    <s v="Stable"/>
    <n v="1532.16"/>
    <n v="1335.99"/>
    <n v="12.8"/>
    <n v="0"/>
    <m/>
    <m/>
    <m/>
    <m/>
    <m/>
    <m/>
    <m/>
    <m/>
    <m/>
    <m/>
    <m/>
    <m/>
  </r>
  <r>
    <x v="10"/>
    <s v="Chain 5_Depot 4_SKU 18_44927"/>
    <x v="26"/>
    <x v="1"/>
    <x v="4"/>
    <x v="8"/>
    <x v="0"/>
    <x v="21"/>
    <s v="History"/>
    <n v="6611.42"/>
    <m/>
    <n v="6843.7209086123703"/>
    <n v="158.75428263335201"/>
    <m/>
    <m/>
    <n v="0"/>
    <n v="0"/>
    <n v="0"/>
    <m/>
    <m/>
    <b v="0"/>
    <n v="3331"/>
    <n v="0"/>
    <n v="1270"/>
    <s v="Stable"/>
    <n v="1675.42"/>
    <n v="1463.34"/>
    <n v="12.66"/>
    <n v="0"/>
    <m/>
    <m/>
    <m/>
    <m/>
    <m/>
    <m/>
    <m/>
    <m/>
    <m/>
    <m/>
    <m/>
    <m/>
  </r>
  <r>
    <x v="11"/>
    <s v="Chain 5_Depot 4_SKU 18_44958"/>
    <x v="26"/>
    <x v="1"/>
    <x v="4"/>
    <x v="8"/>
    <x v="0"/>
    <x v="21"/>
    <s v="History"/>
    <n v="6579.33"/>
    <m/>
    <n v="6894.9307724787004"/>
    <n v="-2.7833783444717901"/>
    <m/>
    <m/>
    <n v="0"/>
    <n v="0"/>
    <n v="0"/>
    <m/>
    <m/>
    <b v="0"/>
    <n v="4786"/>
    <n v="0"/>
    <n v="2083"/>
    <s v="Stable"/>
    <n v="1572.97"/>
    <n v="1366.05"/>
    <n v="13.15"/>
    <n v="0"/>
    <m/>
    <m/>
    <m/>
    <m/>
    <m/>
    <m/>
    <m/>
    <m/>
    <m/>
    <m/>
    <m/>
    <m/>
  </r>
  <r>
    <x v="12"/>
    <s v="Chain 5_Depot 4_SKU 18_44986"/>
    <x v="26"/>
    <x v="1"/>
    <x v="4"/>
    <x v="8"/>
    <x v="0"/>
    <x v="21"/>
    <s v="History"/>
    <n v="6561.49"/>
    <m/>
    <n v="6941.1848432035504"/>
    <n v="228.97551958241601"/>
    <m/>
    <m/>
    <n v="0"/>
    <n v="0"/>
    <n v="0"/>
    <m/>
    <m/>
    <b v="0"/>
    <n v="4843"/>
    <n v="0"/>
    <n v="2319"/>
    <s v="Stable"/>
    <n v="1600.41"/>
    <n v="1390.02"/>
    <n v="13.15"/>
    <n v="0"/>
    <m/>
    <m/>
    <m/>
    <m/>
    <m/>
    <m/>
    <m/>
    <m/>
    <m/>
    <m/>
    <m/>
    <m/>
  </r>
  <r>
    <x v="13"/>
    <s v="Chain 5_Depot 4_SKU 18_45017"/>
    <x v="26"/>
    <x v="1"/>
    <x v="4"/>
    <x v="8"/>
    <x v="0"/>
    <x v="21"/>
    <s v="History"/>
    <n v="6456.73"/>
    <m/>
    <n v="6992.3973921818997"/>
    <n v="-396.01864024935901"/>
    <m/>
    <m/>
    <n v="0"/>
    <n v="0"/>
    <n v="0"/>
    <m/>
    <m/>
    <b v="1"/>
    <n v="2069"/>
    <n v="1"/>
    <n v="2490"/>
    <s v="Stable"/>
    <n v="1553.49"/>
    <n v="1348.09"/>
    <n v="13.22"/>
    <n v="0"/>
    <m/>
    <m/>
    <m/>
    <m/>
    <m/>
    <m/>
    <m/>
    <m/>
    <m/>
    <m/>
    <m/>
    <m/>
  </r>
  <r>
    <x v="14"/>
    <s v="Chain 5_Depot 4_SKU 18_45047"/>
    <x v="26"/>
    <x v="1"/>
    <x v="4"/>
    <x v="8"/>
    <x v="0"/>
    <x v="21"/>
    <s v="History"/>
    <n v="7137.79"/>
    <m/>
    <n v="7041.95800266061"/>
    <n v="267.287744859192"/>
    <m/>
    <m/>
    <n v="0"/>
    <n v="0"/>
    <n v="0"/>
    <m/>
    <m/>
    <b v="0"/>
    <n v="3477"/>
    <n v="1"/>
    <n v="2258"/>
    <s v="Stable"/>
    <n v="1586.03"/>
    <n v="1394.68"/>
    <n v="12.06"/>
    <n v="0"/>
    <m/>
    <m/>
    <m/>
    <m/>
    <m/>
    <m/>
    <m/>
    <m/>
    <m/>
    <m/>
    <m/>
    <m/>
  </r>
  <r>
    <x v="15"/>
    <s v="Chain 5_Depot 4_SKU 18_45078"/>
    <x v="26"/>
    <x v="1"/>
    <x v="4"/>
    <x v="8"/>
    <x v="0"/>
    <x v="21"/>
    <s v="History"/>
    <n v="6908.54"/>
    <m/>
    <n v="7093.1718125056996"/>
    <n v="-313.21298395582102"/>
    <m/>
    <m/>
    <n v="0"/>
    <n v="0"/>
    <n v="0"/>
    <m/>
    <m/>
    <b v="0"/>
    <n v="3462"/>
    <n v="0"/>
    <n v="1676"/>
    <s v="Stable"/>
    <n v="1741.54"/>
    <n v="1488.46"/>
    <n v="14.53"/>
    <n v="0"/>
    <m/>
    <m/>
    <m/>
    <m/>
    <m/>
    <m/>
    <m/>
    <m/>
    <m/>
    <m/>
    <m/>
    <m/>
  </r>
  <r>
    <x v="16"/>
    <s v="Chain 5_Depot 4_SKU 18_45108"/>
    <x v="26"/>
    <x v="1"/>
    <x v="4"/>
    <x v="8"/>
    <x v="0"/>
    <x v="21"/>
    <s v="History"/>
    <n v="7304.15"/>
    <m/>
    <n v="7142.7335639011098"/>
    <n v="-88.578201872303197"/>
    <m/>
    <m/>
    <n v="0"/>
    <n v="0"/>
    <n v="0"/>
    <m/>
    <m/>
    <b v="0"/>
    <n v="3848"/>
    <n v="0"/>
    <n v="1705"/>
    <s v="Stable"/>
    <n v="1562.7"/>
    <n v="1362.25"/>
    <n v="12.83"/>
    <n v="0"/>
    <m/>
    <m/>
    <m/>
    <m/>
    <m/>
    <m/>
    <m/>
    <m/>
    <m/>
    <m/>
    <m/>
    <m/>
  </r>
  <r>
    <x v="26"/>
    <s v="Chain 5_Depot 4_SKU 18_45139"/>
    <x v="26"/>
    <x v="1"/>
    <x v="4"/>
    <x v="8"/>
    <x v="0"/>
    <x v="21"/>
    <s v="History"/>
    <n v="5843.3"/>
    <m/>
    <n v="7193.9473736370901"/>
    <n v="-619.03622001142605"/>
    <m/>
    <m/>
    <n v="0"/>
    <n v="0"/>
    <n v="1"/>
    <m/>
    <m/>
    <b v="0"/>
    <n v="2480"/>
    <n v="0"/>
    <n v="1233"/>
    <s v="Stable"/>
    <n v="1671.43"/>
    <n v="1438.79"/>
    <n v="13.92"/>
    <n v="0"/>
    <m/>
    <m/>
    <m/>
    <m/>
    <m/>
    <m/>
    <m/>
    <m/>
    <m/>
    <m/>
    <m/>
    <m/>
  </r>
  <r>
    <x v="27"/>
    <s v="Chain 5_Depot 4_SKU 18_45170"/>
    <x v="26"/>
    <x v="1"/>
    <x v="4"/>
    <x v="8"/>
    <x v="0"/>
    <x v="21"/>
    <s v="History"/>
    <n v="7764.48"/>
    <m/>
    <n v="7245.1611832824001"/>
    <n v="455.67542080540198"/>
    <m/>
    <m/>
    <n v="0"/>
    <n v="0"/>
    <n v="0"/>
    <m/>
    <m/>
    <b v="0"/>
    <n v="3167"/>
    <n v="0"/>
    <n v="2391"/>
    <s v="Stable"/>
    <n v="1597.61"/>
    <n v="1373.91"/>
    <n v="14"/>
    <n v="0"/>
    <m/>
    <m/>
    <m/>
    <m/>
    <m/>
    <m/>
    <m/>
    <m/>
    <m/>
    <m/>
    <m/>
    <m/>
  </r>
  <r>
    <x v="34"/>
    <s v="Chain 5_Depot 4_SKU 18_45200"/>
    <x v="26"/>
    <x v="1"/>
    <x v="4"/>
    <x v="8"/>
    <x v="0"/>
    <x v="21"/>
    <s v="History"/>
    <n v="8030.75"/>
    <m/>
    <n v="7294.7229346397698"/>
    <n v="473.53313324760097"/>
    <m/>
    <m/>
    <n v="0"/>
    <n v="0"/>
    <n v="0"/>
    <m/>
    <m/>
    <b v="0"/>
    <n v="4071"/>
    <n v="0"/>
    <n v="2718"/>
    <s v="Stable"/>
    <n v="1633"/>
    <n v="1438.35"/>
    <n v="11.92"/>
    <n v="0"/>
    <m/>
    <m/>
    <m/>
    <m/>
    <m/>
    <m/>
    <m/>
    <m/>
    <m/>
    <m/>
    <m/>
    <m/>
  </r>
  <r>
    <x v="28"/>
    <s v="Chain 5_Depot 4_SKU 18_45231"/>
    <x v="26"/>
    <x v="1"/>
    <x v="4"/>
    <x v="8"/>
    <x v="0"/>
    <x v="21"/>
    <s v="History"/>
    <n v="7830.63"/>
    <m/>
    <n v="7345.9367443561196"/>
    <n v="232.54970341513001"/>
    <m/>
    <m/>
    <n v="0"/>
    <n v="0"/>
    <n v="0"/>
    <m/>
    <m/>
    <b v="0"/>
    <n v="4793"/>
    <n v="0"/>
    <n v="1844"/>
    <s v="Stable"/>
    <n v="1661.23"/>
    <n v="1427.35"/>
    <n v="14.08"/>
    <n v="0"/>
    <m/>
    <m/>
    <m/>
    <m/>
    <m/>
    <m/>
    <m/>
    <m/>
    <m/>
    <m/>
    <m/>
    <m/>
  </r>
  <r>
    <x v="17"/>
    <s v="Chain 5_Depot 4_SKU 18_45292"/>
    <x v="26"/>
    <x v="1"/>
    <x v="4"/>
    <x v="8"/>
    <x v="0"/>
    <x v="21"/>
    <s v="History"/>
    <n v="8068.12"/>
    <m/>
    <n v="7446.7123055501197"/>
    <n v="240.84577810570201"/>
    <m/>
    <m/>
    <n v="0"/>
    <n v="0"/>
    <n v="0"/>
    <m/>
    <m/>
    <b v="0"/>
    <n v="3198"/>
    <n v="0"/>
    <n v="2896"/>
    <s v="Stable"/>
    <n v="1581.41"/>
    <n v="1533.97"/>
    <n v="3"/>
    <n v="1"/>
    <m/>
    <m/>
    <m/>
    <m/>
    <m/>
    <m/>
    <m/>
    <m/>
    <m/>
    <m/>
    <m/>
    <m/>
  </r>
  <r>
    <x v="18"/>
    <s v="Chain 5_Depot 4_SKU 18_45323"/>
    <x v="26"/>
    <x v="1"/>
    <x v="4"/>
    <x v="8"/>
    <x v="0"/>
    <x v="21"/>
    <s v="History"/>
    <n v="7750.78"/>
    <m/>
    <n v="7497.92611520631"/>
    <n v="-78.626977870674907"/>
    <m/>
    <m/>
    <n v="0"/>
    <n v="0"/>
    <n v="0"/>
    <m/>
    <m/>
    <b v="0"/>
    <n v="4372"/>
    <n v="0"/>
    <n v="1490"/>
    <s v="Stable"/>
    <n v="1589.7"/>
    <n v="1394.84"/>
    <n v="12.26"/>
    <n v="0"/>
    <m/>
    <m/>
    <m/>
    <m/>
    <m/>
    <m/>
    <m/>
    <m/>
    <m/>
    <m/>
    <m/>
    <m/>
  </r>
  <r>
    <x v="19"/>
    <s v="Chain 5_Depot 4_SKU 18_45352"/>
    <x v="26"/>
    <x v="1"/>
    <x v="4"/>
    <x v="8"/>
    <x v="0"/>
    <x v="21"/>
    <s v="History"/>
    <n v="8156.31"/>
    <m/>
    <n v="7545.8358078639903"/>
    <n v="0.97022620558600803"/>
    <m/>
    <m/>
    <n v="0"/>
    <n v="0"/>
    <n v="0"/>
    <m/>
    <m/>
    <b v="0"/>
    <n v="3892"/>
    <n v="0"/>
    <n v="2642"/>
    <s v="Stable"/>
    <n v="1591.38"/>
    <n v="1375.74"/>
    <n v="13.55"/>
    <n v="0"/>
    <m/>
    <m/>
    <m/>
    <m/>
    <m/>
    <m/>
    <m/>
    <m/>
    <m/>
    <m/>
    <m/>
    <m/>
  </r>
  <r>
    <x v="20"/>
    <s v="Chain 5_Depot 4_SKU 18_45383"/>
    <x v="26"/>
    <x v="1"/>
    <x v="4"/>
    <x v="8"/>
    <x v="0"/>
    <x v="21"/>
    <s v="History"/>
    <n v="7563.8"/>
    <m/>
    <n v="7597.0496173153397"/>
    <n v="-161.35096594304099"/>
    <m/>
    <m/>
    <n v="0"/>
    <n v="0"/>
    <n v="0"/>
    <m/>
    <m/>
    <b v="0"/>
    <n v="3694"/>
    <n v="0"/>
    <n v="1502"/>
    <s v="Stable"/>
    <n v="1692.22"/>
    <n v="1464.31"/>
    <n v="13.47"/>
    <n v="0"/>
    <m/>
    <m/>
    <m/>
    <m/>
    <m/>
    <m/>
    <m/>
    <m/>
    <m/>
    <m/>
    <m/>
    <m/>
  </r>
  <r>
    <x v="21"/>
    <s v="Chain 5_Depot 4_SKU 18_45413"/>
    <x v="26"/>
    <x v="1"/>
    <x v="4"/>
    <x v="8"/>
    <x v="0"/>
    <x v="21"/>
    <s v="History"/>
    <n v="7856.18"/>
    <m/>
    <n v="7646.6113682950299"/>
    <n v="33.419594444370397"/>
    <m/>
    <m/>
    <n v="0"/>
    <n v="0"/>
    <n v="0"/>
    <m/>
    <m/>
    <b v="0"/>
    <n v="3883"/>
    <n v="0"/>
    <n v="1889"/>
    <s v="Stable"/>
    <n v="1524.79"/>
    <n v="1306.4000000000001"/>
    <n v="14.32"/>
    <n v="0"/>
    <m/>
    <m/>
    <m/>
    <m/>
    <m/>
    <m/>
    <m/>
    <m/>
    <m/>
    <m/>
    <m/>
    <m/>
  </r>
  <r>
    <x v="22"/>
    <s v="Chain 5_Depot 4_SKU 18_45444"/>
    <x v="26"/>
    <x v="1"/>
    <x v="4"/>
    <x v="8"/>
    <x v="0"/>
    <x v="21"/>
    <s v="History"/>
    <n v="7473.62"/>
    <m/>
    <n v="7697.8251776407296"/>
    <n v="-78.954328587437303"/>
    <m/>
    <m/>
    <n v="0"/>
    <n v="0"/>
    <n v="0"/>
    <m/>
    <m/>
    <b v="0"/>
    <n v="3371"/>
    <n v="1"/>
    <n v="2758"/>
    <s v="Stable"/>
    <n v="1510.46"/>
    <n v="1332.31"/>
    <n v="11.79"/>
    <n v="0"/>
    <m/>
    <m/>
    <m/>
    <m/>
    <m/>
    <m/>
    <m/>
    <m/>
    <m/>
    <m/>
    <m/>
    <m/>
  </r>
  <r>
    <x v="30"/>
    <s v="Chain 5_Depot 4_SKU 18_45474"/>
    <x v="26"/>
    <x v="1"/>
    <x v="4"/>
    <x v="8"/>
    <x v="0"/>
    <x v="21"/>
    <s v="History"/>
    <n v="7173.4"/>
    <n v="7307.64"/>
    <n v="7747.3869286204199"/>
    <n v="-337.19633972346901"/>
    <n v="7507.64"/>
    <n v="7107.64"/>
    <n v="0"/>
    <n v="0"/>
    <n v="0"/>
    <m/>
    <m/>
    <b v="0"/>
    <n v="2797"/>
    <n v="0"/>
    <n v="1591"/>
    <s v="Stable"/>
    <n v="1513.8"/>
    <n v="1330.87"/>
    <n v="12.08"/>
    <n v="0"/>
    <m/>
    <m/>
    <m/>
    <m/>
    <m/>
    <m/>
    <m/>
    <m/>
    <m/>
    <m/>
    <m/>
    <m/>
  </r>
  <r>
    <x v="23"/>
    <s v="Chain 5_Depot 4_SKU 18_45505"/>
    <x v="26"/>
    <x v="1"/>
    <x v="4"/>
    <x v="8"/>
    <x v="0"/>
    <x v="21"/>
    <s v="History"/>
    <n v="7301.79"/>
    <n v="7372.01"/>
    <n v="7798.6007379661096"/>
    <n v="-363.94680237859501"/>
    <n v="7572.01"/>
    <n v="7172.01"/>
    <n v="0"/>
    <n v="0"/>
    <n v="0"/>
    <m/>
    <m/>
    <b v="0"/>
    <n v="2017"/>
    <n v="0"/>
    <n v="1745"/>
    <s v="Stable"/>
    <n v="1554.3"/>
    <n v="1361.43"/>
    <n v="12.41"/>
    <n v="0"/>
    <m/>
    <m/>
    <m/>
    <m/>
    <m/>
    <m/>
    <m/>
    <m/>
    <m/>
    <m/>
    <m/>
    <m/>
  </r>
  <r>
    <x v="24"/>
    <s v="Chain 5_Depot 4_SKU 18_45536"/>
    <x v="26"/>
    <x v="1"/>
    <x v="4"/>
    <x v="8"/>
    <x v="0"/>
    <x v="21"/>
    <s v="History"/>
    <n v="7669.64"/>
    <n v="7742.19"/>
    <n v="7849.8145473118002"/>
    <n v="232.989389642492"/>
    <n v="7942.19"/>
    <n v="7542.19"/>
    <n v="0"/>
    <n v="0"/>
    <n v="0"/>
    <m/>
    <m/>
    <b v="1"/>
    <n v="2043"/>
    <n v="0"/>
    <n v="2404"/>
    <s v="Stable"/>
    <n v="1634"/>
    <n v="1433.04"/>
    <n v="12.3"/>
    <n v="0"/>
    <m/>
    <m/>
    <m/>
    <m/>
    <m/>
    <m/>
    <m/>
    <m/>
    <m/>
    <m/>
    <m/>
    <m/>
  </r>
  <r>
    <x v="31"/>
    <s v="Chain 5_Depot 4_SKU 18_45566"/>
    <x v="26"/>
    <x v="1"/>
    <x v="4"/>
    <x v="8"/>
    <x v="0"/>
    <x v="21"/>
    <s v="Forecast"/>
    <m/>
    <n v="7991.89"/>
    <n v="7899.3762982914996"/>
    <n v="707.63289974468103"/>
    <n v="8191.89"/>
    <n v="7791.89"/>
    <m/>
    <m/>
    <m/>
    <m/>
    <m/>
    <m/>
    <m/>
    <m/>
    <n v="2719"/>
    <n v="0"/>
    <n v="1637.07"/>
    <n v="1410.01"/>
    <n v="13.87"/>
    <n v="0"/>
    <m/>
    <m/>
    <m/>
    <m/>
    <m/>
    <m/>
    <m/>
    <m/>
    <m/>
    <m/>
    <m/>
    <m/>
  </r>
  <r>
    <x v="25"/>
    <s v="Chain 5_Depot 4_SKU 18_45597"/>
    <x v="26"/>
    <x v="1"/>
    <x v="4"/>
    <x v="8"/>
    <x v="0"/>
    <x v="21"/>
    <s v="Forecast"/>
    <m/>
    <n v="8211.9"/>
    <n v="7950.5901076371902"/>
    <n v="-16.831663434566799"/>
    <n v="8411.9"/>
    <n v="8011.9"/>
    <m/>
    <m/>
    <m/>
    <m/>
    <m/>
    <m/>
    <m/>
    <m/>
    <n v="1427"/>
    <n v="0"/>
    <n v="1568.62"/>
    <n v="1338.92"/>
    <n v="14.64"/>
    <n v="0"/>
    <m/>
    <m/>
    <m/>
    <m/>
    <m/>
    <m/>
    <m/>
    <m/>
    <m/>
    <m/>
    <m/>
    <m/>
  </r>
  <r>
    <x v="32"/>
    <s v="Chain 5_Depot 4_SKU 18_45627"/>
    <x v="26"/>
    <x v="1"/>
    <x v="4"/>
    <x v="8"/>
    <x v="0"/>
    <x v="21"/>
    <s v="Forecast"/>
    <m/>
    <n v="8339.02"/>
    <n v="8000.1518586168904"/>
    <n v="249.01099961738899"/>
    <n v="8539.02"/>
    <n v="8139.02"/>
    <m/>
    <m/>
    <m/>
    <m/>
    <m/>
    <m/>
    <m/>
    <m/>
    <n v="1696"/>
    <n v="0"/>
    <n v="1597.58"/>
    <n v="1397.32"/>
    <n v="12.54"/>
    <n v="0"/>
    <m/>
    <m/>
    <m/>
    <m/>
    <m/>
    <m/>
    <m/>
    <m/>
    <m/>
    <m/>
    <m/>
    <m/>
  </r>
  <r>
    <x v="0"/>
    <s v="Chain 5_Depot 4_SKU 5_44562"/>
    <x v="27"/>
    <x v="1"/>
    <x v="4"/>
    <x v="8"/>
    <x v="8"/>
    <x v="22"/>
    <s v="History"/>
    <n v="15283.58"/>
    <m/>
    <n v="15374.974416499999"/>
    <n v="-574.32388528633999"/>
    <m/>
    <m/>
    <n v="0"/>
    <n v="0"/>
    <n v="0"/>
    <m/>
    <m/>
    <b v="0"/>
    <n v="3710"/>
    <n v="1"/>
    <n v="1672"/>
    <s v="Stable"/>
    <n v="2257.6"/>
    <n v="1909.61"/>
    <n v="15.41"/>
    <n v="0"/>
    <m/>
    <m/>
    <m/>
    <m/>
    <m/>
    <m/>
    <m/>
    <m/>
    <m/>
    <m/>
    <m/>
    <m/>
  </r>
  <r>
    <x v="1"/>
    <s v="Chain 5_Depot 4_SKU 5_44593"/>
    <x v="27"/>
    <x v="1"/>
    <x v="4"/>
    <x v="8"/>
    <x v="8"/>
    <x v="22"/>
    <s v="History"/>
    <n v="15840.16"/>
    <m/>
    <n v="15535.2134867102"/>
    <n v="350.32957220028402"/>
    <m/>
    <m/>
    <n v="0"/>
    <n v="0"/>
    <n v="0"/>
    <m/>
    <m/>
    <b v="0"/>
    <n v="2973"/>
    <n v="0"/>
    <n v="1713"/>
    <s v="Stable"/>
    <n v="2230.4"/>
    <n v="1884.26"/>
    <n v="15.52"/>
    <n v="0"/>
    <m/>
    <m/>
    <m/>
    <m/>
    <m/>
    <m/>
    <m/>
    <m/>
    <m/>
    <m/>
    <m/>
    <m/>
  </r>
  <r>
    <x v="2"/>
    <s v="Chain 5_Depot 4_SKU 5_44621"/>
    <x v="27"/>
    <x v="1"/>
    <x v="4"/>
    <x v="8"/>
    <x v="8"/>
    <x v="22"/>
    <s v="History"/>
    <n v="16254.4"/>
    <m/>
    <n v="15679.9455503353"/>
    <n v="91.694778504940999"/>
    <m/>
    <m/>
    <n v="0"/>
    <n v="0"/>
    <n v="0"/>
    <m/>
    <m/>
    <b v="0"/>
    <n v="3562"/>
    <n v="1"/>
    <n v="1935"/>
    <s v="Stable"/>
    <n v="2246.31"/>
    <n v="1950.19"/>
    <n v="13.18"/>
    <n v="0"/>
    <m/>
    <m/>
    <m/>
    <m/>
    <m/>
    <m/>
    <m/>
    <m/>
    <m/>
    <m/>
    <m/>
    <m/>
  </r>
  <r>
    <x v="3"/>
    <s v="Chain 5_Depot 4_SKU 5_44652"/>
    <x v="27"/>
    <x v="1"/>
    <x v="4"/>
    <x v="8"/>
    <x v="8"/>
    <x v="22"/>
    <s v="History"/>
    <n v="16401.18"/>
    <m/>
    <n v="15840.1846211064"/>
    <n v="-267.77998171430499"/>
    <m/>
    <m/>
    <n v="0"/>
    <n v="0"/>
    <n v="0"/>
    <m/>
    <m/>
    <b v="0"/>
    <n v="4896"/>
    <n v="1"/>
    <n v="2951"/>
    <s v="Stable"/>
    <n v="2265.11"/>
    <n v="1904.04"/>
    <n v="15.94"/>
    <n v="0"/>
    <m/>
    <m/>
    <m/>
    <m/>
    <m/>
    <m/>
    <m/>
    <m/>
    <m/>
    <m/>
    <m/>
    <m/>
  </r>
  <r>
    <x v="4"/>
    <s v="Chain 5_Depot 4_SKU 5_44682"/>
    <x v="27"/>
    <x v="1"/>
    <x v="4"/>
    <x v="8"/>
    <x v="8"/>
    <x v="22"/>
    <s v="History"/>
    <n v="16467.419999999998"/>
    <m/>
    <n v="15995.2546895535"/>
    <n v="-110.910517962572"/>
    <m/>
    <m/>
    <n v="0"/>
    <n v="0"/>
    <n v="0"/>
    <m/>
    <m/>
    <b v="0"/>
    <n v="4795"/>
    <n v="0"/>
    <n v="1241"/>
    <s v="Stable"/>
    <n v="2264.9"/>
    <n v="1954.75"/>
    <n v="13.69"/>
    <n v="0"/>
    <m/>
    <m/>
    <m/>
    <m/>
    <m/>
    <m/>
    <m/>
    <m/>
    <m/>
    <m/>
    <m/>
    <m/>
  </r>
  <r>
    <x v="5"/>
    <s v="Chain 5_Depot 4_SKU 5_44713"/>
    <x v="27"/>
    <x v="1"/>
    <x v="4"/>
    <x v="8"/>
    <x v="8"/>
    <x v="22"/>
    <s v="History"/>
    <n v="16885.54"/>
    <m/>
    <n v="16155.493760346801"/>
    <n v="-295.25168718077998"/>
    <m/>
    <m/>
    <n v="0"/>
    <n v="0"/>
    <n v="0"/>
    <m/>
    <m/>
    <b v="0"/>
    <n v="2988"/>
    <n v="0"/>
    <n v="2888"/>
    <s v="Stable"/>
    <n v="2304.4"/>
    <n v="1938.57"/>
    <n v="15.88"/>
    <n v="0"/>
    <m/>
    <m/>
    <m/>
    <m/>
    <m/>
    <m/>
    <m/>
    <m/>
    <m/>
    <m/>
    <m/>
    <m/>
  </r>
  <r>
    <x v="6"/>
    <s v="Chain 5_Depot 4_SKU 5_44743"/>
    <x v="27"/>
    <x v="1"/>
    <x v="4"/>
    <x v="8"/>
    <x v="8"/>
    <x v="22"/>
    <s v="History"/>
    <n v="16465.849999999999"/>
    <m/>
    <n v="16310.5638287193"/>
    <n v="-278.71121577627798"/>
    <m/>
    <m/>
    <n v="0"/>
    <n v="0"/>
    <n v="0"/>
    <m/>
    <m/>
    <b v="0"/>
    <n v="2020"/>
    <n v="0"/>
    <n v="1001"/>
    <s v="Stable"/>
    <n v="2344.79"/>
    <n v="1960.93"/>
    <n v="16.37"/>
    <n v="0"/>
    <m/>
    <m/>
    <m/>
    <m/>
    <m/>
    <m/>
    <m/>
    <m/>
    <m/>
    <m/>
    <m/>
    <m/>
  </r>
  <r>
    <x v="7"/>
    <s v="Chain 5_Depot 4_SKU 5_44774"/>
    <x v="27"/>
    <x v="1"/>
    <x v="4"/>
    <x v="8"/>
    <x v="8"/>
    <x v="22"/>
    <s v="History"/>
    <n v="16672.400000000001"/>
    <m/>
    <n v="16470.8028996873"/>
    <n v="2292.2192804080901"/>
    <m/>
    <m/>
    <n v="0"/>
    <n v="0"/>
    <n v="0"/>
    <m/>
    <m/>
    <b v="0"/>
    <n v="4350"/>
    <n v="0"/>
    <n v="1224"/>
    <s v="Stable"/>
    <n v="2228.7399999999998"/>
    <n v="1857.41"/>
    <n v="16.66"/>
    <n v="0"/>
    <m/>
    <m/>
    <m/>
    <m/>
    <m/>
    <m/>
    <m/>
    <m/>
    <m/>
    <m/>
    <m/>
    <m/>
  </r>
  <r>
    <x v="35"/>
    <s v="Chain 5_Depot 4_SKU 5_44805"/>
    <x v="27"/>
    <x v="1"/>
    <x v="4"/>
    <x v="8"/>
    <x v="8"/>
    <x v="22"/>
    <s v="History"/>
    <n v="16708.2"/>
    <m/>
    <n v="16631.056619895298"/>
    <n v="-122.768697828981"/>
    <m/>
    <m/>
    <n v="0"/>
    <n v="0"/>
    <n v="0"/>
    <m/>
    <m/>
    <b v="0"/>
    <n v="2868"/>
    <n v="0"/>
    <n v="1800"/>
    <s v="Stable"/>
    <n v="2346.79"/>
    <n v="1999.99"/>
    <n v="14.78"/>
    <n v="0"/>
    <m/>
    <m/>
    <m/>
    <m/>
    <m/>
    <m/>
    <m/>
    <m/>
    <m/>
    <m/>
    <m/>
    <m/>
  </r>
  <r>
    <x v="33"/>
    <s v="Chain 5_Depot 4_SKU 5_44835"/>
    <x v="27"/>
    <x v="1"/>
    <x v="4"/>
    <x v="8"/>
    <x v="8"/>
    <x v="22"/>
    <s v="History"/>
    <n v="16819.48"/>
    <m/>
    <n v="16786.196994436999"/>
    <n v="397.574229256423"/>
    <m/>
    <m/>
    <n v="0"/>
    <n v="0"/>
    <n v="0"/>
    <m/>
    <m/>
    <b v="1"/>
    <n v="2083"/>
    <n v="0"/>
    <n v="2768"/>
    <s v="Stable"/>
    <n v="2297.61"/>
    <n v="1961.08"/>
    <n v="14.65"/>
    <n v="0"/>
    <m/>
    <m/>
    <m/>
    <m/>
    <m/>
    <m/>
    <m/>
    <m/>
    <m/>
    <m/>
    <m/>
    <m/>
  </r>
  <r>
    <x v="8"/>
    <s v="Chain 5_Depot 4_SKU 5_44866"/>
    <x v="27"/>
    <x v="1"/>
    <x v="4"/>
    <x v="8"/>
    <x v="8"/>
    <x v="22"/>
    <s v="History"/>
    <n v="16929.29"/>
    <m/>
    <n v="16946.6347881576"/>
    <n v="-42.591838141749903"/>
    <m/>
    <m/>
    <n v="0"/>
    <n v="0"/>
    <n v="0"/>
    <m/>
    <m/>
    <b v="0"/>
    <n v="3682"/>
    <n v="0"/>
    <n v="2996"/>
    <s v="Stable"/>
    <n v="2233.96"/>
    <n v="1883.5"/>
    <n v="15.69"/>
    <n v="0"/>
    <m/>
    <m/>
    <m/>
    <m/>
    <m/>
    <m/>
    <m/>
    <m/>
    <m/>
    <m/>
    <m/>
    <m/>
  </r>
  <r>
    <x v="9"/>
    <s v="Chain 5_Depot 4_SKU 5_44896"/>
    <x v="27"/>
    <x v="1"/>
    <x v="4"/>
    <x v="8"/>
    <x v="8"/>
    <x v="22"/>
    <s v="History"/>
    <n v="16817.73"/>
    <m/>
    <n v="17102.636316358199"/>
    <n v="302.229053337685"/>
    <m/>
    <m/>
    <n v="0"/>
    <n v="0"/>
    <n v="0"/>
    <m/>
    <m/>
    <b v="0"/>
    <n v="3976"/>
    <n v="0"/>
    <n v="2949"/>
    <s v="Stable"/>
    <n v="2313.9299999999998"/>
    <n v="1963.27"/>
    <n v="15.15"/>
    <n v="0"/>
    <m/>
    <m/>
    <m/>
    <m/>
    <m/>
    <m/>
    <m/>
    <m/>
    <m/>
    <m/>
    <m/>
    <m/>
  </r>
  <r>
    <x v="10"/>
    <s v="Chain 5_Depot 4_SKU 5_44927"/>
    <x v="27"/>
    <x v="1"/>
    <x v="4"/>
    <x v="8"/>
    <x v="8"/>
    <x v="22"/>
    <s v="History"/>
    <n v="16752.68"/>
    <m/>
    <n v="17264.2917761059"/>
    <n v="-179.79575564885101"/>
    <m/>
    <m/>
    <n v="0"/>
    <n v="0"/>
    <n v="0"/>
    <m/>
    <m/>
    <b v="0"/>
    <n v="3410"/>
    <n v="0"/>
    <n v="2952"/>
    <s v="Stable"/>
    <n v="2323.2800000000002"/>
    <n v="1915.2"/>
    <n v="17.559999999999999"/>
    <n v="0"/>
    <m/>
    <m/>
    <m/>
    <m/>
    <m/>
    <m/>
    <m/>
    <m/>
    <m/>
    <m/>
    <m/>
    <m/>
  </r>
  <r>
    <x v="11"/>
    <s v="Chain 5_Depot 4_SKU 5_44958"/>
    <x v="27"/>
    <x v="1"/>
    <x v="4"/>
    <x v="8"/>
    <x v="8"/>
    <x v="22"/>
    <s v="History"/>
    <n v="17263.52"/>
    <m/>
    <n v="17483.6547259117"/>
    <n v="-11.910686755797499"/>
    <m/>
    <m/>
    <n v="0"/>
    <n v="0"/>
    <n v="0"/>
    <m/>
    <m/>
    <b v="0"/>
    <n v="3530"/>
    <n v="0"/>
    <n v="1588"/>
    <s v="Stable"/>
    <n v="2215.9899999999998"/>
    <n v="1820.73"/>
    <n v="17.84"/>
    <n v="0"/>
    <m/>
    <m/>
    <m/>
    <m/>
    <m/>
    <m/>
    <m/>
    <m/>
    <m/>
    <m/>
    <m/>
    <m/>
  </r>
  <r>
    <x v="12"/>
    <s v="Chain 5_Depot 4_SKU 5_44986"/>
    <x v="27"/>
    <x v="1"/>
    <x v="4"/>
    <x v="8"/>
    <x v="8"/>
    <x v="22"/>
    <s v="History"/>
    <n v="17219.810000000001"/>
    <m/>
    <n v="17682.2961496477"/>
    <n v="448.48390196717298"/>
    <m/>
    <m/>
    <n v="0"/>
    <n v="0"/>
    <n v="0"/>
    <m/>
    <m/>
    <b v="0"/>
    <n v="2569"/>
    <n v="0"/>
    <n v="1115"/>
    <s v="Stable"/>
    <n v="2325.61"/>
    <n v="1975.81"/>
    <n v="15.04"/>
    <n v="0"/>
    <m/>
    <m/>
    <m/>
    <m/>
    <m/>
    <m/>
    <m/>
    <m/>
    <m/>
    <m/>
    <m/>
    <m/>
  </r>
  <r>
    <x v="13"/>
    <s v="Chain 5_Depot 4_SKU 5_45017"/>
    <x v="27"/>
    <x v="1"/>
    <x v="4"/>
    <x v="8"/>
    <x v="8"/>
    <x v="22"/>
    <s v="History"/>
    <n v="17546.330000000002"/>
    <m/>
    <n v="17903.0048126488"/>
    <n v="-640.076494744809"/>
    <m/>
    <m/>
    <n v="0"/>
    <n v="0"/>
    <n v="0"/>
    <m/>
    <m/>
    <b v="0"/>
    <n v="2933"/>
    <n v="0"/>
    <n v="2689"/>
    <s v="Stable"/>
    <n v="2292.75"/>
    <n v="1916.41"/>
    <n v="16.41"/>
    <n v="0"/>
    <m/>
    <m/>
    <m/>
    <m/>
    <m/>
    <m/>
    <m/>
    <m/>
    <m/>
    <m/>
    <m/>
    <m/>
  </r>
  <r>
    <x v="14"/>
    <s v="Chain 5_Depot 4_SKU 5_45047"/>
    <x v="27"/>
    <x v="1"/>
    <x v="4"/>
    <x v="8"/>
    <x v="8"/>
    <x v="22"/>
    <s v="History"/>
    <n v="17944.97"/>
    <m/>
    <n v="18117.250363861302"/>
    <n v="268.31955268231098"/>
    <m/>
    <m/>
    <n v="0"/>
    <n v="0"/>
    <n v="0"/>
    <m/>
    <m/>
    <b v="0"/>
    <n v="3980"/>
    <n v="0"/>
    <n v="1917"/>
    <s v="Stable"/>
    <n v="2357.4299999999998"/>
    <n v="1991.12"/>
    <n v="15.54"/>
    <n v="0"/>
    <m/>
    <m/>
    <m/>
    <m/>
    <m/>
    <m/>
    <m/>
    <m/>
    <m/>
    <m/>
    <m/>
    <m/>
  </r>
  <r>
    <x v="15"/>
    <s v="Chain 5_Depot 4_SKU 5_45078"/>
    <x v="27"/>
    <x v="1"/>
    <x v="4"/>
    <x v="8"/>
    <x v="8"/>
    <x v="22"/>
    <s v="History"/>
    <n v="18184.09"/>
    <m/>
    <n v="18339.2698574973"/>
    <n v="-676.67790499120804"/>
    <m/>
    <m/>
    <n v="0"/>
    <n v="0"/>
    <n v="0"/>
    <m/>
    <m/>
    <b v="0"/>
    <n v="3855"/>
    <n v="2"/>
    <n v="2126"/>
    <s v="Stable"/>
    <n v="2217.8000000000002"/>
    <n v="1840.66"/>
    <n v="17"/>
    <n v="0"/>
    <m/>
    <m/>
    <m/>
    <m/>
    <m/>
    <m/>
    <m/>
    <m/>
    <m/>
    <m/>
    <m/>
    <m/>
  </r>
  <r>
    <x v="16"/>
    <s v="Chain 5_Depot 4_SKU 5_45108"/>
    <x v="27"/>
    <x v="1"/>
    <x v="4"/>
    <x v="8"/>
    <x v="8"/>
    <x v="22"/>
    <s v="History"/>
    <n v="18537.919999999998"/>
    <m/>
    <n v="18554.575304228401"/>
    <n v="99.110236906249497"/>
    <m/>
    <m/>
    <n v="0"/>
    <n v="0"/>
    <n v="0"/>
    <m/>
    <m/>
    <b v="0"/>
    <n v="2792"/>
    <n v="0"/>
    <n v="1193"/>
    <s v="Stable"/>
    <n v="2221.33"/>
    <n v="1896.33"/>
    <n v="14.63"/>
    <n v="0"/>
    <m/>
    <m/>
    <m/>
    <m/>
    <m/>
    <m/>
    <m/>
    <m/>
    <m/>
    <m/>
    <m/>
    <m/>
  </r>
  <r>
    <x v="26"/>
    <s v="Chain 5_Depot 4_SKU 5_45139"/>
    <x v="27"/>
    <x v="1"/>
    <x v="4"/>
    <x v="8"/>
    <x v="8"/>
    <x v="22"/>
    <s v="History"/>
    <n v="19076.919999999998"/>
    <m/>
    <n v="18777.300022212199"/>
    <n v="1883.3837695296399"/>
    <m/>
    <m/>
    <n v="0"/>
    <n v="0"/>
    <n v="0"/>
    <m/>
    <m/>
    <b v="0"/>
    <n v="2791"/>
    <n v="0"/>
    <n v="2189"/>
    <s v="Stable"/>
    <n v="2137.67"/>
    <n v="1756.56"/>
    <n v="17.829999999999998"/>
    <n v="0"/>
    <m/>
    <m/>
    <m/>
    <m/>
    <m/>
    <m/>
    <m/>
    <m/>
    <m/>
    <m/>
    <m/>
    <m/>
  </r>
  <r>
    <x v="27"/>
    <s v="Chain 5_Depot 4_SKU 5_45170"/>
    <x v="27"/>
    <x v="1"/>
    <x v="4"/>
    <x v="8"/>
    <x v="8"/>
    <x v="22"/>
    <s v="History"/>
    <n v="19209.95"/>
    <m/>
    <n v="19000.7611210943"/>
    <n v="293.39484730441598"/>
    <m/>
    <m/>
    <n v="0"/>
    <n v="0"/>
    <n v="0"/>
    <m/>
    <m/>
    <b v="0"/>
    <n v="3809"/>
    <n v="0"/>
    <n v="1870"/>
    <s v="Stable"/>
    <n v="2267.56"/>
    <n v="1866.81"/>
    <n v="17.670000000000002"/>
    <n v="0"/>
    <m/>
    <m/>
    <m/>
    <m/>
    <m/>
    <m/>
    <m/>
    <m/>
    <m/>
    <m/>
    <m/>
    <m/>
  </r>
  <r>
    <x v="34"/>
    <s v="Chain 5_Depot 4_SKU 5_45200"/>
    <x v="27"/>
    <x v="1"/>
    <x v="4"/>
    <x v="8"/>
    <x v="8"/>
    <x v="22"/>
    <s v="History"/>
    <n v="19611.240000000002"/>
    <m/>
    <n v="19217.209337208598"/>
    <n v="-8.3495628990723603"/>
    <m/>
    <m/>
    <n v="0"/>
    <n v="0"/>
    <n v="0"/>
    <m/>
    <m/>
    <b v="0"/>
    <n v="3294"/>
    <n v="0"/>
    <n v="1089"/>
    <s v="Stable"/>
    <n v="2257.7600000000002"/>
    <n v="1922.64"/>
    <n v="14.84"/>
    <n v="0"/>
    <m/>
    <m/>
    <m/>
    <m/>
    <m/>
    <m/>
    <m/>
    <m/>
    <m/>
    <m/>
    <m/>
    <m/>
  </r>
  <r>
    <x v="28"/>
    <s v="Chain 5_Depot 4_SKU 5_45231"/>
    <x v="27"/>
    <x v="1"/>
    <x v="4"/>
    <x v="8"/>
    <x v="8"/>
    <x v="22"/>
    <s v="History"/>
    <n v="19745.97"/>
    <m/>
    <n v="19441.060609371401"/>
    <n v="357.75997463394702"/>
    <m/>
    <m/>
    <n v="0"/>
    <n v="0"/>
    <n v="0"/>
    <m/>
    <m/>
    <b v="0"/>
    <n v="4539"/>
    <n v="2"/>
    <n v="2709"/>
    <s v="Stable"/>
    <n v="2210.85"/>
    <n v="1326.51"/>
    <n v="40"/>
    <n v="1"/>
    <m/>
    <m/>
    <m/>
    <m/>
    <m/>
    <m/>
    <m/>
    <m/>
    <m/>
    <m/>
    <m/>
    <m/>
  </r>
  <r>
    <x v="29"/>
    <s v="Chain 5_Depot 4_SKU 5_45261"/>
    <x v="27"/>
    <x v="1"/>
    <x v="4"/>
    <x v="8"/>
    <x v="8"/>
    <x v="22"/>
    <s v="History"/>
    <n v="20175.07"/>
    <m/>
    <n v="19657.690879467598"/>
    <n v="-92.994395202884107"/>
    <m/>
    <m/>
    <n v="0"/>
    <n v="0"/>
    <n v="0"/>
    <m/>
    <m/>
    <b v="0"/>
    <n v="4255"/>
    <n v="0"/>
    <n v="1121"/>
    <s v="Stable"/>
    <n v="2234.91"/>
    <n v="1879.35"/>
    <n v="15.91"/>
    <n v="0"/>
    <m/>
    <m/>
    <m/>
    <m/>
    <m/>
    <m/>
    <m/>
    <m/>
    <m/>
    <m/>
    <m/>
    <m/>
  </r>
  <r>
    <x v="17"/>
    <s v="Chain 5_Depot 4_SKU 5_45292"/>
    <x v="27"/>
    <x v="1"/>
    <x v="4"/>
    <x v="8"/>
    <x v="8"/>
    <x v="22"/>
    <s v="History"/>
    <n v="19929.59"/>
    <m/>
    <n v="19881.542158726501"/>
    <n v="215.07144275842799"/>
    <m/>
    <m/>
    <n v="0"/>
    <n v="0"/>
    <n v="0"/>
    <m/>
    <m/>
    <b v="0"/>
    <n v="3607"/>
    <n v="0"/>
    <n v="1142"/>
    <s v="Stable"/>
    <n v="2173.44"/>
    <n v="1817.1"/>
    <n v="16.39"/>
    <n v="0"/>
    <m/>
    <m/>
    <m/>
    <m/>
    <m/>
    <m/>
    <m/>
    <m/>
    <m/>
    <m/>
    <m/>
    <m/>
  </r>
  <r>
    <x v="18"/>
    <s v="Chain 5_Depot 4_SKU 5_45323"/>
    <x v="27"/>
    <x v="1"/>
    <x v="4"/>
    <x v="8"/>
    <x v="8"/>
    <x v="22"/>
    <s v="History"/>
    <n v="20005.240000000002"/>
    <m/>
    <n v="20105.393440809301"/>
    <n v="-375.09393074913902"/>
    <m/>
    <m/>
    <n v="0"/>
    <n v="0"/>
    <n v="0"/>
    <m/>
    <m/>
    <b v="0"/>
    <n v="3083"/>
    <n v="1"/>
    <n v="1993"/>
    <s v="Stable"/>
    <n v="2298.92"/>
    <n v="1907.56"/>
    <n v="17.02"/>
    <n v="0"/>
    <m/>
    <m/>
    <m/>
    <m/>
    <m/>
    <m/>
    <m/>
    <m/>
    <m/>
    <m/>
    <m/>
    <m/>
  </r>
  <r>
    <x v="19"/>
    <s v="Chain 5_Depot 4_SKU 5_45352"/>
    <x v="27"/>
    <x v="1"/>
    <x v="4"/>
    <x v="8"/>
    <x v="8"/>
    <x v="22"/>
    <s v="History"/>
    <n v="20100.240000000002"/>
    <m/>
    <n v="20314.802887347101"/>
    <n v="-624.059238130361"/>
    <m/>
    <m/>
    <n v="0"/>
    <n v="0"/>
    <n v="0"/>
    <m/>
    <m/>
    <b v="0"/>
    <n v="4477"/>
    <n v="1"/>
    <n v="1105"/>
    <s v="Stable"/>
    <n v="2214.52"/>
    <n v="1849.39"/>
    <n v="16.489999999999998"/>
    <n v="0"/>
    <m/>
    <m/>
    <m/>
    <m/>
    <m/>
    <m/>
    <m/>
    <m/>
    <m/>
    <m/>
    <m/>
    <m/>
  </r>
  <r>
    <x v="20"/>
    <s v="Chain 5_Depot 4_SKU 5_45383"/>
    <x v="27"/>
    <x v="1"/>
    <x v="4"/>
    <x v="8"/>
    <x v="8"/>
    <x v="22"/>
    <s v="History"/>
    <n v="19889.18"/>
    <m/>
    <n v="20538.6543646807"/>
    <n v="476.52137615861102"/>
    <m/>
    <m/>
    <n v="0"/>
    <n v="0"/>
    <n v="0"/>
    <m/>
    <m/>
    <b v="0"/>
    <n v="2984"/>
    <n v="1"/>
    <n v="1886"/>
    <s v="Stable"/>
    <n v="2393.6999999999998"/>
    <n v="1983.54"/>
    <n v="17.14"/>
    <n v="0"/>
    <m/>
    <m/>
    <m/>
    <m/>
    <m/>
    <m/>
    <m/>
    <m/>
    <m/>
    <m/>
    <m/>
    <m/>
  </r>
  <r>
    <x v="21"/>
    <s v="Chain 5_Depot 4_SKU 5_45413"/>
    <x v="27"/>
    <x v="1"/>
    <x v="4"/>
    <x v="8"/>
    <x v="8"/>
    <x v="22"/>
    <s v="History"/>
    <n v="19762.400000000001"/>
    <m/>
    <n v="20755.2848266164"/>
    <n v="-870.25995359622198"/>
    <m/>
    <m/>
    <n v="0"/>
    <n v="0"/>
    <n v="0"/>
    <m/>
    <m/>
    <b v="0"/>
    <n v="3680"/>
    <n v="0"/>
    <n v="1427"/>
    <s v="Stable"/>
    <n v="2230.2199999999998"/>
    <n v="1901.37"/>
    <n v="14.75"/>
    <n v="0"/>
    <m/>
    <m/>
    <m/>
    <m/>
    <m/>
    <m/>
    <m/>
    <m/>
    <m/>
    <m/>
    <m/>
    <m/>
  </r>
  <r>
    <x v="22"/>
    <s v="Chain 5_Depot 4_SKU 5_45444"/>
    <x v="27"/>
    <x v="1"/>
    <x v="4"/>
    <x v="8"/>
    <x v="8"/>
    <x v="22"/>
    <s v="History"/>
    <n v="19846.14"/>
    <m/>
    <n v="20979.136303949999"/>
    <n v="466.70691961427298"/>
    <m/>
    <m/>
    <n v="0"/>
    <n v="0"/>
    <n v="0"/>
    <m/>
    <m/>
    <b v="0"/>
    <n v="2519"/>
    <n v="1"/>
    <n v="2328"/>
    <s v="Stable"/>
    <n v="2201.02"/>
    <n v="1882.24"/>
    <n v="14.48"/>
    <n v="0"/>
    <m/>
    <m/>
    <m/>
    <m/>
    <m/>
    <m/>
    <m/>
    <m/>
    <m/>
    <m/>
    <m/>
    <m/>
  </r>
  <r>
    <x v="30"/>
    <s v="Chain 5_Depot 4_SKU 5_45474"/>
    <x v="27"/>
    <x v="1"/>
    <x v="4"/>
    <x v="8"/>
    <x v="8"/>
    <x v="22"/>
    <s v="History"/>
    <n v="19952.27"/>
    <n v="20065.939999999999"/>
    <n v="21195.766765885699"/>
    <n v="-1034.21071950688"/>
    <n v="20265.939999999999"/>
    <n v="19865.939999999999"/>
    <n v="0"/>
    <n v="0"/>
    <n v="0"/>
    <m/>
    <m/>
    <b v="1"/>
    <n v="2590"/>
    <n v="0"/>
    <n v="2895"/>
    <s v="Stable"/>
    <n v="2218.38"/>
    <n v="1841.85"/>
    <n v="16.97"/>
    <n v="0"/>
    <m/>
    <m/>
    <m/>
    <m/>
    <m/>
    <m/>
    <m/>
    <m/>
    <m/>
    <m/>
    <m/>
    <m/>
  </r>
  <r>
    <x v="23"/>
    <s v="Chain 5_Depot 4_SKU 5_45505"/>
    <x v="27"/>
    <x v="1"/>
    <x v="4"/>
    <x v="8"/>
    <x v="8"/>
    <x v="22"/>
    <s v="History"/>
    <n v="28188.98"/>
    <n v="19975.79"/>
    <n v="21419.618243219302"/>
    <n v="3107.9885628850502"/>
    <n v="20175.79"/>
    <n v="19775.79"/>
    <n v="0"/>
    <n v="0"/>
    <n v="1"/>
    <m/>
    <m/>
    <b v="0"/>
    <n v="3050"/>
    <n v="0"/>
    <n v="2994"/>
    <s v="Stable"/>
    <n v="2168.4"/>
    <n v="1821.19"/>
    <n v="16.010000000000002"/>
    <n v="0"/>
    <m/>
    <m/>
    <m/>
    <m/>
    <m/>
    <m/>
    <m/>
    <m/>
    <m/>
    <m/>
    <m/>
    <m/>
  </r>
  <r>
    <x v="24"/>
    <s v="Chain 5_Depot 4_SKU 5_45536"/>
    <x v="27"/>
    <x v="1"/>
    <x v="4"/>
    <x v="8"/>
    <x v="8"/>
    <x v="22"/>
    <s v="History"/>
    <n v="20504.68"/>
    <n v="20493.38"/>
    <n v="21643.469720552799"/>
    <n v="-952.55782602802196"/>
    <n v="20693.38"/>
    <n v="20293.38"/>
    <n v="0"/>
    <n v="0"/>
    <n v="0"/>
    <m/>
    <m/>
    <b v="0"/>
    <n v="3709"/>
    <n v="0"/>
    <n v="1316"/>
    <s v="Stable"/>
    <n v="2263.11"/>
    <n v="1864.52"/>
    <n v="17.61"/>
    <n v="0"/>
    <m/>
    <m/>
    <m/>
    <m/>
    <m/>
    <m/>
    <m/>
    <m/>
    <m/>
    <m/>
    <m/>
    <m/>
  </r>
  <r>
    <x v="31"/>
    <s v="Chain 5_Depot 4_SKU 5_45566"/>
    <x v="27"/>
    <x v="1"/>
    <x v="4"/>
    <x v="8"/>
    <x v="8"/>
    <x v="22"/>
    <s v="Forecast"/>
    <m/>
    <n v="20478.439999999999"/>
    <n v="21860.100182488499"/>
    <n v="1209.15972698063"/>
    <n v="20678.439999999999"/>
    <n v="20278.439999999999"/>
    <m/>
    <m/>
    <m/>
    <m/>
    <m/>
    <m/>
    <m/>
    <m/>
    <n v="2986"/>
    <n v="0"/>
    <n v="2218.0100000000002"/>
    <n v="1880.54"/>
    <n v="15.21"/>
    <n v="0"/>
    <m/>
    <m/>
    <m/>
    <m/>
    <m/>
    <m/>
    <m/>
    <m/>
    <m/>
    <m/>
    <m/>
    <m/>
  </r>
  <r>
    <x v="25"/>
    <s v="Chain 5_Depot 4_SKU 5_45597"/>
    <x v="27"/>
    <x v="1"/>
    <x v="4"/>
    <x v="8"/>
    <x v="8"/>
    <x v="22"/>
    <s v="Forecast"/>
    <m/>
    <n v="21102.37"/>
    <n v="22083.951659822102"/>
    <n v="-841.60147429078904"/>
    <n v="21302.37"/>
    <n v="20902.37"/>
    <m/>
    <m/>
    <m/>
    <m/>
    <m/>
    <m/>
    <m/>
    <m/>
    <n v="1634"/>
    <n v="0"/>
    <n v="2295.56"/>
    <n v="1945.7"/>
    <n v="15.24"/>
    <n v="0"/>
    <m/>
    <m/>
    <m/>
    <m/>
    <m/>
    <m/>
    <m/>
    <m/>
    <m/>
    <m/>
    <m/>
    <m/>
  </r>
  <r>
    <x v="32"/>
    <s v="Chain 5_Depot 4_SKU 5_45627"/>
    <x v="27"/>
    <x v="1"/>
    <x v="4"/>
    <x v="8"/>
    <x v="8"/>
    <x v="22"/>
    <s v="Forecast"/>
    <m/>
    <n v="21489.439999999999"/>
    <n v="22300.582121757801"/>
    <n v="1092.6194156174399"/>
    <n v="21689.439999999999"/>
    <n v="21289.439999999999"/>
    <m/>
    <m/>
    <m/>
    <m/>
    <m/>
    <m/>
    <m/>
    <m/>
    <n v="2925"/>
    <n v="0"/>
    <n v="2225.2600000000002"/>
    <n v="1856.25"/>
    <n v="16.579999999999998"/>
    <n v="0"/>
    <m/>
    <m/>
    <m/>
    <m/>
    <m/>
    <m/>
    <m/>
    <m/>
    <m/>
    <m/>
    <m/>
    <m/>
  </r>
  <r>
    <x v="0"/>
    <s v="Chain 5_Depot 4_SKU 7_44562"/>
    <x v="28"/>
    <x v="1"/>
    <x v="4"/>
    <x v="8"/>
    <x v="6"/>
    <x v="20"/>
    <s v="History"/>
    <n v="9844.0400000000009"/>
    <m/>
    <n v="9935.2724450099995"/>
    <n v="48.138585148788898"/>
    <m/>
    <m/>
    <n v="0"/>
    <n v="0"/>
    <n v="0"/>
    <m/>
    <m/>
    <b v="0"/>
    <n v="3724"/>
    <n v="1"/>
    <n v="2152"/>
    <s v="Stable"/>
    <n v="809.97"/>
    <n v="654.01"/>
    <n v="19.25"/>
    <n v="0"/>
    <m/>
    <m/>
    <m/>
    <m/>
    <m/>
    <m/>
    <m/>
    <m/>
    <m/>
    <m/>
    <m/>
    <m/>
  </r>
  <r>
    <x v="1"/>
    <s v="Chain 5_Depot 4_SKU 7_44593"/>
    <x v="28"/>
    <x v="1"/>
    <x v="4"/>
    <x v="8"/>
    <x v="6"/>
    <x v="20"/>
    <s v="History"/>
    <n v="10193.98"/>
    <m/>
    <n v="10003.8843416131"/>
    <n v="-548.50060916659595"/>
    <m/>
    <m/>
    <n v="0"/>
    <n v="0"/>
    <n v="0"/>
    <m/>
    <m/>
    <b v="0"/>
    <n v="4004"/>
    <n v="1"/>
    <n v="2622"/>
    <s v="Stable"/>
    <n v="879.07"/>
    <n v="718.14"/>
    <n v="18.309999999999999"/>
    <n v="0"/>
    <m/>
    <m/>
    <m/>
    <m/>
    <m/>
    <m/>
    <m/>
    <m/>
    <m/>
    <m/>
    <m/>
    <m/>
  </r>
  <r>
    <x v="2"/>
    <s v="Chain 5_Depot 4_SKU 7_44621"/>
    <x v="28"/>
    <x v="1"/>
    <x v="4"/>
    <x v="8"/>
    <x v="6"/>
    <x v="20"/>
    <s v="History"/>
    <n v="10758.66"/>
    <m/>
    <n v="10065.856377551199"/>
    <n v="140.923733031539"/>
    <m/>
    <m/>
    <n v="0"/>
    <n v="0"/>
    <n v="0"/>
    <m/>
    <m/>
    <b v="0"/>
    <n v="4302"/>
    <n v="0"/>
    <n v="1841"/>
    <s v="Stable"/>
    <n v="820.12"/>
    <n v="664.06"/>
    <n v="19.03"/>
    <n v="0"/>
    <m/>
    <m/>
    <m/>
    <m/>
    <m/>
    <m/>
    <m/>
    <m/>
    <m/>
    <m/>
    <m/>
    <m/>
  </r>
  <r>
    <x v="3"/>
    <s v="Chain 5_Depot 4_SKU 7_44652"/>
    <x v="28"/>
    <x v="1"/>
    <x v="4"/>
    <x v="8"/>
    <x v="6"/>
    <x v="20"/>
    <s v="History"/>
    <n v="10147.81"/>
    <m/>
    <n v="10134.468274136099"/>
    <n v="-393.169151529739"/>
    <m/>
    <m/>
    <n v="0"/>
    <n v="0"/>
    <n v="0"/>
    <m/>
    <m/>
    <b v="0"/>
    <n v="4283"/>
    <n v="1"/>
    <n v="2449"/>
    <s v="Stable"/>
    <n v="851.67"/>
    <n v="690.76"/>
    <n v="18.89"/>
    <n v="0"/>
    <m/>
    <m/>
    <m/>
    <m/>
    <m/>
    <m/>
    <m/>
    <m/>
    <m/>
    <m/>
    <m/>
    <m/>
  </r>
  <r>
    <x v="4"/>
    <s v="Chain 5_Depot 4_SKU 7_44682"/>
    <x v="28"/>
    <x v="1"/>
    <x v="4"/>
    <x v="8"/>
    <x v="6"/>
    <x v="20"/>
    <s v="History"/>
    <n v="10562.44"/>
    <m/>
    <n v="10200.866883935099"/>
    <n v="1083.2573711073101"/>
    <m/>
    <m/>
    <n v="0"/>
    <n v="0"/>
    <n v="0"/>
    <m/>
    <m/>
    <b v="0"/>
    <n v="3607"/>
    <n v="0"/>
    <n v="1947"/>
    <s v="Stable"/>
    <n v="827.93"/>
    <n v="672.94"/>
    <n v="18.72"/>
    <n v="0"/>
    <m/>
    <m/>
    <m/>
    <m/>
    <m/>
    <m/>
    <m/>
    <m/>
    <m/>
    <m/>
    <m/>
    <m/>
  </r>
  <r>
    <x v="5"/>
    <s v="Chain 5_Depot 4_SKU 7_44713"/>
    <x v="28"/>
    <x v="1"/>
    <x v="4"/>
    <x v="8"/>
    <x v="6"/>
    <x v="20"/>
    <s v="History"/>
    <n v="10322.89"/>
    <m/>
    <n v="10269.4787809547"/>
    <n v="-203.71151364915599"/>
    <m/>
    <m/>
    <n v="0"/>
    <n v="0"/>
    <n v="0"/>
    <m/>
    <m/>
    <b v="0"/>
    <n v="3789"/>
    <n v="0"/>
    <n v="1664"/>
    <s v="Stable"/>
    <n v="844.42"/>
    <n v="681.48"/>
    <n v="19.3"/>
    <n v="0"/>
    <m/>
    <m/>
    <m/>
    <m/>
    <m/>
    <m/>
    <m/>
    <m/>
    <m/>
    <m/>
    <m/>
    <m/>
  </r>
  <r>
    <x v="6"/>
    <s v="Chain 5_Depot 4_SKU 7_44743"/>
    <x v="28"/>
    <x v="1"/>
    <x v="4"/>
    <x v="8"/>
    <x v="6"/>
    <x v="20"/>
    <s v="History"/>
    <n v="10572.36"/>
    <m/>
    <n v="10335.8773912534"/>
    <n v="-351.70058075573502"/>
    <m/>
    <m/>
    <n v="0"/>
    <n v="0"/>
    <n v="0"/>
    <m/>
    <m/>
    <b v="1"/>
    <n v="2270"/>
    <n v="0"/>
    <n v="2717"/>
    <s v="Stable"/>
    <n v="811.34"/>
    <n v="656.23"/>
    <n v="19.12"/>
    <n v="0"/>
    <m/>
    <m/>
    <m/>
    <m/>
    <m/>
    <m/>
    <m/>
    <m/>
    <m/>
    <m/>
    <m/>
    <m/>
  </r>
  <r>
    <x v="7"/>
    <s v="Chain 5_Depot 4_SKU 7_44774"/>
    <x v="28"/>
    <x v="1"/>
    <x v="4"/>
    <x v="8"/>
    <x v="6"/>
    <x v="20"/>
    <s v="History"/>
    <n v="10430.35"/>
    <m/>
    <n v="10404.4892888549"/>
    <n v="-199.29200039762"/>
    <m/>
    <m/>
    <n v="0"/>
    <n v="0"/>
    <n v="0"/>
    <m/>
    <m/>
    <b v="1"/>
    <n v="2122"/>
    <n v="0"/>
    <n v="2148"/>
    <s v="Stable"/>
    <n v="812.97"/>
    <n v="657.79"/>
    <n v="19.09"/>
    <n v="0"/>
    <m/>
    <m/>
    <m/>
    <m/>
    <m/>
    <m/>
    <m/>
    <m/>
    <m/>
    <m/>
    <m/>
    <m/>
  </r>
  <r>
    <x v="35"/>
    <s v="Chain 5_Depot 4_SKU 7_44805"/>
    <x v="28"/>
    <x v="1"/>
    <x v="4"/>
    <x v="8"/>
    <x v="6"/>
    <x v="20"/>
    <s v="History"/>
    <n v="10197.15"/>
    <m/>
    <n v="10473.1011862255"/>
    <n v="-550.49591922932404"/>
    <m/>
    <m/>
    <n v="0"/>
    <n v="0"/>
    <n v="0"/>
    <m/>
    <m/>
    <b v="0"/>
    <n v="4703"/>
    <n v="1"/>
    <n v="1066"/>
    <s v="Stable"/>
    <n v="804.01"/>
    <n v="659.47"/>
    <n v="17.98"/>
    <n v="0"/>
    <m/>
    <m/>
    <m/>
    <m/>
    <m/>
    <m/>
    <m/>
    <m/>
    <m/>
    <m/>
    <m/>
    <m/>
  </r>
  <r>
    <x v="33"/>
    <s v="Chain 5_Depot 4_SKU 7_44835"/>
    <x v="28"/>
    <x v="1"/>
    <x v="4"/>
    <x v="8"/>
    <x v="6"/>
    <x v="20"/>
    <s v="History"/>
    <n v="10554.42"/>
    <m/>
    <n v="10539.499796432699"/>
    <n v="-58.9845753758378"/>
    <m/>
    <m/>
    <n v="0"/>
    <n v="0"/>
    <n v="0"/>
    <m/>
    <m/>
    <b v="0"/>
    <n v="3280"/>
    <n v="0"/>
    <n v="1005"/>
    <s v="Stable"/>
    <n v="887.17"/>
    <n v="699.31"/>
    <n v="21.17"/>
    <n v="0"/>
    <m/>
    <m/>
    <m/>
    <m/>
    <m/>
    <m/>
    <m/>
    <m/>
    <m/>
    <m/>
    <m/>
    <m/>
  </r>
  <r>
    <x v="8"/>
    <s v="Chain 5_Depot 4_SKU 7_44866"/>
    <x v="28"/>
    <x v="1"/>
    <x v="4"/>
    <x v="8"/>
    <x v="6"/>
    <x v="20"/>
    <s v="History"/>
    <n v="10304.43"/>
    <m/>
    <n v="10608.111693433701"/>
    <n v="52.486270905367199"/>
    <m/>
    <m/>
    <n v="0"/>
    <n v="0"/>
    <n v="0"/>
    <m/>
    <m/>
    <b v="0"/>
    <n v="3444"/>
    <n v="0"/>
    <n v="1636"/>
    <s v="Stable"/>
    <n v="853.59"/>
    <n v="694.59"/>
    <n v="18.63"/>
    <n v="0"/>
    <m/>
    <m/>
    <m/>
    <m/>
    <m/>
    <m/>
    <m/>
    <m/>
    <m/>
    <m/>
    <m/>
    <m/>
  </r>
  <r>
    <x v="9"/>
    <s v="Chain 5_Depot 4_SKU 7_44896"/>
    <x v="28"/>
    <x v="1"/>
    <x v="4"/>
    <x v="8"/>
    <x v="6"/>
    <x v="20"/>
    <s v="History"/>
    <n v="10321.65"/>
    <m/>
    <n v="10674.510303707701"/>
    <n v="-419.70570184674801"/>
    <m/>
    <m/>
    <n v="0"/>
    <n v="0"/>
    <n v="0"/>
    <m/>
    <m/>
    <b v="0"/>
    <n v="2258"/>
    <n v="0"/>
    <n v="1313"/>
    <s v="Stable"/>
    <n v="890.93"/>
    <n v="717.3"/>
    <n v="19.489999999999998"/>
    <n v="0"/>
    <m/>
    <m/>
    <m/>
    <m/>
    <m/>
    <m/>
    <m/>
    <m/>
    <m/>
    <m/>
    <m/>
    <m/>
  </r>
  <r>
    <x v="10"/>
    <s v="Chain 5_Depot 4_SKU 7_44927"/>
    <x v="28"/>
    <x v="1"/>
    <x v="4"/>
    <x v="8"/>
    <x v="6"/>
    <x v="20"/>
    <s v="History"/>
    <n v="10011.4"/>
    <m/>
    <n v="10743.1222011471"/>
    <n v="-249.19637902427701"/>
    <m/>
    <m/>
    <n v="0"/>
    <n v="0"/>
    <n v="0"/>
    <m/>
    <m/>
    <b v="0"/>
    <n v="2947"/>
    <n v="0"/>
    <n v="2349"/>
    <s v="Stable"/>
    <n v="896.27"/>
    <n v="721.93"/>
    <n v="19.45"/>
    <n v="0"/>
    <m/>
    <m/>
    <m/>
    <m/>
    <m/>
    <m/>
    <m/>
    <m/>
    <m/>
    <m/>
    <m/>
    <m/>
  </r>
  <r>
    <x v="11"/>
    <s v="Chain 5_Depot 4_SKU 7_44958"/>
    <x v="28"/>
    <x v="1"/>
    <x v="4"/>
    <x v="8"/>
    <x v="6"/>
    <x v="20"/>
    <s v="History"/>
    <n v="10117.48"/>
    <m/>
    <n v="10811.734120651699"/>
    <n v="-278.75495058449701"/>
    <m/>
    <m/>
    <n v="0"/>
    <n v="0"/>
    <n v="0"/>
    <m/>
    <m/>
    <b v="0"/>
    <n v="4094"/>
    <n v="0"/>
    <n v="1564"/>
    <s v="Stable"/>
    <n v="822"/>
    <n v="666.43"/>
    <n v="18.93"/>
    <n v="0"/>
    <m/>
    <m/>
    <m/>
    <m/>
    <m/>
    <m/>
    <m/>
    <m/>
    <m/>
    <m/>
    <m/>
    <m/>
  </r>
  <r>
    <x v="12"/>
    <s v="Chain 5_Depot 4_SKU 7_44986"/>
    <x v="28"/>
    <x v="1"/>
    <x v="4"/>
    <x v="8"/>
    <x v="6"/>
    <x v="20"/>
    <s v="History"/>
    <n v="10528.15"/>
    <m/>
    <n v="10873.7062247905"/>
    <n v="-128.38603592093099"/>
    <m/>
    <m/>
    <n v="0"/>
    <n v="0"/>
    <n v="0"/>
    <m/>
    <m/>
    <b v="0"/>
    <n v="2862"/>
    <n v="0"/>
    <n v="2601"/>
    <s v="Stable"/>
    <n v="889.08"/>
    <n v="725.36"/>
    <n v="18.41"/>
    <n v="0"/>
    <m/>
    <m/>
    <m/>
    <m/>
    <m/>
    <m/>
    <m/>
    <m/>
    <m/>
    <m/>
    <m/>
    <m/>
  </r>
  <r>
    <x v="13"/>
    <s v="Chain 5_Depot 4_SKU 7_45017"/>
    <x v="28"/>
    <x v="1"/>
    <x v="4"/>
    <x v="8"/>
    <x v="6"/>
    <x v="20"/>
    <s v="History"/>
    <n v="10346.91"/>
    <m/>
    <n v="10942.3181975445"/>
    <n v="-110.015751444014"/>
    <m/>
    <m/>
    <n v="0"/>
    <n v="0"/>
    <n v="0"/>
    <m/>
    <m/>
    <b v="0"/>
    <n v="2524"/>
    <n v="1"/>
    <n v="1825"/>
    <s v="Stable"/>
    <n v="844.29"/>
    <n v="687.13"/>
    <n v="18.61"/>
    <n v="0"/>
    <m/>
    <m/>
    <m/>
    <m/>
    <m/>
    <m/>
    <m/>
    <m/>
    <m/>
    <m/>
    <m/>
    <m/>
  </r>
  <r>
    <x v="14"/>
    <s v="Chain 5_Depot 4_SKU 7_45047"/>
    <x v="28"/>
    <x v="1"/>
    <x v="4"/>
    <x v="8"/>
    <x v="6"/>
    <x v="20"/>
    <s v="History"/>
    <n v="8839.48"/>
    <m/>
    <n v="11008.716891345501"/>
    <n v="781.47349781338596"/>
    <m/>
    <m/>
    <n v="0"/>
    <n v="0"/>
    <n v="1"/>
    <m/>
    <m/>
    <b v="0"/>
    <n v="2887"/>
    <n v="0"/>
    <n v="1505"/>
    <s v="Stable"/>
    <n v="837.07"/>
    <n v="674.14"/>
    <n v="19.46"/>
    <n v="0"/>
    <m/>
    <m/>
    <m/>
    <m/>
    <m/>
    <m/>
    <m/>
    <m/>
    <m/>
    <m/>
    <m/>
    <m/>
  </r>
  <r>
    <x v="15"/>
    <s v="Chain 5_Depot 4_SKU 7_45078"/>
    <x v="28"/>
    <x v="1"/>
    <x v="4"/>
    <x v="8"/>
    <x v="6"/>
    <x v="20"/>
    <s v="History"/>
    <n v="10632.85"/>
    <m/>
    <n v="11077.3325760144"/>
    <n v="112.93972526250801"/>
    <m/>
    <m/>
    <n v="0"/>
    <n v="0"/>
    <n v="0"/>
    <m/>
    <m/>
    <b v="0"/>
    <n v="2207"/>
    <n v="0"/>
    <n v="2105"/>
    <s v="Stable"/>
    <n v="907.62"/>
    <n v="747.17"/>
    <n v="17.68"/>
    <n v="0"/>
    <m/>
    <m/>
    <m/>
    <m/>
    <m/>
    <m/>
    <m/>
    <m/>
    <m/>
    <m/>
    <m/>
    <m/>
  </r>
  <r>
    <x v="16"/>
    <s v="Chain 5_Depot 4_SKU 7_45108"/>
    <x v="28"/>
    <x v="1"/>
    <x v="4"/>
    <x v="8"/>
    <x v="6"/>
    <x v="20"/>
    <s v="History"/>
    <n v="11131.73"/>
    <m/>
    <n v="11143.734852818299"/>
    <n v="-666.46313540565802"/>
    <m/>
    <m/>
    <n v="0"/>
    <n v="0"/>
    <n v="0"/>
    <m/>
    <m/>
    <b v="0"/>
    <n v="4794"/>
    <n v="0"/>
    <n v="2622"/>
    <s v="Stable"/>
    <n v="872.69"/>
    <n v="704.24"/>
    <n v="19.3"/>
    <n v="0"/>
    <m/>
    <m/>
    <m/>
    <m/>
    <m/>
    <m/>
    <m/>
    <m/>
    <m/>
    <m/>
    <m/>
    <m/>
  </r>
  <r>
    <x v="26"/>
    <s v="Chain 5_Depot 4_SKU 7_45139"/>
    <x v="28"/>
    <x v="1"/>
    <x v="4"/>
    <x v="8"/>
    <x v="6"/>
    <x v="20"/>
    <s v="History"/>
    <n v="11099.54"/>
    <m/>
    <n v="11212.350539212899"/>
    <n v="121.875793869327"/>
    <m/>
    <m/>
    <n v="0"/>
    <n v="0"/>
    <n v="0"/>
    <m/>
    <m/>
    <b v="0"/>
    <n v="2148"/>
    <n v="1"/>
    <n v="2025"/>
    <s v="Stable"/>
    <n v="827.38"/>
    <n v="669.06"/>
    <n v="19.13"/>
    <n v="0"/>
    <m/>
    <m/>
    <m/>
    <m/>
    <m/>
    <m/>
    <m/>
    <m/>
    <m/>
    <m/>
    <m/>
    <m/>
  </r>
  <r>
    <x v="27"/>
    <s v="Chain 5_Depot 4_SKU 7_45170"/>
    <x v="28"/>
    <x v="1"/>
    <x v="4"/>
    <x v="8"/>
    <x v="6"/>
    <x v="20"/>
    <s v="History"/>
    <n v="11018.13"/>
    <m/>
    <n v="11280.9662258177"/>
    <n v="-861.54726028897699"/>
    <m/>
    <m/>
    <n v="0"/>
    <n v="0"/>
    <n v="0"/>
    <m/>
    <m/>
    <b v="0"/>
    <n v="2437"/>
    <n v="0"/>
    <n v="1203"/>
    <s v="Stable"/>
    <n v="869.44"/>
    <n v="711.93"/>
    <n v="18.12"/>
    <n v="0"/>
    <m/>
    <m/>
    <m/>
    <m/>
    <m/>
    <m/>
    <m/>
    <m/>
    <m/>
    <m/>
    <m/>
    <m/>
  </r>
  <r>
    <x v="34"/>
    <s v="Chain 5_Depot 4_SKU 7_45200"/>
    <x v="28"/>
    <x v="1"/>
    <x v="4"/>
    <x v="8"/>
    <x v="6"/>
    <x v="20"/>
    <s v="History"/>
    <n v="11534.13"/>
    <m/>
    <n v="11347.368503458199"/>
    <n v="242.19733496367499"/>
    <m/>
    <m/>
    <n v="0"/>
    <n v="0"/>
    <n v="0"/>
    <m/>
    <m/>
    <b v="0"/>
    <n v="4202"/>
    <n v="0"/>
    <n v="1661"/>
    <s v="Stable"/>
    <n v="781.71"/>
    <n v="758.26"/>
    <n v="3"/>
    <n v="1"/>
    <m/>
    <m/>
    <m/>
    <m/>
    <m/>
    <m/>
    <m/>
    <m/>
    <m/>
    <m/>
    <m/>
    <m/>
  </r>
  <r>
    <x v="28"/>
    <s v="Chain 5_Depot 4_SKU 7_45231"/>
    <x v="28"/>
    <x v="1"/>
    <x v="4"/>
    <x v="8"/>
    <x v="6"/>
    <x v="20"/>
    <s v="History"/>
    <n v="11519.18"/>
    <m/>
    <n v="11415.984190343001"/>
    <n v="-246.63466190069099"/>
    <m/>
    <m/>
    <n v="0"/>
    <n v="0"/>
    <n v="0"/>
    <m/>
    <m/>
    <b v="0"/>
    <n v="3721"/>
    <n v="0"/>
    <n v="1804"/>
    <s v="Stable"/>
    <n v="857.37"/>
    <n v="694.36"/>
    <n v="19.010000000000002"/>
    <n v="0"/>
    <m/>
    <m/>
    <m/>
    <m/>
    <m/>
    <m/>
    <m/>
    <m/>
    <m/>
    <m/>
    <m/>
    <m/>
  </r>
  <r>
    <x v="29"/>
    <s v="Chain 5_Depot 4_SKU 7_45261"/>
    <x v="28"/>
    <x v="1"/>
    <x v="4"/>
    <x v="8"/>
    <x v="6"/>
    <x v="20"/>
    <s v="History"/>
    <n v="11302.18"/>
    <m/>
    <n v="11482.3864682855"/>
    <n v="-119.324618872188"/>
    <m/>
    <m/>
    <n v="0"/>
    <n v="0"/>
    <n v="0"/>
    <m/>
    <m/>
    <b v="0"/>
    <n v="2357"/>
    <n v="0"/>
    <n v="1403"/>
    <s v="Stable"/>
    <n v="770.02"/>
    <n v="605.73"/>
    <n v="21.34"/>
    <n v="0"/>
    <m/>
    <m/>
    <m/>
    <m/>
    <m/>
    <m/>
    <m/>
    <m/>
    <m/>
    <m/>
    <m/>
    <m/>
  </r>
  <r>
    <x v="17"/>
    <s v="Chain 5_Depot 4_SKU 7_45292"/>
    <x v="28"/>
    <x v="1"/>
    <x v="4"/>
    <x v="8"/>
    <x v="6"/>
    <x v="20"/>
    <s v="History"/>
    <n v="11620.69"/>
    <m/>
    <n v="11551.0021552174"/>
    <n v="-546.775626840629"/>
    <m/>
    <m/>
    <n v="0"/>
    <n v="0"/>
    <n v="0"/>
    <m/>
    <m/>
    <b v="0"/>
    <n v="3240"/>
    <n v="0"/>
    <n v="2126"/>
    <s v="Stable"/>
    <n v="795.78"/>
    <n v="642.30999999999995"/>
    <n v="19.29"/>
    <n v="0"/>
    <m/>
    <m/>
    <m/>
    <m/>
    <m/>
    <m/>
    <m/>
    <m/>
    <m/>
    <m/>
    <m/>
    <m/>
  </r>
  <r>
    <x v="18"/>
    <s v="Chain 5_Depot 4_SKU 7_45323"/>
    <x v="28"/>
    <x v="1"/>
    <x v="4"/>
    <x v="8"/>
    <x v="6"/>
    <x v="20"/>
    <s v="History"/>
    <n v="11312.85"/>
    <m/>
    <n v="11619.6178419076"/>
    <n v="-8.2265543895571405"/>
    <m/>
    <m/>
    <n v="0"/>
    <n v="0"/>
    <n v="0"/>
    <m/>
    <m/>
    <b v="0"/>
    <n v="3930"/>
    <n v="1"/>
    <n v="1535"/>
    <s v="Stable"/>
    <n v="874.23"/>
    <n v="714.79"/>
    <n v="18.239999999999998"/>
    <n v="0"/>
    <m/>
    <m/>
    <m/>
    <m/>
    <m/>
    <m/>
    <m/>
    <m/>
    <m/>
    <m/>
    <m/>
    <m/>
  </r>
  <r>
    <x v="19"/>
    <s v="Chain 5_Depot 4_SKU 7_45352"/>
    <x v="28"/>
    <x v="1"/>
    <x v="4"/>
    <x v="8"/>
    <x v="6"/>
    <x v="20"/>
    <s v="History"/>
    <n v="11991.59"/>
    <m/>
    <n v="11683.8067101016"/>
    <n v="680.66055472189396"/>
    <m/>
    <m/>
    <n v="0"/>
    <n v="0"/>
    <n v="0"/>
    <m/>
    <m/>
    <b v="0"/>
    <n v="2455"/>
    <n v="0"/>
    <n v="2391"/>
    <s v="Stable"/>
    <n v="711.49"/>
    <n v="585.47"/>
    <n v="17.71"/>
    <n v="0"/>
    <m/>
    <m/>
    <m/>
    <m/>
    <m/>
    <m/>
    <m/>
    <m/>
    <m/>
    <m/>
    <m/>
    <m/>
  </r>
  <r>
    <x v="20"/>
    <s v="Chain 5_Depot 4_SKU 7_45383"/>
    <x v="28"/>
    <x v="1"/>
    <x v="4"/>
    <x v="8"/>
    <x v="6"/>
    <x v="20"/>
    <s v="History"/>
    <n v="10955.96"/>
    <m/>
    <n v="11752.422396791801"/>
    <n v="-958.38305430215598"/>
    <m/>
    <m/>
    <n v="0"/>
    <n v="0"/>
    <n v="0"/>
    <m/>
    <m/>
    <b v="0"/>
    <n v="4823"/>
    <n v="0"/>
    <n v="2235"/>
    <s v="Stable"/>
    <n v="935.13"/>
    <n v="762.32"/>
    <n v="18.48"/>
    <n v="0"/>
    <m/>
    <m/>
    <m/>
    <m/>
    <m/>
    <m/>
    <m/>
    <m/>
    <m/>
    <m/>
    <m/>
    <m/>
  </r>
  <r>
    <x v="21"/>
    <s v="Chain 5_Depot 4_SKU 7_45413"/>
    <x v="28"/>
    <x v="1"/>
    <x v="4"/>
    <x v="8"/>
    <x v="6"/>
    <x v="20"/>
    <s v="History"/>
    <n v="17190.509999999998"/>
    <m/>
    <n v="11818.8246742339"/>
    <n v="1686.56539051871"/>
    <m/>
    <m/>
    <n v="0"/>
    <n v="0"/>
    <n v="1"/>
    <m/>
    <m/>
    <b v="0"/>
    <n v="3632"/>
    <n v="1"/>
    <n v="1576"/>
    <s v="Stable"/>
    <n v="886.72"/>
    <n v="719.32"/>
    <n v="18.88"/>
    <n v="0"/>
    <m/>
    <m/>
    <m/>
    <m/>
    <m/>
    <m/>
    <m/>
    <m/>
    <m/>
    <m/>
    <m/>
    <m/>
  </r>
  <r>
    <x v="22"/>
    <s v="Chain 5_Depot 4_SKU 7_45444"/>
    <x v="28"/>
    <x v="1"/>
    <x v="4"/>
    <x v="8"/>
    <x v="6"/>
    <x v="20"/>
    <s v="History"/>
    <n v="11245.74"/>
    <m/>
    <n v="11887.440360924"/>
    <n v="-835.95207930154004"/>
    <m/>
    <m/>
    <n v="0"/>
    <n v="0"/>
    <n v="0"/>
    <m/>
    <m/>
    <b v="1"/>
    <n v="2628"/>
    <n v="0"/>
    <n v="2984"/>
    <s v="Stable"/>
    <n v="753.07"/>
    <n v="631.78"/>
    <n v="16.11"/>
    <n v="0"/>
    <m/>
    <m/>
    <m/>
    <m/>
    <m/>
    <m/>
    <m/>
    <m/>
    <m/>
    <m/>
    <m/>
    <m/>
  </r>
  <r>
    <x v="30"/>
    <s v="Chain 5_Depot 4_SKU 7_45474"/>
    <x v="28"/>
    <x v="1"/>
    <x v="4"/>
    <x v="8"/>
    <x v="6"/>
    <x v="20"/>
    <s v="History"/>
    <n v="11028.67"/>
    <n v="11055.57"/>
    <n v="11953.842638366101"/>
    <n v="278.49683636761301"/>
    <n v="11255.57"/>
    <n v="10855.57"/>
    <n v="0"/>
    <n v="0"/>
    <n v="0"/>
    <m/>
    <m/>
    <b v="0"/>
    <n v="4879"/>
    <n v="0"/>
    <n v="2232"/>
    <s v="Stable"/>
    <n v="964.92"/>
    <n v="783.78"/>
    <n v="18.77"/>
    <n v="0"/>
    <m/>
    <m/>
    <m/>
    <m/>
    <m/>
    <m/>
    <m/>
    <m/>
    <m/>
    <m/>
    <m/>
    <m/>
  </r>
  <r>
    <x v="24"/>
    <s v="Chain 5_Depot 4_SKU 7_45536"/>
    <x v="28"/>
    <x v="1"/>
    <x v="4"/>
    <x v="8"/>
    <x v="6"/>
    <x v="20"/>
    <s v="History"/>
    <n v="11285.77"/>
    <n v="11433.77"/>
    <n v="12091.074011746499"/>
    <n v="70.7960054633743"/>
    <n v="11633.77"/>
    <n v="11233.77"/>
    <n v="0"/>
    <n v="0"/>
    <n v="0"/>
    <m/>
    <m/>
    <b v="0"/>
    <n v="4580"/>
    <n v="0"/>
    <n v="2920"/>
    <s v="Stable"/>
    <n v="835.98"/>
    <n v="670.99"/>
    <n v="19.739999999999998"/>
    <n v="0"/>
    <m/>
    <m/>
    <m/>
    <m/>
    <m/>
    <m/>
    <m/>
    <m/>
    <m/>
    <m/>
    <m/>
    <m/>
  </r>
  <r>
    <x v="31"/>
    <s v="Chain 5_Depot 4_SKU 7_45566"/>
    <x v="28"/>
    <x v="1"/>
    <x v="4"/>
    <x v="8"/>
    <x v="6"/>
    <x v="20"/>
    <s v="Forecast"/>
    <m/>
    <n v="11239.25"/>
    <n v="12157.4762891886"/>
    <n v="-661.68032498131595"/>
    <n v="11439.25"/>
    <n v="11039.25"/>
    <m/>
    <m/>
    <m/>
    <m/>
    <m/>
    <m/>
    <m/>
    <m/>
    <n v="1116"/>
    <n v="0"/>
    <n v="798.68"/>
    <n v="643.01"/>
    <n v="19.489999999999998"/>
    <n v="0"/>
    <m/>
    <m/>
    <m/>
    <m/>
    <m/>
    <m/>
    <m/>
    <m/>
    <m/>
    <m/>
    <m/>
    <m/>
  </r>
  <r>
    <x v="25"/>
    <s v="Chain 5_Depot 4_SKU 7_45597"/>
    <x v="28"/>
    <x v="1"/>
    <x v="4"/>
    <x v="8"/>
    <x v="6"/>
    <x v="20"/>
    <s v="Forecast"/>
    <m/>
    <n v="11373.21"/>
    <n v="12226.0919758788"/>
    <n v="649.58442662866196"/>
    <n v="11573.21"/>
    <n v="11173.21"/>
    <m/>
    <m/>
    <m/>
    <m/>
    <m/>
    <m/>
    <m/>
    <m/>
    <n v="1627"/>
    <n v="0"/>
    <n v="929.32"/>
    <n v="764.34"/>
    <n v="17.75"/>
    <n v="0"/>
    <m/>
    <m/>
    <m/>
    <m/>
    <m/>
    <m/>
    <m/>
    <m/>
    <m/>
    <m/>
    <m/>
    <m/>
  </r>
  <r>
    <x v="32"/>
    <s v="Chain 5_Depot 4_SKU 7_45627"/>
    <x v="28"/>
    <x v="1"/>
    <x v="4"/>
    <x v="8"/>
    <x v="6"/>
    <x v="20"/>
    <s v="Forecast"/>
    <m/>
    <n v="12009.13"/>
    <n v="12292.4942533209"/>
    <n v="-1020.46438462181"/>
    <n v="12209.13"/>
    <n v="11809.13"/>
    <m/>
    <m/>
    <m/>
    <m/>
    <m/>
    <m/>
    <m/>
    <m/>
    <n v="1748"/>
    <n v="0"/>
    <n v="827.81"/>
    <n v="684.14"/>
    <n v="17.36"/>
    <n v="0"/>
    <m/>
    <m/>
    <m/>
    <m/>
    <m/>
    <m/>
    <m/>
    <m/>
    <m/>
    <m/>
    <m/>
    <m/>
  </r>
  <r>
    <x v="13"/>
    <s v="Chain 5_Depot 4_SKU 9_45017"/>
    <x v="29"/>
    <x v="1"/>
    <x v="4"/>
    <x v="8"/>
    <x v="6"/>
    <x v="14"/>
    <s v="History"/>
    <n v="19097.64"/>
    <m/>
    <n v="18635.550712140001"/>
    <n v="462.08434387389599"/>
    <m/>
    <m/>
    <n v="0"/>
    <n v="0"/>
    <n v="0"/>
    <m/>
    <m/>
    <b v="0"/>
    <n v="2084"/>
    <n v="0"/>
    <n v="1912"/>
    <s v="Stable"/>
    <n v="1536.8"/>
    <n v="1338.05"/>
    <n v="12.93"/>
    <n v="0"/>
    <m/>
    <m/>
    <m/>
    <m/>
    <m/>
    <m/>
    <m/>
    <m/>
    <m/>
    <m/>
    <m/>
    <m/>
  </r>
  <r>
    <x v="14"/>
    <s v="Chain 5_Depot 4_SKU 9_45047"/>
    <x v="29"/>
    <x v="1"/>
    <x v="4"/>
    <x v="8"/>
    <x v="6"/>
    <x v="14"/>
    <s v="History"/>
    <n v="19259.98"/>
    <m/>
    <n v="19459.086904128399"/>
    <n v="-199.11302693186499"/>
    <m/>
    <m/>
    <n v="0"/>
    <n v="0"/>
    <n v="0"/>
    <m/>
    <m/>
    <b v="0"/>
    <n v="3855"/>
    <n v="0"/>
    <n v="2075"/>
    <s v="Stable"/>
    <n v="1505.7"/>
    <n v="1265.5999999999999"/>
    <n v="15.95"/>
    <n v="0"/>
    <m/>
    <m/>
    <m/>
    <m/>
    <m/>
    <m/>
    <m/>
    <m/>
    <m/>
    <m/>
    <m/>
    <m/>
  </r>
  <r>
    <x v="15"/>
    <s v="Chain 5_Depot 4_SKU 9_45078"/>
    <x v="29"/>
    <x v="1"/>
    <x v="4"/>
    <x v="8"/>
    <x v="6"/>
    <x v="14"/>
    <s v="History"/>
    <n v="19787.43"/>
    <m/>
    <n v="20310.088078206201"/>
    <n v="-522.66327674003696"/>
    <m/>
    <m/>
    <n v="0"/>
    <n v="0"/>
    <n v="0"/>
    <m/>
    <m/>
    <b v="0"/>
    <n v="4513"/>
    <n v="0"/>
    <n v="2068"/>
    <s v="Stable"/>
    <n v="1479.21"/>
    <n v="1302.01"/>
    <n v="11.98"/>
    <n v="0"/>
    <m/>
    <m/>
    <m/>
    <m/>
    <m/>
    <m/>
    <m/>
    <m/>
    <m/>
    <m/>
    <m/>
    <m/>
  </r>
  <r>
    <x v="16"/>
    <s v="Chain 5_Depot 4_SKU 9_45108"/>
    <x v="29"/>
    <x v="1"/>
    <x v="4"/>
    <x v="8"/>
    <x v="6"/>
    <x v="14"/>
    <s v="History"/>
    <n v="20360.150000000001"/>
    <m/>
    <n v="21133.642488162001"/>
    <n v="-773.49396143652996"/>
    <m/>
    <m/>
    <n v="0"/>
    <n v="0"/>
    <n v="0"/>
    <m/>
    <m/>
    <b v="0"/>
    <n v="3122"/>
    <n v="0"/>
    <n v="1292"/>
    <s v="Stable"/>
    <n v="1537.48"/>
    <n v="1309.98"/>
    <n v="14.8"/>
    <n v="0"/>
    <m/>
    <m/>
    <m/>
    <m/>
    <m/>
    <m/>
    <m/>
    <m/>
    <m/>
    <m/>
    <m/>
    <m/>
  </r>
  <r>
    <x v="26"/>
    <s v="Chain 5_Depot 4_SKU 9_45139"/>
    <x v="29"/>
    <x v="1"/>
    <x v="4"/>
    <x v="8"/>
    <x v="6"/>
    <x v="14"/>
    <s v="History"/>
    <n v="20540.91"/>
    <m/>
    <n v="21521.098469254801"/>
    <n v="-980.18840866628705"/>
    <m/>
    <m/>
    <n v="0"/>
    <n v="0"/>
    <n v="0"/>
    <m/>
    <m/>
    <b v="0"/>
    <n v="3213"/>
    <n v="0"/>
    <n v="1937"/>
    <s v="Stable"/>
    <n v="1402.96"/>
    <n v="1247.25"/>
    <n v="11.1"/>
    <n v="0"/>
    <m/>
    <m/>
    <m/>
    <m/>
    <m/>
    <m/>
    <m/>
    <m/>
    <m/>
    <m/>
    <m/>
    <m/>
  </r>
  <r>
    <x v="27"/>
    <s v="Chain 5_Depot 4_SKU 9_45170"/>
    <x v="29"/>
    <x v="1"/>
    <x v="4"/>
    <x v="8"/>
    <x v="6"/>
    <x v="14"/>
    <s v="History"/>
    <n v="20767.68"/>
    <m/>
    <n v="21375.684657192902"/>
    <n v="-608.00547057947006"/>
    <m/>
    <m/>
    <n v="0"/>
    <n v="0"/>
    <n v="0"/>
    <m/>
    <m/>
    <b v="0"/>
    <n v="2011"/>
    <n v="0"/>
    <n v="1811"/>
    <s v="Stable"/>
    <n v="1515.79"/>
    <n v="1341.15"/>
    <n v="11.52"/>
    <n v="0"/>
    <m/>
    <m/>
    <m/>
    <m/>
    <m/>
    <m/>
    <m/>
    <m/>
    <m/>
    <m/>
    <m/>
    <m/>
  </r>
  <r>
    <x v="34"/>
    <s v="Chain 5_Depot 4_SKU 9_45200"/>
    <x v="29"/>
    <x v="1"/>
    <x v="4"/>
    <x v="8"/>
    <x v="6"/>
    <x v="14"/>
    <s v="History"/>
    <n v="20539.21"/>
    <m/>
    <n v="21238.1840730816"/>
    <n v="-698.97279227986701"/>
    <m/>
    <m/>
    <n v="0"/>
    <n v="0"/>
    <n v="0"/>
    <m/>
    <m/>
    <b v="0"/>
    <n v="3012"/>
    <n v="0"/>
    <n v="2488"/>
    <s v="Stable"/>
    <n v="1514.71"/>
    <n v="1288.03"/>
    <n v="14.97"/>
    <n v="0"/>
    <m/>
    <m/>
    <m/>
    <m/>
    <m/>
    <m/>
    <m/>
    <m/>
    <m/>
    <m/>
    <m/>
    <m/>
  </r>
  <r>
    <x v="28"/>
    <s v="Chain 5_Depot 4_SKU 9_45231"/>
    <x v="29"/>
    <x v="1"/>
    <x v="4"/>
    <x v="8"/>
    <x v="6"/>
    <x v="14"/>
    <s v="History"/>
    <n v="21150.91"/>
    <m/>
    <n v="21096.884334939499"/>
    <n v="54.025353497049998"/>
    <m/>
    <m/>
    <n v="0"/>
    <n v="0"/>
    <n v="0"/>
    <m/>
    <m/>
    <b v="0"/>
    <n v="3748"/>
    <n v="0"/>
    <n v="2908"/>
    <s v="Stable"/>
    <n v="1456.78"/>
    <n v="1269.97"/>
    <n v="12.82"/>
    <n v="0"/>
    <m/>
    <m/>
    <m/>
    <m/>
    <m/>
    <m/>
    <m/>
    <m/>
    <m/>
    <m/>
    <m/>
    <m/>
  </r>
  <r>
    <x v="29"/>
    <s v="Chain 5_Depot 4_SKU 9_45261"/>
    <x v="29"/>
    <x v="1"/>
    <x v="4"/>
    <x v="8"/>
    <x v="6"/>
    <x v="14"/>
    <s v="History"/>
    <n v="20662.169999999998"/>
    <m/>
    <n v="20975.571030476302"/>
    <n v="-313.39882484973498"/>
    <m/>
    <m/>
    <n v="0"/>
    <n v="0"/>
    <n v="0"/>
    <m/>
    <m/>
    <b v="0"/>
    <n v="3876"/>
    <n v="1"/>
    <n v="2573"/>
    <s v="Stable"/>
    <n v="1478.59"/>
    <n v="1261.8599999999999"/>
    <n v="14.66"/>
    <n v="0"/>
    <m/>
    <m/>
    <m/>
    <m/>
    <m/>
    <m/>
    <m/>
    <m/>
    <m/>
    <m/>
    <m/>
    <m/>
  </r>
  <r>
    <x v="17"/>
    <s v="Chain 5_Depot 4_SKU 9_45292"/>
    <x v="29"/>
    <x v="1"/>
    <x v="4"/>
    <x v="8"/>
    <x v="6"/>
    <x v="14"/>
    <s v="History"/>
    <n v="20866.5"/>
    <m/>
    <n v="20853.338164954101"/>
    <n v="13.164659306654499"/>
    <m/>
    <m/>
    <n v="0"/>
    <n v="0"/>
    <n v="0"/>
    <m/>
    <m/>
    <b v="0"/>
    <n v="4619"/>
    <n v="0"/>
    <n v="1866"/>
    <s v="Stable"/>
    <n v="1565.48"/>
    <n v="1341.94"/>
    <n v="14.28"/>
    <n v="0"/>
    <m/>
    <m/>
    <m/>
    <m/>
    <m/>
    <m/>
    <m/>
    <m/>
    <m/>
    <m/>
    <m/>
    <m/>
  </r>
  <r>
    <x v="18"/>
    <s v="Chain 5_Depot 4_SKU 9_45323"/>
    <x v="29"/>
    <x v="1"/>
    <x v="4"/>
    <x v="8"/>
    <x v="6"/>
    <x v="14"/>
    <s v="History"/>
    <n v="20744.55"/>
    <m/>
    <n v="20731.1159510652"/>
    <n v="13.439332063418"/>
    <m/>
    <m/>
    <n v="0"/>
    <n v="0"/>
    <n v="0"/>
    <m/>
    <m/>
    <b v="0"/>
    <n v="3317"/>
    <n v="2"/>
    <n v="1379"/>
    <s v="Stable"/>
    <n v="1536.54"/>
    <n v="1317.47"/>
    <n v="14.26"/>
    <n v="0"/>
    <m/>
    <m/>
    <m/>
    <m/>
    <m/>
    <m/>
    <m/>
    <m/>
    <m/>
    <m/>
    <m/>
    <m/>
  </r>
  <r>
    <x v="19"/>
    <s v="Chain 5_Depot 4_SKU 9_45352"/>
    <x v="29"/>
    <x v="1"/>
    <x v="4"/>
    <x v="8"/>
    <x v="6"/>
    <x v="14"/>
    <s v="History"/>
    <n v="24240.61"/>
    <m/>
    <n v="20619.520424026701"/>
    <n v="3621.09194257949"/>
    <m/>
    <m/>
    <n v="0"/>
    <n v="0"/>
    <n v="1"/>
    <m/>
    <m/>
    <b v="0"/>
    <n v="3383"/>
    <n v="0"/>
    <n v="2006"/>
    <s v="Stable"/>
    <n v="1530.09"/>
    <n v="1328.23"/>
    <n v="13.19"/>
    <n v="0"/>
    <m/>
    <m/>
    <m/>
    <m/>
    <m/>
    <m/>
    <m/>
    <m/>
    <m/>
    <m/>
    <m/>
    <m/>
  </r>
  <r>
    <x v="20"/>
    <s v="Chain 5_Depot 4_SKU 9_45383"/>
    <x v="29"/>
    <x v="1"/>
    <x v="4"/>
    <x v="8"/>
    <x v="6"/>
    <x v="14"/>
    <s v="History"/>
    <n v="20798.68"/>
    <m/>
    <n v="20503.489290422702"/>
    <n v="295.19420073710199"/>
    <m/>
    <m/>
    <n v="0"/>
    <n v="0"/>
    <n v="0"/>
    <m/>
    <m/>
    <b v="0"/>
    <n v="3678"/>
    <n v="0"/>
    <n v="2766"/>
    <s v="Stable"/>
    <n v="1540.32"/>
    <n v="1335.21"/>
    <n v="13.32"/>
    <n v="0"/>
    <m/>
    <m/>
    <m/>
    <m/>
    <m/>
    <m/>
    <m/>
    <m/>
    <m/>
    <m/>
    <m/>
    <m/>
  </r>
  <r>
    <x v="21"/>
    <s v="Chain 5_Depot 4_SKU 9_45413"/>
    <x v="29"/>
    <x v="1"/>
    <x v="4"/>
    <x v="8"/>
    <x v="6"/>
    <x v="14"/>
    <s v="History"/>
    <n v="20296.21"/>
    <m/>
    <n v="20393.068029927901"/>
    <n v="-96.855881399319301"/>
    <m/>
    <m/>
    <n v="0"/>
    <n v="0"/>
    <n v="0"/>
    <m/>
    <m/>
    <b v="0"/>
    <n v="4961"/>
    <n v="0"/>
    <n v="2501"/>
    <s v="Stable"/>
    <n v="1529.63"/>
    <n v="1302.6099999999999"/>
    <n v="14.84"/>
    <n v="0"/>
    <m/>
    <m/>
    <m/>
    <m/>
    <m/>
    <m/>
    <m/>
    <m/>
    <m/>
    <m/>
    <m/>
    <m/>
  </r>
  <r>
    <x v="22"/>
    <s v="Chain 5_Depot 4_SKU 9_45444"/>
    <x v="29"/>
    <x v="1"/>
    <x v="4"/>
    <x v="8"/>
    <x v="6"/>
    <x v="14"/>
    <s v="History"/>
    <n v="20111.060000000001"/>
    <m/>
    <n v="20738.469429186702"/>
    <n v="-627.40609822474198"/>
    <m/>
    <m/>
    <n v="0"/>
    <n v="0"/>
    <n v="0"/>
    <m/>
    <m/>
    <b v="0"/>
    <n v="2179"/>
    <n v="0"/>
    <n v="1261"/>
    <s v="Stable"/>
    <n v="1587.14"/>
    <n v="1377.64"/>
    <n v="13.2"/>
    <n v="0"/>
    <m/>
    <m/>
    <m/>
    <m/>
    <m/>
    <m/>
    <m/>
    <m/>
    <m/>
    <m/>
    <m/>
    <m/>
  </r>
  <r>
    <x v="30"/>
    <s v="Chain 5_Depot 4_SKU 9_45474"/>
    <x v="29"/>
    <x v="1"/>
    <x v="4"/>
    <x v="8"/>
    <x v="6"/>
    <x v="14"/>
    <s v="History"/>
    <n v="20381.95"/>
    <n v="20462.62"/>
    <n v="21072.728847824201"/>
    <n v="-690.77181079614002"/>
    <n v="20662.62"/>
    <n v="20262.62"/>
    <n v="0"/>
    <n v="0"/>
    <n v="0"/>
    <m/>
    <m/>
    <b v="0"/>
    <n v="2796"/>
    <n v="0"/>
    <n v="1579"/>
    <s v="Stable"/>
    <n v="1531.17"/>
    <n v="1319.19"/>
    <n v="13.84"/>
    <n v="0"/>
    <m/>
    <m/>
    <m/>
    <m/>
    <m/>
    <m/>
    <m/>
    <m/>
    <m/>
    <m/>
    <m/>
    <m/>
  </r>
  <r>
    <x v="23"/>
    <s v="Chain 5_Depot 4_SKU 9_45505"/>
    <x v="29"/>
    <x v="1"/>
    <x v="4"/>
    <x v="8"/>
    <x v="6"/>
    <x v="14"/>
    <s v="History"/>
    <n v="20357.12"/>
    <n v="20062.810000000001"/>
    <n v="21418.130247083001"/>
    <n v="-1061.0019313180901"/>
    <n v="20262.810000000001"/>
    <n v="19862.810000000001"/>
    <n v="0"/>
    <n v="0"/>
    <n v="0"/>
    <m/>
    <m/>
    <b v="0"/>
    <n v="3467"/>
    <n v="0"/>
    <n v="2202"/>
    <s v="Stable"/>
    <n v="1452.09"/>
    <n v="1227.58"/>
    <n v="15.46"/>
    <n v="0"/>
    <m/>
    <m/>
    <m/>
    <m/>
    <m/>
    <m/>
    <m/>
    <m/>
    <m/>
    <m/>
    <m/>
    <m/>
  </r>
  <r>
    <x v="24"/>
    <s v="Chain 5_Depot 4_SKU 9_45536"/>
    <x v="29"/>
    <x v="1"/>
    <x v="4"/>
    <x v="8"/>
    <x v="6"/>
    <x v="14"/>
    <s v="History"/>
    <n v="21234.89"/>
    <n v="21134.48"/>
    <n v="21763.5316463417"/>
    <n v="-528.63411863011504"/>
    <n v="21334.48"/>
    <n v="20934.48"/>
    <n v="0"/>
    <n v="0"/>
    <n v="0"/>
    <m/>
    <m/>
    <b v="0"/>
    <n v="4024"/>
    <n v="0"/>
    <n v="1356"/>
    <s v="Stable"/>
    <n v="1606.51"/>
    <n v="1380.4"/>
    <n v="14.07"/>
    <n v="0"/>
    <m/>
    <m/>
    <m/>
    <m/>
    <m/>
    <m/>
    <m/>
    <m/>
    <m/>
    <m/>
    <m/>
    <m/>
  </r>
  <r>
    <x v="31"/>
    <s v="Chain 5_Depot 4_SKU 9_45566"/>
    <x v="29"/>
    <x v="1"/>
    <x v="4"/>
    <x v="8"/>
    <x v="6"/>
    <x v="14"/>
    <s v="Forecast"/>
    <m/>
    <n v="20967.63"/>
    <n v="22097.791064979199"/>
    <n v="-762.20551458713805"/>
    <n v="21167.63"/>
    <n v="20767.63"/>
    <m/>
    <m/>
    <m/>
    <m/>
    <m/>
    <m/>
    <m/>
    <m/>
    <n v="2442"/>
    <n v="0"/>
    <n v="1543.52"/>
    <n v="1358.61"/>
    <n v="11.98"/>
    <n v="0"/>
    <m/>
    <m/>
    <m/>
    <m/>
    <m/>
    <m/>
    <m/>
    <m/>
    <m/>
    <m/>
    <m/>
    <m/>
  </r>
  <r>
    <x v="25"/>
    <s v="Chain 5_Depot 4_SKU 9_45597"/>
    <x v="29"/>
    <x v="1"/>
    <x v="4"/>
    <x v="8"/>
    <x v="6"/>
    <x v="14"/>
    <s v="Forecast"/>
    <m/>
    <n v="20891.62"/>
    <n v="22443.192464238"/>
    <n v="126.871834918164"/>
    <n v="21091.62"/>
    <n v="20691.62"/>
    <m/>
    <m/>
    <m/>
    <m/>
    <m/>
    <m/>
    <m/>
    <m/>
    <n v="1697"/>
    <n v="0"/>
    <n v="1495.54"/>
    <n v="897.32"/>
    <n v="40"/>
    <n v="1"/>
    <m/>
    <m/>
    <m/>
    <m/>
    <m/>
    <m/>
    <m/>
    <m/>
    <m/>
    <m/>
    <m/>
    <m/>
  </r>
  <r>
    <x v="32"/>
    <s v="Chain 5_Depot 4_SKU 9_45627"/>
    <x v="29"/>
    <x v="1"/>
    <x v="4"/>
    <x v="8"/>
    <x v="6"/>
    <x v="14"/>
    <s v="Forecast"/>
    <m/>
    <n v="20887.560000000001"/>
    <n v="22777.451882875499"/>
    <n v="-377.97139268917101"/>
    <n v="21087.56"/>
    <n v="20687.560000000001"/>
    <m/>
    <m/>
    <m/>
    <m/>
    <m/>
    <m/>
    <m/>
    <m/>
    <n v="2976"/>
    <n v="0"/>
    <n v="1462.33"/>
    <n v="1236.02"/>
    <n v="15.48"/>
    <n v="0"/>
    <m/>
    <m/>
    <m/>
    <m/>
    <m/>
    <m/>
    <m/>
    <m/>
    <m/>
    <m/>
    <m/>
    <m/>
  </r>
  <r>
    <x v="0"/>
    <s v="Chain 5_Depot 5_SKU 12_44562"/>
    <x v="30"/>
    <x v="1"/>
    <x v="4"/>
    <x v="2"/>
    <x v="5"/>
    <x v="18"/>
    <s v="History"/>
    <n v="5399.79"/>
    <m/>
    <n v="5378.3495462399997"/>
    <n v="-12.5841359967119"/>
    <m/>
    <m/>
    <n v="0"/>
    <n v="0"/>
    <n v="0"/>
    <m/>
    <m/>
    <b v="0"/>
    <n v="4316"/>
    <n v="0"/>
    <n v="1355"/>
    <s v="Stable"/>
    <n v="2167.89"/>
    <n v="1775.34"/>
    <n v="18.11"/>
    <n v="0"/>
    <m/>
    <m/>
    <m/>
    <m/>
    <m/>
    <m/>
    <m/>
    <m/>
    <m/>
    <m/>
    <m/>
    <m/>
  </r>
  <r>
    <x v="1"/>
    <s v="Chain 5_Depot 5_SKU 12_44593"/>
    <x v="30"/>
    <x v="1"/>
    <x v="4"/>
    <x v="2"/>
    <x v="5"/>
    <x v="18"/>
    <s v="History"/>
    <n v="4970.97"/>
    <m/>
    <n v="5400.7868548933002"/>
    <n v="-432.85518806783"/>
    <m/>
    <m/>
    <n v="0"/>
    <n v="0"/>
    <n v="0"/>
    <m/>
    <m/>
    <b v="0"/>
    <n v="4720"/>
    <n v="0"/>
    <n v="1138"/>
    <s v="Stable"/>
    <n v="2232.27"/>
    <n v="1787.84"/>
    <n v="19.91"/>
    <n v="0"/>
    <m/>
    <m/>
    <m/>
    <m/>
    <m/>
    <m/>
    <m/>
    <m/>
    <m/>
    <m/>
    <m/>
    <m/>
  </r>
  <r>
    <x v="2"/>
    <s v="Chain 5_Depot 5_SKU 12_44621"/>
    <x v="30"/>
    <x v="1"/>
    <x v="4"/>
    <x v="2"/>
    <x v="5"/>
    <x v="18"/>
    <s v="History"/>
    <n v="5439.84"/>
    <m/>
    <n v="5421.0528111339499"/>
    <n v="-152.52403784377199"/>
    <m/>
    <m/>
    <n v="0"/>
    <n v="0"/>
    <n v="0"/>
    <m/>
    <m/>
    <b v="0"/>
    <n v="3642"/>
    <n v="0"/>
    <n v="2526"/>
    <s v="Stable"/>
    <n v="2219.19"/>
    <n v="1811.59"/>
    <n v="18.37"/>
    <n v="0"/>
    <m/>
    <m/>
    <m/>
    <m/>
    <m/>
    <m/>
    <m/>
    <m/>
    <m/>
    <m/>
    <m/>
    <m/>
  </r>
  <r>
    <x v="3"/>
    <s v="Chain 5_Depot 5_SKU 12_44652"/>
    <x v="30"/>
    <x v="1"/>
    <x v="4"/>
    <x v="2"/>
    <x v="5"/>
    <x v="18"/>
    <s v="History"/>
    <n v="5729.75"/>
    <m/>
    <n v="5443.4901198919897"/>
    <n v="-61.652474632910597"/>
    <m/>
    <m/>
    <n v="0"/>
    <n v="0"/>
    <n v="0"/>
    <m/>
    <m/>
    <b v="0"/>
    <n v="4838"/>
    <n v="0"/>
    <n v="2849"/>
    <s v="Stable"/>
    <n v="2159.08"/>
    <n v="1742.92"/>
    <n v="19.27"/>
    <n v="0"/>
    <m/>
    <m/>
    <m/>
    <m/>
    <m/>
    <m/>
    <m/>
    <m/>
    <m/>
    <m/>
    <m/>
    <m/>
  </r>
  <r>
    <x v="4"/>
    <s v="Chain 5_Depot 5_SKU 12_44682"/>
    <x v="30"/>
    <x v="1"/>
    <x v="4"/>
    <x v="2"/>
    <x v="5"/>
    <x v="18"/>
    <s v="History"/>
    <n v="5603.67"/>
    <m/>
    <n v="5465.2036444515898"/>
    <n v="-623.45084760527402"/>
    <m/>
    <m/>
    <n v="0"/>
    <n v="0"/>
    <n v="0"/>
    <m/>
    <m/>
    <b v="0"/>
    <n v="3888"/>
    <n v="0"/>
    <n v="2197"/>
    <s v="Stable"/>
    <n v="2276.5"/>
    <n v="1863.89"/>
    <n v="18.12"/>
    <n v="0"/>
    <m/>
    <m/>
    <m/>
    <m/>
    <m/>
    <m/>
    <m/>
    <m/>
    <m/>
    <m/>
    <m/>
    <m/>
  </r>
  <r>
    <x v="5"/>
    <s v="Chain 5_Depot 5_SKU 12_44713"/>
    <x v="30"/>
    <x v="1"/>
    <x v="4"/>
    <x v="2"/>
    <x v="5"/>
    <x v="18"/>
    <s v="History"/>
    <n v="5607.11"/>
    <m/>
    <n v="5487.6409531474601"/>
    <n v="29.483420676926201"/>
    <m/>
    <m/>
    <n v="0"/>
    <n v="0"/>
    <n v="0"/>
    <m/>
    <m/>
    <b v="0"/>
    <n v="3770"/>
    <n v="0"/>
    <n v="1028"/>
    <s v="Stable"/>
    <n v="2271.11"/>
    <n v="1882.02"/>
    <n v="17.13"/>
    <n v="0"/>
    <m/>
    <m/>
    <m/>
    <m/>
    <m/>
    <m/>
    <m/>
    <m/>
    <m/>
    <m/>
    <m/>
    <m/>
  </r>
  <r>
    <x v="6"/>
    <s v="Chain 5_Depot 5_SKU 12_44743"/>
    <x v="30"/>
    <x v="1"/>
    <x v="4"/>
    <x v="2"/>
    <x v="5"/>
    <x v="18"/>
    <s v="History"/>
    <n v="5792.93"/>
    <m/>
    <n v="5509.3544776773197"/>
    <n v="70.091155525230306"/>
    <m/>
    <m/>
    <n v="0"/>
    <n v="0"/>
    <n v="0"/>
    <m/>
    <m/>
    <b v="0"/>
    <n v="2017"/>
    <n v="0"/>
    <n v="1930"/>
    <s v="Stable"/>
    <n v="2158.79"/>
    <n v="1763.52"/>
    <n v="18.309999999999999"/>
    <n v="0"/>
    <m/>
    <m/>
    <m/>
    <m/>
    <m/>
    <m/>
    <m/>
    <m/>
    <m/>
    <m/>
    <m/>
    <m/>
  </r>
  <r>
    <x v="35"/>
    <s v="Chain 5_Depot 5_SKU 12_44805"/>
    <x v="30"/>
    <x v="1"/>
    <x v="4"/>
    <x v="2"/>
    <x v="5"/>
    <x v="18"/>
    <s v="History"/>
    <n v="5551.13"/>
    <m/>
    <n v="5554.2290951944997"/>
    <n v="-25.986833845030201"/>
    <m/>
    <m/>
    <n v="0"/>
    <n v="0"/>
    <n v="0"/>
    <m/>
    <m/>
    <b v="0"/>
    <n v="2116"/>
    <n v="1"/>
    <n v="2013"/>
    <s v="Stable"/>
    <n v="2188.5"/>
    <n v="1795.16"/>
    <n v="17.97"/>
    <n v="0"/>
    <m/>
    <m/>
    <m/>
    <m/>
    <m/>
    <m/>
    <m/>
    <m/>
    <m/>
    <m/>
    <m/>
    <m/>
  </r>
  <r>
    <x v="33"/>
    <s v="Chain 5_Depot 5_SKU 12_44835"/>
    <x v="30"/>
    <x v="1"/>
    <x v="4"/>
    <x v="2"/>
    <x v="5"/>
    <x v="18"/>
    <s v="History"/>
    <n v="5586.71"/>
    <m/>
    <n v="5575.9426198224201"/>
    <n v="255.99666479660999"/>
    <m/>
    <m/>
    <n v="0"/>
    <n v="0"/>
    <n v="0"/>
    <m/>
    <m/>
    <b v="0"/>
    <n v="2797"/>
    <n v="0"/>
    <n v="1654"/>
    <s v="Stable"/>
    <n v="2246.4899999999998"/>
    <n v="1837.68"/>
    <n v="18.2"/>
    <n v="0"/>
    <m/>
    <m/>
    <m/>
    <m/>
    <m/>
    <m/>
    <m/>
    <m/>
    <m/>
    <m/>
    <m/>
    <m/>
  </r>
  <r>
    <x v="8"/>
    <s v="Chain 5_Depot 5_SKU 12_44866"/>
    <x v="30"/>
    <x v="1"/>
    <x v="4"/>
    <x v="2"/>
    <x v="5"/>
    <x v="18"/>
    <s v="History"/>
    <n v="5206.82"/>
    <m/>
    <n v="5598.3799304006598"/>
    <n v="74.510886433445293"/>
    <m/>
    <m/>
    <n v="0"/>
    <n v="0"/>
    <n v="0"/>
    <m/>
    <m/>
    <b v="0"/>
    <n v="4598"/>
    <n v="0"/>
    <n v="1827"/>
    <s v="Stable"/>
    <n v="2240.7399999999998"/>
    <n v="1870.1"/>
    <n v="16.54"/>
    <n v="0"/>
    <m/>
    <m/>
    <m/>
    <m/>
    <m/>
    <m/>
    <m/>
    <m/>
    <m/>
    <m/>
    <m/>
    <m/>
  </r>
  <r>
    <x v="9"/>
    <s v="Chain 5_Depot 5_SKU 12_44896"/>
    <x v="30"/>
    <x v="1"/>
    <x v="4"/>
    <x v="2"/>
    <x v="5"/>
    <x v="18"/>
    <s v="History"/>
    <n v="5248.04"/>
    <m/>
    <n v="5620.1488027327496"/>
    <n v="410.11416899244398"/>
    <m/>
    <m/>
    <n v="0"/>
    <n v="0"/>
    <n v="0"/>
    <m/>
    <m/>
    <b v="0"/>
    <n v="4976"/>
    <n v="0"/>
    <n v="1350"/>
    <s v="Stable"/>
    <n v="2218.2199999999998"/>
    <n v="1811.28"/>
    <n v="18.350000000000001"/>
    <n v="0"/>
    <m/>
    <m/>
    <m/>
    <m/>
    <m/>
    <m/>
    <m/>
    <m/>
    <m/>
    <m/>
    <m/>
    <m/>
  </r>
  <r>
    <x v="10"/>
    <s v="Chain 5_Depot 5_SKU 12_44927"/>
    <x v="30"/>
    <x v="1"/>
    <x v="4"/>
    <x v="2"/>
    <x v="5"/>
    <x v="18"/>
    <s v="History"/>
    <n v="5027.3"/>
    <m/>
    <n v="5642.6639698280096"/>
    <n v="-118.65426681889601"/>
    <m/>
    <m/>
    <n v="0"/>
    <n v="0"/>
    <n v="0"/>
    <m/>
    <m/>
    <b v="0"/>
    <n v="3711"/>
    <n v="1"/>
    <n v="1553"/>
    <s v="Stable"/>
    <n v="2229.69"/>
    <n v="1801.93"/>
    <n v="19.18"/>
    <n v="0"/>
    <m/>
    <m/>
    <m/>
    <m/>
    <m/>
    <m/>
    <m/>
    <m/>
    <m/>
    <m/>
    <m/>
    <m/>
  </r>
  <r>
    <x v="11"/>
    <s v="Chain 5_Depot 5_SKU 12_44958"/>
    <x v="30"/>
    <x v="1"/>
    <x v="4"/>
    <x v="2"/>
    <x v="5"/>
    <x v="18"/>
    <s v="History"/>
    <n v="4961.8900000000003"/>
    <m/>
    <n v="5665.1794121961202"/>
    <n v="-331.16882733071202"/>
    <m/>
    <m/>
    <n v="0"/>
    <n v="0"/>
    <n v="0"/>
    <m/>
    <m/>
    <b v="0"/>
    <n v="2752"/>
    <n v="0"/>
    <n v="1298"/>
    <s v="Stable"/>
    <n v="2151.62"/>
    <n v="1768.01"/>
    <n v="17.829999999999998"/>
    <n v="0"/>
    <m/>
    <m/>
    <m/>
    <m/>
    <m/>
    <m/>
    <m/>
    <m/>
    <m/>
    <m/>
    <m/>
    <m/>
  </r>
  <r>
    <x v="12"/>
    <s v="Chain 5_Depot 5_SKU 12_44986"/>
    <x v="30"/>
    <x v="1"/>
    <x v="4"/>
    <x v="2"/>
    <x v="5"/>
    <x v="18"/>
    <s v="History"/>
    <n v="5141.6400000000003"/>
    <m/>
    <n v="5685.5159408059599"/>
    <n v="-256.79690551643301"/>
    <m/>
    <m/>
    <n v="0"/>
    <n v="0"/>
    <n v="0"/>
    <m/>
    <m/>
    <b v="0"/>
    <n v="4469"/>
    <n v="0"/>
    <n v="2743"/>
    <s v="Stable"/>
    <n v="2235.0700000000002"/>
    <n v="1816.5"/>
    <n v="18.73"/>
    <n v="0"/>
    <m/>
    <m/>
    <m/>
    <m/>
    <m/>
    <m/>
    <m/>
    <m/>
    <m/>
    <m/>
    <m/>
    <m/>
  </r>
  <r>
    <x v="13"/>
    <s v="Chain 5_Depot 5_SKU 12_45017"/>
    <x v="30"/>
    <x v="1"/>
    <x v="4"/>
    <x v="2"/>
    <x v="5"/>
    <x v="18"/>
    <s v="History"/>
    <n v="5226.32"/>
    <m/>
    <n v="5708.04686656579"/>
    <n v="49.665261202676199"/>
    <m/>
    <m/>
    <n v="0"/>
    <n v="0"/>
    <n v="0"/>
    <m/>
    <m/>
    <b v="0"/>
    <n v="3392"/>
    <n v="0"/>
    <n v="2865"/>
    <s v="Stable"/>
    <n v="2210.96"/>
    <n v="1801.51"/>
    <n v="18.52"/>
    <n v="0"/>
    <m/>
    <m/>
    <m/>
    <m/>
    <m/>
    <m/>
    <m/>
    <m/>
    <m/>
    <m/>
    <m/>
    <m/>
  </r>
  <r>
    <x v="14"/>
    <s v="Chain 5_Depot 5_SKU 12_45047"/>
    <x v="30"/>
    <x v="1"/>
    <x v="4"/>
    <x v="2"/>
    <x v="5"/>
    <x v="18"/>
    <s v="History"/>
    <n v="3843.47"/>
    <m/>
    <n v="5729.8510020969497"/>
    <n v="-733.29485667889696"/>
    <m/>
    <m/>
    <n v="0"/>
    <n v="0"/>
    <n v="1"/>
    <m/>
    <m/>
    <b v="0"/>
    <n v="4693"/>
    <n v="0"/>
    <n v="2968"/>
    <s v="Stable"/>
    <n v="2182.0500000000002"/>
    <n v="1755.94"/>
    <n v="19.53"/>
    <n v="0"/>
    <m/>
    <m/>
    <m/>
    <m/>
    <m/>
    <m/>
    <m/>
    <m/>
    <m/>
    <m/>
    <m/>
    <m/>
  </r>
  <r>
    <x v="15"/>
    <s v="Chain 5_Depot 5_SKU 12_45078"/>
    <x v="30"/>
    <x v="1"/>
    <x v="4"/>
    <x v="2"/>
    <x v="5"/>
    <x v="18"/>
    <s v="History"/>
    <n v="5946.51"/>
    <m/>
    <n v="5752.3819437746397"/>
    <n v="136.351236142071"/>
    <m/>
    <m/>
    <n v="0"/>
    <n v="0"/>
    <n v="0"/>
    <m/>
    <m/>
    <b v="0"/>
    <n v="4605"/>
    <n v="2"/>
    <n v="2215"/>
    <s v="Stable"/>
    <n v="2139.37"/>
    <n v="1738.84"/>
    <n v="18.72"/>
    <n v="0"/>
    <m/>
    <m/>
    <m/>
    <m/>
    <m/>
    <m/>
    <m/>
    <m/>
    <m/>
    <m/>
    <m/>
    <m/>
  </r>
  <r>
    <x v="16"/>
    <s v="Chain 5_Depot 5_SKU 12_45108"/>
    <x v="30"/>
    <x v="1"/>
    <x v="4"/>
    <x v="2"/>
    <x v="5"/>
    <x v="18"/>
    <s v="History"/>
    <n v="5884.04"/>
    <m/>
    <n v="5774.1860809393202"/>
    <n v="-41.715494187058702"/>
    <m/>
    <m/>
    <n v="0"/>
    <n v="0"/>
    <n v="0"/>
    <m/>
    <m/>
    <b v="0"/>
    <n v="4097"/>
    <n v="0"/>
    <n v="2695"/>
    <s v="Stable"/>
    <n v="2217.35"/>
    <n v="1805.62"/>
    <n v="18.57"/>
    <n v="0"/>
    <m/>
    <m/>
    <m/>
    <m/>
    <m/>
    <m/>
    <m/>
    <m/>
    <m/>
    <m/>
    <m/>
    <m/>
  </r>
  <r>
    <x v="26"/>
    <s v="Chain 5_Depot 5_SKU 12_45139"/>
    <x v="30"/>
    <x v="1"/>
    <x v="4"/>
    <x v="2"/>
    <x v="5"/>
    <x v="18"/>
    <s v="History"/>
    <n v="6012.32"/>
    <m/>
    <n v="5796.71702266177"/>
    <n v="51.840509837325101"/>
    <m/>
    <m/>
    <n v="0"/>
    <n v="0"/>
    <n v="0"/>
    <m/>
    <m/>
    <b v="0"/>
    <n v="2677"/>
    <n v="0"/>
    <n v="1063"/>
    <s v="Stable"/>
    <n v="2233.85"/>
    <n v="1815.5"/>
    <n v="18.73"/>
    <n v="0"/>
    <m/>
    <m/>
    <m/>
    <m/>
    <m/>
    <m/>
    <m/>
    <m/>
    <m/>
    <m/>
    <m/>
    <m/>
  </r>
  <r>
    <x v="27"/>
    <s v="Chain 5_Depot 5_SKU 12_45170"/>
    <x v="30"/>
    <x v="1"/>
    <x v="4"/>
    <x v="2"/>
    <x v="5"/>
    <x v="18"/>
    <s v="History"/>
    <n v="6327.85"/>
    <m/>
    <n v="5819.2479644100003"/>
    <n v="-143.44901022361699"/>
    <m/>
    <m/>
    <n v="0"/>
    <n v="0"/>
    <n v="0"/>
    <m/>
    <m/>
    <b v="0"/>
    <n v="2105"/>
    <n v="0"/>
    <n v="1754"/>
    <s v="Stable"/>
    <n v="2130.88"/>
    <n v="1721.95"/>
    <n v="19.190000000000001"/>
    <n v="0"/>
    <m/>
    <m/>
    <m/>
    <m/>
    <m/>
    <m/>
    <m/>
    <m/>
    <m/>
    <m/>
    <m/>
    <m/>
  </r>
  <r>
    <x v="34"/>
    <s v="Chain 5_Depot 5_SKU 12_45200"/>
    <x v="30"/>
    <x v="1"/>
    <x v="4"/>
    <x v="2"/>
    <x v="5"/>
    <x v="18"/>
    <s v="History"/>
    <n v="6470.56"/>
    <m/>
    <n v="5841.0521016256998"/>
    <n v="370.14952727935702"/>
    <m/>
    <m/>
    <n v="0"/>
    <n v="0"/>
    <n v="0"/>
    <m/>
    <m/>
    <b v="0"/>
    <n v="2657"/>
    <n v="0"/>
    <n v="1769"/>
    <s v="Stable"/>
    <n v="2216.92"/>
    <n v="1810.98"/>
    <n v="18.309999999999999"/>
    <n v="0"/>
    <m/>
    <m/>
    <m/>
    <m/>
    <m/>
    <m/>
    <m/>
    <m/>
    <m/>
    <m/>
    <m/>
    <m/>
  </r>
  <r>
    <x v="28"/>
    <s v="Chain 5_Depot 5_SKU 12_45231"/>
    <x v="30"/>
    <x v="1"/>
    <x v="4"/>
    <x v="2"/>
    <x v="5"/>
    <x v="18"/>
    <s v="History"/>
    <n v="6279.17"/>
    <m/>
    <n v="5863.5830434584504"/>
    <n v="-39.440115968163298"/>
    <m/>
    <m/>
    <n v="0"/>
    <n v="0"/>
    <n v="0"/>
    <m/>
    <m/>
    <b v="0"/>
    <n v="3946"/>
    <n v="1"/>
    <n v="2687"/>
    <s v="Stable"/>
    <n v="2222.11"/>
    <n v="1788.29"/>
    <n v="19.52"/>
    <n v="0"/>
    <m/>
    <m/>
    <m/>
    <m/>
    <m/>
    <m/>
    <m/>
    <m/>
    <m/>
    <m/>
    <m/>
    <m/>
  </r>
  <r>
    <x v="29"/>
    <s v="Chain 5_Depot 5_SKU 12_45261"/>
    <x v="30"/>
    <x v="1"/>
    <x v="4"/>
    <x v="2"/>
    <x v="5"/>
    <x v="18"/>
    <s v="History"/>
    <n v="7195.54"/>
    <m/>
    <n v="5885.38718076245"/>
    <n v="521.59320491236599"/>
    <m/>
    <m/>
    <n v="1"/>
    <n v="0"/>
    <n v="0"/>
    <m/>
    <m/>
    <b v="0"/>
    <n v="3448"/>
    <n v="0"/>
    <n v="2238"/>
    <s v="Stable"/>
    <n v="2188.29"/>
    <n v="1755.92"/>
    <n v="19.760000000000002"/>
    <n v="0"/>
    <m/>
    <m/>
    <m/>
    <m/>
    <m/>
    <m/>
    <m/>
    <m/>
    <m/>
    <m/>
    <m/>
    <m/>
  </r>
  <r>
    <x v="17"/>
    <s v="Chain 5_Depot 5_SKU 12_45292"/>
    <x v="30"/>
    <x v="1"/>
    <x v="4"/>
    <x v="2"/>
    <x v="5"/>
    <x v="18"/>
    <s v="History"/>
    <n v="6143.35"/>
    <m/>
    <n v="5907.9181225215698"/>
    <n v="-224.74120162686501"/>
    <m/>
    <m/>
    <n v="1"/>
    <n v="1"/>
    <n v="0"/>
    <m/>
    <m/>
    <b v="0"/>
    <n v="3095"/>
    <n v="0"/>
    <n v="1833"/>
    <s v="Stable"/>
    <n v="2234.9899999999998"/>
    <n v="1835.15"/>
    <n v="17.89"/>
    <n v="0"/>
    <m/>
    <m/>
    <m/>
    <m/>
    <m/>
    <m/>
    <m/>
    <m/>
    <m/>
    <m/>
    <m/>
    <m/>
  </r>
  <r>
    <x v="18"/>
    <s v="Chain 5_Depot 5_SKU 12_45323"/>
    <x v="30"/>
    <x v="1"/>
    <x v="4"/>
    <x v="2"/>
    <x v="5"/>
    <x v="18"/>
    <s v="History"/>
    <n v="6077.77"/>
    <m/>
    <n v="5930.4490642028304"/>
    <n v="-229.21054046175001"/>
    <m/>
    <m/>
    <n v="1"/>
    <n v="1"/>
    <n v="0"/>
    <m/>
    <m/>
    <b v="0"/>
    <n v="2987"/>
    <n v="0"/>
    <n v="1165"/>
    <s v="Stable"/>
    <n v="2209.37"/>
    <n v="1812.09"/>
    <n v="17.98"/>
    <n v="0"/>
    <m/>
    <m/>
    <m/>
    <m/>
    <m/>
    <m/>
    <m/>
    <m/>
    <m/>
    <m/>
    <m/>
    <m/>
  </r>
  <r>
    <x v="19"/>
    <s v="Chain 5_Depot 5_SKU 12_45352"/>
    <x v="30"/>
    <x v="1"/>
    <x v="4"/>
    <x v="2"/>
    <x v="5"/>
    <x v="18"/>
    <s v="History"/>
    <n v="6126.06"/>
    <m/>
    <n v="5951.5263967914798"/>
    <n v="56.668475076186098"/>
    <m/>
    <m/>
    <n v="1"/>
    <n v="1"/>
    <n v="0"/>
    <m/>
    <m/>
    <b v="0"/>
    <n v="4889"/>
    <n v="0"/>
    <n v="2566"/>
    <s v="Stable"/>
    <n v="2230.16"/>
    <n v="1786.2"/>
    <n v="19.91"/>
    <n v="0"/>
    <m/>
    <m/>
    <m/>
    <m/>
    <m/>
    <m/>
    <m/>
    <m/>
    <m/>
    <m/>
    <m/>
    <m/>
  </r>
  <r>
    <x v="20"/>
    <s v="Chain 5_Depot 5_SKU 12_45383"/>
    <x v="30"/>
    <x v="1"/>
    <x v="4"/>
    <x v="2"/>
    <x v="5"/>
    <x v="18"/>
    <s v="History"/>
    <n v="5883.31"/>
    <m/>
    <n v="5974.0573385241896"/>
    <n v="-284.44352499032601"/>
    <m/>
    <m/>
    <n v="1"/>
    <n v="1"/>
    <n v="0"/>
    <m/>
    <m/>
    <b v="0"/>
    <n v="3808"/>
    <n v="1"/>
    <n v="2906"/>
    <s v="Stable"/>
    <n v="2242.71"/>
    <n v="1784.55"/>
    <n v="20.43"/>
    <n v="0"/>
    <m/>
    <m/>
    <m/>
    <m/>
    <m/>
    <m/>
    <m/>
    <m/>
    <m/>
    <m/>
    <m/>
    <m/>
  </r>
  <r>
    <x v="21"/>
    <s v="Chain 5_Depot 5_SKU 12_45413"/>
    <x v="30"/>
    <x v="1"/>
    <x v="4"/>
    <x v="2"/>
    <x v="5"/>
    <x v="18"/>
    <s v="History"/>
    <n v="5979.59"/>
    <m/>
    <n v="5995.8614756848701"/>
    <n v="-403.08686568859201"/>
    <m/>
    <m/>
    <n v="1"/>
    <n v="1"/>
    <n v="0"/>
    <m/>
    <m/>
    <b v="0"/>
    <n v="3782"/>
    <n v="0"/>
    <n v="2255"/>
    <s v="Stable"/>
    <n v="2242.7399999999998"/>
    <n v="1345.64"/>
    <n v="40"/>
    <n v="1"/>
    <m/>
    <m/>
    <m/>
    <m/>
    <m/>
    <m/>
    <m/>
    <m/>
    <m/>
    <m/>
    <m/>
    <m/>
  </r>
  <r>
    <x v="22"/>
    <s v="Chain 5_Depot 5_SKU 12_45444"/>
    <x v="30"/>
    <x v="1"/>
    <x v="4"/>
    <x v="2"/>
    <x v="5"/>
    <x v="18"/>
    <s v="History"/>
    <n v="5664.14"/>
    <m/>
    <n v="6018.39241741757"/>
    <n v="-184.30656161316199"/>
    <m/>
    <m/>
    <n v="1"/>
    <n v="1"/>
    <n v="0"/>
    <m/>
    <m/>
    <b v="1"/>
    <n v="2445"/>
    <n v="0"/>
    <n v="2817"/>
    <s v="Stable"/>
    <n v="2266.84"/>
    <n v="1842.31"/>
    <n v="18.73"/>
    <n v="0"/>
    <m/>
    <m/>
    <m/>
    <m/>
    <m/>
    <m/>
    <m/>
    <m/>
    <m/>
    <m/>
    <m/>
    <m/>
  </r>
  <r>
    <x v="30"/>
    <s v="Chain 5_Depot 5_SKU 12_45474"/>
    <x v="30"/>
    <x v="1"/>
    <x v="4"/>
    <x v="2"/>
    <x v="5"/>
    <x v="18"/>
    <s v="History"/>
    <n v="5981.31"/>
    <n v="6394.47"/>
    <n v="6040.1965545782496"/>
    <n v="293.991219149975"/>
    <n v="6594.47"/>
    <n v="6194.47"/>
    <n v="1"/>
    <n v="1"/>
    <n v="0"/>
    <m/>
    <m/>
    <b v="0"/>
    <n v="3948"/>
    <n v="1"/>
    <n v="2564"/>
    <s v="Stable"/>
    <n v="2232.92"/>
    <n v="1843.38"/>
    <n v="17.45"/>
    <n v="0"/>
    <m/>
    <m/>
    <m/>
    <m/>
    <m/>
    <m/>
    <m/>
    <m/>
    <m/>
    <m/>
    <m/>
    <m/>
  </r>
  <r>
    <x v="23"/>
    <s v="Chain 5_Depot 5_SKU 12_45505"/>
    <x v="30"/>
    <x v="1"/>
    <x v="4"/>
    <x v="2"/>
    <x v="5"/>
    <x v="18"/>
    <s v="History"/>
    <n v="5585.12"/>
    <n v="5774.06"/>
    <n v="6062.7274963109503"/>
    <n v="-301.759862459788"/>
    <n v="5974.06"/>
    <n v="5574.06"/>
    <n v="1"/>
    <n v="1"/>
    <n v="0"/>
    <m/>
    <m/>
    <b v="0"/>
    <n v="4117"/>
    <n v="0"/>
    <n v="2218"/>
    <s v="Stable"/>
    <n v="2192.15"/>
    <n v="1781.07"/>
    <n v="18.75"/>
    <n v="0"/>
    <m/>
    <m/>
    <m/>
    <m/>
    <m/>
    <m/>
    <m/>
    <m/>
    <m/>
    <m/>
    <m/>
    <m/>
  </r>
  <r>
    <x v="24"/>
    <s v="Chain 5_Depot 5_SKU 12_45536"/>
    <x v="30"/>
    <x v="1"/>
    <x v="4"/>
    <x v="2"/>
    <x v="5"/>
    <x v="18"/>
    <s v="History"/>
    <n v="5619.96"/>
    <n v="5918.66"/>
    <n v="6085.2584380436601"/>
    <n v="208.68591892083899"/>
    <n v="6118.66"/>
    <n v="5718.66"/>
    <n v="1"/>
    <n v="1"/>
    <n v="0"/>
    <m/>
    <m/>
    <b v="0"/>
    <n v="3997"/>
    <n v="0"/>
    <n v="1505"/>
    <s v="Stable"/>
    <n v="2183.61"/>
    <n v="1760.67"/>
    <n v="19.37"/>
    <n v="0"/>
    <m/>
    <m/>
    <m/>
    <m/>
    <m/>
    <m/>
    <m/>
    <m/>
    <m/>
    <m/>
    <m/>
    <m/>
  </r>
  <r>
    <x v="31"/>
    <s v="Chain 5_Depot 5_SKU 12_45566"/>
    <x v="30"/>
    <x v="1"/>
    <x v="4"/>
    <x v="2"/>
    <x v="5"/>
    <x v="18"/>
    <s v="Forecast"/>
    <m/>
    <n v="6211.79"/>
    <n v="6107.0625752043397"/>
    <n v="27.385057071715099"/>
    <n v="6411.79"/>
    <n v="6011.79"/>
    <m/>
    <m/>
    <m/>
    <m/>
    <m/>
    <m/>
    <m/>
    <m/>
    <n v="2357"/>
    <n v="0"/>
    <n v="2162.83"/>
    <n v="1763.77"/>
    <n v="18.45"/>
    <n v="0"/>
    <m/>
    <m/>
    <m/>
    <m/>
    <m/>
    <m/>
    <m/>
    <m/>
    <m/>
    <m/>
    <m/>
    <m/>
  </r>
  <r>
    <x v="25"/>
    <s v="Chain 5_Depot 5_SKU 12_45597"/>
    <x v="30"/>
    <x v="1"/>
    <x v="4"/>
    <x v="2"/>
    <x v="5"/>
    <x v="18"/>
    <s v="Forecast"/>
    <m/>
    <n v="6492.96"/>
    <n v="6129.5935169370396"/>
    <n v="302.30288706594001"/>
    <n v="6692.96"/>
    <n v="6292.96"/>
    <m/>
    <m/>
    <m/>
    <m/>
    <m/>
    <m/>
    <m/>
    <m/>
    <n v="2791"/>
    <n v="0"/>
    <n v="2223.56"/>
    <n v="1807.45"/>
    <n v="18.71"/>
    <n v="0"/>
    <m/>
    <m/>
    <m/>
    <m/>
    <m/>
    <m/>
    <m/>
    <m/>
    <m/>
    <m/>
    <m/>
    <m/>
  </r>
  <r>
    <x v="32"/>
    <s v="Chain 5_Depot 5_SKU 12_45627"/>
    <x v="30"/>
    <x v="1"/>
    <x v="4"/>
    <x v="2"/>
    <x v="5"/>
    <x v="18"/>
    <s v="Forecast"/>
    <m/>
    <n v="6340"/>
    <n v="6151.3976540977201"/>
    <n v="186.75109671114001"/>
    <n v="6540"/>
    <n v="6140"/>
    <m/>
    <m/>
    <m/>
    <m/>
    <m/>
    <m/>
    <m/>
    <m/>
    <n v="1792"/>
    <n v="0"/>
    <n v="2282.0700000000002"/>
    <n v="1826.1"/>
    <n v="19.98"/>
    <n v="0"/>
    <m/>
    <m/>
    <m/>
    <m/>
    <m/>
    <m/>
    <m/>
    <m/>
    <m/>
    <m/>
    <m/>
    <m/>
  </r>
  <r>
    <x v="0"/>
    <s v="Chain 5_Depot 6_SKU 10_44562"/>
    <x v="31"/>
    <x v="1"/>
    <x v="4"/>
    <x v="7"/>
    <x v="5"/>
    <x v="16"/>
    <s v="History"/>
    <n v="15641.26"/>
    <m/>
    <n v="15602.854328949999"/>
    <n v="503.85854466361701"/>
    <m/>
    <m/>
    <n v="0"/>
    <n v="0"/>
    <n v="0"/>
    <m/>
    <m/>
    <b v="0"/>
    <n v="4482"/>
    <n v="1"/>
    <n v="2008"/>
    <s v="Stable"/>
    <n v="2677.08"/>
    <n v="2282.52"/>
    <n v="14.74"/>
    <n v="0"/>
    <m/>
    <m/>
    <m/>
    <m/>
    <m/>
    <m/>
    <m/>
    <m/>
    <m/>
    <m/>
    <m/>
    <m/>
  </r>
  <r>
    <x v="1"/>
    <s v="Chain 5_Depot 6_SKU 10_44593"/>
    <x v="31"/>
    <x v="1"/>
    <x v="4"/>
    <x v="7"/>
    <x v="5"/>
    <x v="16"/>
    <s v="History"/>
    <n v="15680.7"/>
    <m/>
    <n v="15714.661192478001"/>
    <n v="-837.18759541420798"/>
    <m/>
    <m/>
    <n v="0"/>
    <n v="0"/>
    <n v="0"/>
    <m/>
    <m/>
    <b v="0"/>
    <n v="2779"/>
    <n v="2"/>
    <n v="2192"/>
    <s v="Stable"/>
    <n v="2640.95"/>
    <n v="2206.8000000000002"/>
    <n v="16.440000000000001"/>
    <n v="0"/>
    <m/>
    <m/>
    <m/>
    <m/>
    <m/>
    <m/>
    <m/>
    <m/>
    <m/>
    <m/>
    <m/>
    <m/>
  </r>
  <r>
    <x v="2"/>
    <s v="Chain 5_Depot 6_SKU 10_44621"/>
    <x v="31"/>
    <x v="1"/>
    <x v="4"/>
    <x v="7"/>
    <x v="5"/>
    <x v="16"/>
    <s v="History"/>
    <n v="16125.05"/>
    <m/>
    <n v="15815.648036783499"/>
    <n v="-389.08911901839798"/>
    <m/>
    <m/>
    <n v="0"/>
    <n v="0"/>
    <n v="0"/>
    <m/>
    <m/>
    <b v="0"/>
    <n v="3230"/>
    <n v="1"/>
    <n v="1329"/>
    <s v="Stable"/>
    <n v="2555.15"/>
    <n v="2181.8200000000002"/>
    <n v="14.61"/>
    <n v="0"/>
    <m/>
    <m/>
    <m/>
    <m/>
    <m/>
    <m/>
    <m/>
    <m/>
    <m/>
    <m/>
    <m/>
    <m/>
  </r>
  <r>
    <x v="3"/>
    <s v="Chain 5_Depot 6_SKU 10_44652"/>
    <x v="31"/>
    <x v="1"/>
    <x v="4"/>
    <x v="7"/>
    <x v="5"/>
    <x v="16"/>
    <s v="History"/>
    <n v="15917.64"/>
    <m/>
    <n v="15927.454900290701"/>
    <n v="-119.797933374029"/>
    <m/>
    <m/>
    <n v="0"/>
    <n v="0"/>
    <n v="0"/>
    <m/>
    <m/>
    <b v="0"/>
    <n v="4486"/>
    <n v="0"/>
    <n v="1649"/>
    <s v="Stable"/>
    <n v="2593.86"/>
    <n v="2187.48"/>
    <n v="15.67"/>
    <n v="0"/>
    <m/>
    <m/>
    <m/>
    <m/>
    <m/>
    <m/>
    <m/>
    <m/>
    <m/>
    <m/>
    <m/>
    <m/>
  </r>
  <r>
    <x v="4"/>
    <s v="Chain 5_Depot 6_SKU 10_44682"/>
    <x v="31"/>
    <x v="1"/>
    <x v="4"/>
    <x v="7"/>
    <x v="5"/>
    <x v="16"/>
    <s v="History"/>
    <n v="16563.689999999999"/>
    <m/>
    <n v="16035.655090595101"/>
    <n v="-528.41230326272603"/>
    <m/>
    <m/>
    <n v="0"/>
    <n v="0"/>
    <n v="0"/>
    <m/>
    <m/>
    <b v="0"/>
    <n v="3802"/>
    <n v="1"/>
    <n v="2464"/>
    <s v="Stable"/>
    <n v="2630.3"/>
    <n v="2245.2600000000002"/>
    <n v="14.64"/>
    <n v="0"/>
    <m/>
    <m/>
    <m/>
    <m/>
    <m/>
    <m/>
    <m/>
    <m/>
    <m/>
    <m/>
    <m/>
    <m/>
  </r>
  <r>
    <x v="5"/>
    <s v="Chain 5_Depot 6_SKU 10_44713"/>
    <x v="31"/>
    <x v="1"/>
    <x v="4"/>
    <x v="7"/>
    <x v="5"/>
    <x v="16"/>
    <s v="History"/>
    <n v="16593.3"/>
    <m/>
    <n v="16147.4619538078"/>
    <n v="103.454708685138"/>
    <m/>
    <m/>
    <n v="0"/>
    <n v="0"/>
    <n v="0"/>
    <m/>
    <m/>
    <b v="0"/>
    <n v="4713"/>
    <n v="0"/>
    <n v="1390"/>
    <s v="Stable"/>
    <n v="2630.22"/>
    <n v="2227.63"/>
    <n v="15.31"/>
    <n v="0"/>
    <m/>
    <m/>
    <m/>
    <m/>
    <m/>
    <m/>
    <m/>
    <m/>
    <m/>
    <m/>
    <m/>
    <m/>
  </r>
  <r>
    <x v="6"/>
    <s v="Chain 5_Depot 6_SKU 10_44743"/>
    <x v="31"/>
    <x v="1"/>
    <x v="4"/>
    <x v="7"/>
    <x v="5"/>
    <x v="16"/>
    <s v="History"/>
    <n v="16689.86"/>
    <m/>
    <n v="16255.662143814099"/>
    <n v="2131.1830378663699"/>
    <m/>
    <m/>
    <n v="0"/>
    <n v="0"/>
    <n v="0"/>
    <m/>
    <m/>
    <b v="0"/>
    <n v="3065"/>
    <n v="1"/>
    <n v="2519"/>
    <s v="Stable"/>
    <n v="2732.63"/>
    <n v="2257.11"/>
    <n v="17.399999999999999"/>
    <n v="0"/>
    <m/>
    <m/>
    <m/>
    <m/>
    <m/>
    <m/>
    <m/>
    <m/>
    <m/>
    <m/>
    <m/>
    <m/>
  </r>
  <r>
    <x v="7"/>
    <s v="Chain 5_Depot 6_SKU 10_44774"/>
    <x v="31"/>
    <x v="1"/>
    <x v="4"/>
    <x v="7"/>
    <x v="5"/>
    <x v="16"/>
    <s v="History"/>
    <n v="16749"/>
    <m/>
    <n v="16367.4690070123"/>
    <n v="187.408312968627"/>
    <m/>
    <m/>
    <n v="0"/>
    <n v="0"/>
    <n v="0"/>
    <m/>
    <m/>
    <b v="0"/>
    <n v="2410"/>
    <n v="0"/>
    <n v="1380"/>
    <s v="Stable"/>
    <n v="2564.6999999999998"/>
    <n v="2202.2199999999998"/>
    <n v="14.13"/>
    <n v="0"/>
    <m/>
    <m/>
    <m/>
    <m/>
    <m/>
    <m/>
    <m/>
    <m/>
    <m/>
    <m/>
    <m/>
    <m/>
  </r>
  <r>
    <x v="35"/>
    <s v="Chain 5_Depot 6_SKU 10_44805"/>
    <x v="31"/>
    <x v="1"/>
    <x v="4"/>
    <x v="7"/>
    <x v="5"/>
    <x v="16"/>
    <s v="History"/>
    <n v="16548.66"/>
    <m/>
    <n v="16479.275870269801"/>
    <n v="-3456.6658116860499"/>
    <m/>
    <m/>
    <n v="0"/>
    <n v="0"/>
    <n v="0"/>
    <m/>
    <m/>
    <b v="0"/>
    <n v="4853"/>
    <n v="0"/>
    <n v="2329"/>
    <s v="Stable"/>
    <n v="2659.28"/>
    <n v="2238.36"/>
    <n v="15.83"/>
    <n v="0"/>
    <m/>
    <m/>
    <m/>
    <m/>
    <m/>
    <m/>
    <m/>
    <m/>
    <m/>
    <m/>
    <m/>
    <m/>
  </r>
  <r>
    <x v="33"/>
    <s v="Chain 5_Depot 6_SKU 10_44835"/>
    <x v="31"/>
    <x v="1"/>
    <x v="4"/>
    <x v="7"/>
    <x v="5"/>
    <x v="16"/>
    <s v="History"/>
    <n v="16425.560000000001"/>
    <m/>
    <n v="16587.476060777899"/>
    <n v="-303.33396568996102"/>
    <m/>
    <m/>
    <n v="0"/>
    <n v="0"/>
    <n v="0"/>
    <m/>
    <m/>
    <b v="0"/>
    <n v="4657"/>
    <n v="0"/>
    <n v="1741"/>
    <s v="Stable"/>
    <n v="2708.46"/>
    <n v="2293.9699999999998"/>
    <n v="15.3"/>
    <n v="0"/>
    <m/>
    <m/>
    <m/>
    <m/>
    <m/>
    <m/>
    <m/>
    <m/>
    <m/>
    <m/>
    <m/>
    <m/>
  </r>
  <r>
    <x v="8"/>
    <s v="Chain 5_Depot 6_SKU 10_44866"/>
    <x v="31"/>
    <x v="1"/>
    <x v="4"/>
    <x v="7"/>
    <x v="5"/>
    <x v="16"/>
    <s v="History"/>
    <n v="16146.25"/>
    <m/>
    <n v="16699.2829245793"/>
    <n v="142.82588078626401"/>
    <m/>
    <m/>
    <n v="0"/>
    <n v="0"/>
    <n v="0"/>
    <m/>
    <m/>
    <b v="0"/>
    <n v="2426"/>
    <n v="0"/>
    <n v="1819"/>
    <s v="Stable"/>
    <n v="2747.57"/>
    <n v="2274.33"/>
    <n v="17.22"/>
    <n v="0"/>
    <m/>
    <m/>
    <m/>
    <m/>
    <m/>
    <m/>
    <m/>
    <m/>
    <m/>
    <m/>
    <m/>
    <m/>
  </r>
  <r>
    <x v="9"/>
    <s v="Chain 5_Depot 6_SKU 10_44896"/>
    <x v="31"/>
    <x v="1"/>
    <x v="4"/>
    <x v="7"/>
    <x v="5"/>
    <x v="16"/>
    <s v="History"/>
    <n v="16134.2"/>
    <m/>
    <n v="16807.4831152107"/>
    <n v="-506.18158538292801"/>
    <m/>
    <m/>
    <n v="0"/>
    <n v="0"/>
    <n v="0"/>
    <m/>
    <m/>
    <b v="0"/>
    <n v="3471"/>
    <n v="1"/>
    <n v="1672"/>
    <s v="Stable"/>
    <n v="2613.7800000000002"/>
    <n v="2211.92"/>
    <n v="15.37"/>
    <n v="0"/>
    <m/>
    <m/>
    <m/>
    <m/>
    <m/>
    <m/>
    <m/>
    <m/>
    <m/>
    <m/>
    <m/>
    <m/>
  </r>
  <r>
    <x v="10"/>
    <s v="Chain 5_Depot 6_SKU 10_44927"/>
    <x v="31"/>
    <x v="1"/>
    <x v="4"/>
    <x v="7"/>
    <x v="5"/>
    <x v="16"/>
    <s v="History"/>
    <n v="16514.27"/>
    <m/>
    <n v="16919.2899801944"/>
    <n v="-140.63019630278899"/>
    <m/>
    <m/>
    <n v="0"/>
    <n v="0"/>
    <n v="0"/>
    <m/>
    <m/>
    <b v="0"/>
    <n v="4949"/>
    <n v="0"/>
    <n v="1512"/>
    <s v="Stable"/>
    <n v="2658.57"/>
    <n v="2265.71"/>
    <n v="14.78"/>
    <n v="0"/>
    <m/>
    <m/>
    <m/>
    <m/>
    <m/>
    <m/>
    <m/>
    <m/>
    <m/>
    <m/>
    <m/>
    <m/>
  </r>
  <r>
    <x v="11"/>
    <s v="Chain 5_Depot 6_SKU 10_44958"/>
    <x v="31"/>
    <x v="1"/>
    <x v="4"/>
    <x v="7"/>
    <x v="5"/>
    <x v="16"/>
    <s v="History"/>
    <n v="16623.09"/>
    <m/>
    <n v="17031.096845587999"/>
    <n v="-242.880369924809"/>
    <m/>
    <m/>
    <n v="0"/>
    <n v="0"/>
    <n v="0"/>
    <m/>
    <m/>
    <b v="0"/>
    <n v="2941"/>
    <n v="0"/>
    <n v="2771"/>
    <s v="Stable"/>
    <n v="2662.49"/>
    <n v="2291.21"/>
    <n v="13.94"/>
    <n v="0"/>
    <m/>
    <m/>
    <m/>
    <m/>
    <m/>
    <m/>
    <m/>
    <m/>
    <m/>
    <m/>
    <m/>
    <m/>
  </r>
  <r>
    <x v="12"/>
    <s v="Chain 5_Depot 6_SKU 10_44986"/>
    <x v="31"/>
    <x v="1"/>
    <x v="4"/>
    <x v="7"/>
    <x v="5"/>
    <x v="16"/>
    <s v="History"/>
    <n v="16410.810000000001"/>
    <m/>
    <n v="17132.092711713201"/>
    <n v="-977.56021371981205"/>
    <m/>
    <m/>
    <n v="0"/>
    <n v="0"/>
    <n v="0"/>
    <m/>
    <m/>
    <b v="0"/>
    <n v="3907"/>
    <n v="0"/>
    <n v="1948"/>
    <s v="Stable"/>
    <n v="2643.77"/>
    <n v="2260.9699999999998"/>
    <n v="14.48"/>
    <n v="0"/>
    <m/>
    <m/>
    <m/>
    <m/>
    <m/>
    <m/>
    <m/>
    <m/>
    <m/>
    <m/>
    <m/>
    <m/>
  </r>
  <r>
    <x v="13"/>
    <s v="Chain 5_Depot 6_SKU 10_45017"/>
    <x v="31"/>
    <x v="1"/>
    <x v="4"/>
    <x v="7"/>
    <x v="5"/>
    <x v="16"/>
    <s v="History"/>
    <n v="16650.89"/>
    <m/>
    <n v="17243.9103016607"/>
    <n v="501.92629428986299"/>
    <m/>
    <m/>
    <n v="0"/>
    <n v="0"/>
    <n v="0"/>
    <m/>
    <m/>
    <b v="0"/>
    <n v="2741"/>
    <n v="1"/>
    <n v="2211"/>
    <s v="Stable"/>
    <n v="2629.06"/>
    <n v="2226.13"/>
    <n v="15.33"/>
    <n v="0"/>
    <m/>
    <m/>
    <m/>
    <m/>
    <m/>
    <m/>
    <m/>
    <m/>
    <m/>
    <m/>
    <m/>
    <m/>
  </r>
  <r>
    <x v="14"/>
    <s v="Chain 5_Depot 6_SKU 10_45047"/>
    <x v="31"/>
    <x v="1"/>
    <x v="4"/>
    <x v="7"/>
    <x v="5"/>
    <x v="16"/>
    <s v="History"/>
    <n v="16693.87"/>
    <m/>
    <n v="17352.5575707588"/>
    <n v="-1162.99763729715"/>
    <m/>
    <m/>
    <n v="0"/>
    <n v="0"/>
    <n v="0"/>
    <m/>
    <m/>
    <b v="0"/>
    <n v="3392"/>
    <n v="0"/>
    <n v="1929"/>
    <s v="Stable"/>
    <n v="2655.8"/>
    <n v="2193.04"/>
    <n v="17.420000000000002"/>
    <n v="0"/>
    <m/>
    <m/>
    <m/>
    <m/>
    <m/>
    <m/>
    <m/>
    <m/>
    <m/>
    <m/>
    <m/>
    <m/>
  </r>
  <r>
    <x v="15"/>
    <s v="Chain 5_Depot 6_SKU 10_45078"/>
    <x v="31"/>
    <x v="1"/>
    <x v="4"/>
    <x v="7"/>
    <x v="5"/>
    <x v="16"/>
    <s v="History"/>
    <n v="17375.16"/>
    <m/>
    <n v="17465.125560007298"/>
    <n v="739.56017124692801"/>
    <m/>
    <m/>
    <n v="0"/>
    <n v="0"/>
    <n v="0"/>
    <m/>
    <m/>
    <b v="0"/>
    <n v="3243"/>
    <n v="0"/>
    <n v="2539"/>
    <s v="Stable"/>
    <n v="2507.39"/>
    <n v="2112.5300000000002"/>
    <n v="15.75"/>
    <n v="0"/>
    <m/>
    <m/>
    <m/>
    <m/>
    <m/>
    <m/>
    <m/>
    <m/>
    <m/>
    <m/>
    <m/>
    <m/>
  </r>
  <r>
    <x v="16"/>
    <s v="Chain 5_Depot 6_SKU 10_45108"/>
    <x v="31"/>
    <x v="1"/>
    <x v="4"/>
    <x v="7"/>
    <x v="5"/>
    <x v="16"/>
    <s v="History"/>
    <n v="17550.89"/>
    <m/>
    <n v="17574.581592349499"/>
    <n v="1459.1055801472501"/>
    <m/>
    <m/>
    <n v="0"/>
    <n v="0"/>
    <n v="0"/>
    <m/>
    <m/>
    <b v="0"/>
    <n v="3600"/>
    <n v="0"/>
    <n v="1912"/>
    <s v="Stable"/>
    <n v="2668.1"/>
    <n v="2228.6"/>
    <n v="16.47"/>
    <n v="0"/>
    <m/>
    <m/>
    <m/>
    <m/>
    <m/>
    <m/>
    <m/>
    <m/>
    <m/>
    <m/>
    <m/>
    <m/>
  </r>
  <r>
    <x v="26"/>
    <s v="Chain 5_Depot 6_SKU 10_45139"/>
    <x v="31"/>
    <x v="1"/>
    <x v="4"/>
    <x v="7"/>
    <x v="5"/>
    <x v="16"/>
    <s v="History"/>
    <n v="18071.86"/>
    <m/>
    <n v="17688.3865858178"/>
    <n v="908.36676241376199"/>
    <m/>
    <m/>
    <n v="0"/>
    <n v="0"/>
    <n v="0"/>
    <m/>
    <m/>
    <b v="0"/>
    <n v="3255"/>
    <n v="0"/>
    <n v="1643"/>
    <s v="Stable"/>
    <n v="2640.31"/>
    <n v="2227.23"/>
    <n v="15.65"/>
    <n v="0"/>
    <m/>
    <m/>
    <m/>
    <m/>
    <m/>
    <m/>
    <m/>
    <m/>
    <m/>
    <m/>
    <m/>
    <m/>
  </r>
  <r>
    <x v="27"/>
    <s v="Chain 5_Depot 6_SKU 10_45170"/>
    <x v="31"/>
    <x v="1"/>
    <x v="4"/>
    <x v="7"/>
    <x v="5"/>
    <x v="16"/>
    <s v="History"/>
    <n v="8927.98"/>
    <m/>
    <n v="17803.091997964199"/>
    <n v="-4125.2049233101698"/>
    <m/>
    <m/>
    <n v="0"/>
    <n v="0"/>
    <n v="1"/>
    <m/>
    <m/>
    <b v="0"/>
    <n v="2327"/>
    <n v="0"/>
    <n v="1426"/>
    <s v="Stable"/>
    <n v="2622.88"/>
    <n v="2174.46"/>
    <n v="17.100000000000001"/>
    <n v="0"/>
    <m/>
    <m/>
    <m/>
    <m/>
    <m/>
    <m/>
    <m/>
    <m/>
    <m/>
    <m/>
    <m/>
    <m/>
  </r>
  <r>
    <x v="34"/>
    <s v="Chain 5_Depot 6_SKU 10_45200"/>
    <x v="31"/>
    <x v="1"/>
    <x v="4"/>
    <x v="7"/>
    <x v="5"/>
    <x v="16"/>
    <s v="History"/>
    <n v="18024.37"/>
    <m/>
    <n v="17914.162990665802"/>
    <n v="328.07438902053502"/>
    <m/>
    <m/>
    <n v="0"/>
    <n v="0"/>
    <n v="0"/>
    <m/>
    <m/>
    <b v="0"/>
    <n v="3466"/>
    <n v="0"/>
    <n v="1501"/>
    <s v="Stable"/>
    <n v="2736.34"/>
    <n v="2296.06"/>
    <n v="16.09"/>
    <n v="0"/>
    <m/>
    <m/>
    <m/>
    <m/>
    <m/>
    <m/>
    <m/>
    <m/>
    <m/>
    <m/>
    <m/>
    <m/>
  </r>
  <r>
    <x v="28"/>
    <s v="Chain 5_Depot 6_SKU 10_45231"/>
    <x v="31"/>
    <x v="1"/>
    <x v="4"/>
    <x v="7"/>
    <x v="5"/>
    <x v="16"/>
    <s v="History"/>
    <n v="18268.87"/>
    <m/>
    <n v="18029.5847309077"/>
    <n v="-498.70251315285998"/>
    <m/>
    <m/>
    <n v="0"/>
    <n v="0"/>
    <n v="0"/>
    <m/>
    <m/>
    <b v="0"/>
    <n v="4099"/>
    <n v="0"/>
    <n v="1729"/>
    <s v="Stable"/>
    <n v="2600.25"/>
    <n v="2173.88"/>
    <n v="16.399999999999999"/>
    <n v="0"/>
    <m/>
    <m/>
    <m/>
    <m/>
    <m/>
    <m/>
    <m/>
    <m/>
    <m/>
    <m/>
    <m/>
    <m/>
  </r>
  <r>
    <x v="29"/>
    <s v="Chain 5_Depot 6_SKU 10_45261"/>
    <x v="31"/>
    <x v="1"/>
    <x v="4"/>
    <x v="7"/>
    <x v="5"/>
    <x v="16"/>
    <s v="History"/>
    <n v="18410.79"/>
    <m/>
    <n v="18141.708026771699"/>
    <n v="138.48313819862901"/>
    <m/>
    <m/>
    <n v="0"/>
    <n v="0"/>
    <n v="0"/>
    <m/>
    <m/>
    <b v="0"/>
    <n v="3966"/>
    <n v="1"/>
    <n v="2283"/>
    <s v="Stable"/>
    <n v="2613.85"/>
    <n v="2184.44"/>
    <n v="16.43"/>
    <n v="0"/>
    <m/>
    <m/>
    <m/>
    <m/>
    <m/>
    <m/>
    <m/>
    <m/>
    <m/>
    <m/>
    <m/>
    <m/>
  </r>
  <r>
    <x v="17"/>
    <s v="Chain 5_Depot 6_SKU 10_45292"/>
    <x v="31"/>
    <x v="1"/>
    <x v="4"/>
    <x v="7"/>
    <x v="5"/>
    <x v="16"/>
    <s v="History"/>
    <n v="18238.63"/>
    <m/>
    <n v="18257.7083754382"/>
    <n v="-785.54304503590197"/>
    <m/>
    <m/>
    <n v="0"/>
    <n v="0"/>
    <n v="0"/>
    <m/>
    <m/>
    <b v="1"/>
    <n v="2375"/>
    <n v="1"/>
    <n v="2536"/>
    <s v="Stable"/>
    <n v="2733.58"/>
    <n v="2284.77"/>
    <n v="16.420000000000002"/>
    <n v="0"/>
    <m/>
    <m/>
    <m/>
    <m/>
    <m/>
    <m/>
    <m/>
    <m/>
    <m/>
    <m/>
    <m/>
    <m/>
  </r>
  <r>
    <x v="18"/>
    <s v="Chain 5_Depot 6_SKU 10_45323"/>
    <x v="31"/>
    <x v="1"/>
    <x v="4"/>
    <x v="7"/>
    <x v="5"/>
    <x v="16"/>
    <s v="History"/>
    <n v="18061.36"/>
    <m/>
    <n v="18373.864028441902"/>
    <n v="352.90497981622298"/>
    <m/>
    <m/>
    <n v="0"/>
    <n v="0"/>
    <n v="0"/>
    <m/>
    <m/>
    <b v="0"/>
    <n v="2262"/>
    <n v="0"/>
    <n v="1070"/>
    <s v="Stable"/>
    <n v="2592.4"/>
    <n v="2177.1999999999998"/>
    <n v="16.02"/>
    <n v="0"/>
    <m/>
    <m/>
    <m/>
    <m/>
    <m/>
    <m/>
    <m/>
    <m/>
    <m/>
    <m/>
    <m/>
    <m/>
  </r>
  <r>
    <x v="19"/>
    <s v="Chain 5_Depot 6_SKU 10_45352"/>
    <x v="31"/>
    <x v="1"/>
    <x v="4"/>
    <x v="7"/>
    <x v="5"/>
    <x v="16"/>
    <s v="History"/>
    <n v="18338.75"/>
    <m/>
    <n v="18482.525768675201"/>
    <n v="791.51515608167495"/>
    <m/>
    <m/>
    <n v="0"/>
    <n v="0"/>
    <n v="0"/>
    <m/>
    <m/>
    <b v="0"/>
    <n v="2266"/>
    <n v="2"/>
    <n v="1477"/>
    <s v="Stable"/>
    <n v="2606.4899999999998"/>
    <n v="2200.04"/>
    <n v="15.59"/>
    <n v="0"/>
    <m/>
    <m/>
    <m/>
    <m/>
    <m/>
    <m/>
    <m/>
    <m/>
    <m/>
    <m/>
    <m/>
    <m/>
  </r>
  <r>
    <x v="20"/>
    <s v="Chain 5_Depot 6_SKU 10_45383"/>
    <x v="31"/>
    <x v="1"/>
    <x v="4"/>
    <x v="7"/>
    <x v="5"/>
    <x v="16"/>
    <s v="History"/>
    <n v="18227.5"/>
    <m/>
    <n v="18598.681422027999"/>
    <n v="-1362.8802496620699"/>
    <m/>
    <m/>
    <n v="0"/>
    <n v="0"/>
    <n v="0"/>
    <m/>
    <m/>
    <b v="0"/>
    <n v="4406"/>
    <n v="0"/>
    <n v="2201"/>
    <s v="Stable"/>
    <n v="2626.65"/>
    <n v="2143.91"/>
    <n v="18.38"/>
    <n v="0"/>
    <m/>
    <m/>
    <m/>
    <m/>
    <m/>
    <m/>
    <m/>
    <m/>
    <m/>
    <m/>
    <m/>
    <m/>
  </r>
  <r>
    <x v="21"/>
    <s v="Chain 5_Depot 6_SKU 10_45413"/>
    <x v="31"/>
    <x v="1"/>
    <x v="4"/>
    <x v="7"/>
    <x v="5"/>
    <x v="16"/>
    <s v="History"/>
    <n v="17837.78"/>
    <m/>
    <n v="18711.090118821099"/>
    <n v="742.52194053621599"/>
    <m/>
    <m/>
    <n v="0"/>
    <n v="0"/>
    <n v="0"/>
    <m/>
    <m/>
    <b v="0"/>
    <n v="3944"/>
    <n v="0"/>
    <n v="1456"/>
    <s v="Stable"/>
    <n v="2676.04"/>
    <n v="2187.4899999999998"/>
    <n v="18.260000000000002"/>
    <n v="0"/>
    <m/>
    <m/>
    <m/>
    <m/>
    <m/>
    <m/>
    <m/>
    <m/>
    <m/>
    <m/>
    <m/>
    <m/>
  </r>
  <r>
    <x v="22"/>
    <s v="Chain 5_Depot 6_SKU 10_45444"/>
    <x v="31"/>
    <x v="1"/>
    <x v="4"/>
    <x v="7"/>
    <x v="5"/>
    <x v="16"/>
    <s v="History"/>
    <n v="18267.37"/>
    <m/>
    <n v="18827.245772173901"/>
    <n v="-1167.17293060271"/>
    <m/>
    <m/>
    <n v="0"/>
    <n v="0"/>
    <n v="0"/>
    <m/>
    <m/>
    <b v="0"/>
    <n v="3893"/>
    <n v="0"/>
    <n v="1188"/>
    <s v="Stable"/>
    <n v="2644.39"/>
    <n v="2215.5"/>
    <n v="16.22"/>
    <n v="0"/>
    <m/>
    <m/>
    <m/>
    <m/>
    <m/>
    <m/>
    <m/>
    <m/>
    <m/>
    <m/>
    <m/>
    <m/>
  </r>
  <r>
    <x v="30"/>
    <s v="Chain 5_Depot 6_SKU 10_45474"/>
    <x v="31"/>
    <x v="1"/>
    <x v="4"/>
    <x v="7"/>
    <x v="5"/>
    <x v="16"/>
    <s v="History"/>
    <n v="25542.23"/>
    <n v="18467.39"/>
    <n v="18939.654468967001"/>
    <n v="3475.9501616536299"/>
    <n v="18667.39"/>
    <n v="18267.39"/>
    <n v="0"/>
    <n v="0"/>
    <n v="1"/>
    <m/>
    <m/>
    <b v="0"/>
    <n v="3901"/>
    <n v="0"/>
    <n v="1290"/>
    <s v="Stable"/>
    <n v="2569.37"/>
    <n v="1541.62"/>
    <n v="40"/>
    <n v="1"/>
    <m/>
    <m/>
    <m/>
    <m/>
    <m/>
    <m/>
    <m/>
    <m/>
    <m/>
    <m/>
    <m/>
    <m/>
  </r>
  <r>
    <x v="23"/>
    <s v="Chain 5_Depot 6_SKU 10_45505"/>
    <x v="31"/>
    <x v="1"/>
    <x v="4"/>
    <x v="7"/>
    <x v="5"/>
    <x v="16"/>
    <s v="History"/>
    <n v="18142.23"/>
    <n v="18040.759999999998"/>
    <n v="19055.810122319799"/>
    <n v="-1254.8120292619899"/>
    <n v="18240.759999999998"/>
    <n v="17840.759999999998"/>
    <n v="0"/>
    <n v="0"/>
    <n v="0"/>
    <m/>
    <m/>
    <b v="0"/>
    <n v="4699"/>
    <n v="0"/>
    <n v="2543"/>
    <s v="Stable"/>
    <n v="2607.39"/>
    <n v="2198.27"/>
    <n v="15.69"/>
    <n v="0"/>
    <m/>
    <m/>
    <m/>
    <m/>
    <m/>
    <m/>
    <m/>
    <m/>
    <m/>
    <m/>
    <m/>
    <m/>
  </r>
  <r>
    <x v="24"/>
    <s v="Chain 5_Depot 6_SKU 10_45536"/>
    <x v="31"/>
    <x v="1"/>
    <x v="4"/>
    <x v="7"/>
    <x v="5"/>
    <x v="16"/>
    <s v="History"/>
    <n v="18285.11"/>
    <n v="18248.97"/>
    <n v="19171.965775672601"/>
    <n v="-2119.75206164062"/>
    <n v="18448.97"/>
    <n v="18048.97"/>
    <n v="0"/>
    <n v="0"/>
    <n v="0"/>
    <m/>
    <m/>
    <b v="0"/>
    <n v="3652"/>
    <n v="0"/>
    <n v="2788"/>
    <s v="Stable"/>
    <n v="2603.63"/>
    <n v="2171.23"/>
    <n v="16.61"/>
    <n v="0"/>
    <m/>
    <m/>
    <m/>
    <m/>
    <m/>
    <m/>
    <m/>
    <m/>
    <m/>
    <m/>
    <m/>
    <m/>
  </r>
  <r>
    <x v="31"/>
    <s v="Chain 5_Depot 6_SKU 10_45566"/>
    <x v="31"/>
    <x v="1"/>
    <x v="4"/>
    <x v="7"/>
    <x v="5"/>
    <x v="16"/>
    <s v="Forecast"/>
    <m/>
    <n v="18631.62"/>
    <n v="19284.374472465701"/>
    <n v="-1567.7678258938099"/>
    <n v="18831.62"/>
    <n v="18431.62"/>
    <m/>
    <m/>
    <m/>
    <m/>
    <m/>
    <m/>
    <m/>
    <m/>
    <n v="1919"/>
    <n v="0"/>
    <n v="2630.14"/>
    <n v="2212.7199999999998"/>
    <n v="15.87"/>
    <n v="0"/>
    <m/>
    <m/>
    <m/>
    <m/>
    <m/>
    <m/>
    <m/>
    <m/>
    <m/>
    <m/>
    <m/>
    <m/>
  </r>
  <r>
    <x v="25"/>
    <s v="Chain 5_Depot 6_SKU 10_45597"/>
    <x v="31"/>
    <x v="1"/>
    <x v="4"/>
    <x v="7"/>
    <x v="5"/>
    <x v="16"/>
    <s v="Forecast"/>
    <m/>
    <n v="18553.349999999999"/>
    <n v="19400.530125818499"/>
    <n v="1423.81031495105"/>
    <n v="18753.349999999999"/>
    <n v="18353.349999999999"/>
    <m/>
    <m/>
    <m/>
    <m/>
    <m/>
    <m/>
    <m/>
    <m/>
    <n v="1291"/>
    <n v="0"/>
    <n v="2655.29"/>
    <n v="2236.9899999999998"/>
    <n v="15.75"/>
    <n v="0"/>
    <m/>
    <m/>
    <m/>
    <m/>
    <m/>
    <m/>
    <m/>
    <m/>
    <m/>
    <m/>
    <m/>
    <m/>
  </r>
  <r>
    <x v="32"/>
    <s v="Chain 5_Depot 6_SKU 10_45627"/>
    <x v="31"/>
    <x v="1"/>
    <x v="4"/>
    <x v="7"/>
    <x v="5"/>
    <x v="16"/>
    <s v="Forecast"/>
    <m/>
    <n v="18913.189999999999"/>
    <n v="19512.938822611501"/>
    <n v="-1795.85316345755"/>
    <n v="19113.189999999999"/>
    <n v="18713.189999999999"/>
    <m/>
    <m/>
    <m/>
    <m/>
    <m/>
    <m/>
    <m/>
    <m/>
    <n v="2969"/>
    <n v="0"/>
    <n v="2654.91"/>
    <n v="2213.81"/>
    <n v="16.61"/>
    <n v="0"/>
    <m/>
    <m/>
    <m/>
    <m/>
    <m/>
    <m/>
    <m/>
    <m/>
    <m/>
    <m/>
    <m/>
    <m/>
  </r>
  <r>
    <x v="0"/>
    <s v="Chain 5_Depot 6_SKU 11_44562"/>
    <x v="32"/>
    <x v="1"/>
    <x v="4"/>
    <x v="7"/>
    <x v="5"/>
    <x v="7"/>
    <s v="History"/>
    <n v="6137.67"/>
    <m/>
    <n v="7149.5205039999901"/>
    <n v="-58.222852358986799"/>
    <m/>
    <m/>
    <n v="0"/>
    <n v="0"/>
    <n v="0"/>
    <m/>
    <m/>
    <b v="0"/>
    <n v="2681"/>
    <n v="0"/>
    <n v="1014"/>
    <s v="Weak"/>
    <n v="2414.36"/>
    <n v="2170.48"/>
    <n v="10.1"/>
    <n v="0"/>
    <m/>
    <m/>
    <m/>
    <m/>
    <m/>
    <m/>
    <m/>
    <m/>
    <m/>
    <m/>
    <m/>
    <m/>
  </r>
  <r>
    <x v="4"/>
    <s v="Chain 5_Depot 6_SKU 11_44682"/>
    <x v="32"/>
    <x v="1"/>
    <x v="4"/>
    <x v="7"/>
    <x v="5"/>
    <x v="7"/>
    <s v="History"/>
    <n v="6377.22"/>
    <m/>
    <n v="7064.5662419194996"/>
    <n v="-450.78637594109603"/>
    <m/>
    <m/>
    <n v="0"/>
    <n v="0"/>
    <n v="0"/>
    <m/>
    <m/>
    <b v="0"/>
    <n v="4387"/>
    <n v="0"/>
    <n v="2544"/>
    <s v="Weak"/>
    <n v="2434.77"/>
    <n v="2189.4899999999998"/>
    <n v="10.07"/>
    <n v="0"/>
    <m/>
    <m/>
    <m/>
    <m/>
    <m/>
    <m/>
    <m/>
    <m/>
    <m/>
    <m/>
    <m/>
    <m/>
  </r>
  <r>
    <x v="5"/>
    <s v="Chain 5_Depot 6_SKU 11_44713"/>
    <x v="32"/>
    <x v="1"/>
    <x v="4"/>
    <x v="7"/>
    <x v="5"/>
    <x v="7"/>
    <s v="History"/>
    <n v="6713.1"/>
    <m/>
    <n v="7042.6197244577697"/>
    <n v="-1210.33092883161"/>
    <m/>
    <m/>
    <n v="0"/>
    <n v="0"/>
    <n v="0"/>
    <m/>
    <m/>
    <b v="0"/>
    <n v="4394"/>
    <n v="0"/>
    <n v="1620"/>
    <s v="Weak"/>
    <n v="2405.09"/>
    <n v="2140.1799999999998"/>
    <n v="11.01"/>
    <n v="0"/>
    <m/>
    <m/>
    <m/>
    <m/>
    <m/>
    <m/>
    <m/>
    <m/>
    <m/>
    <m/>
    <m/>
    <m/>
  </r>
  <r>
    <x v="6"/>
    <s v="Chain 5_Depot 6_SKU 11_44743"/>
    <x v="32"/>
    <x v="1"/>
    <x v="4"/>
    <x v="7"/>
    <x v="5"/>
    <x v="7"/>
    <s v="History"/>
    <n v="6589.04"/>
    <m/>
    <n v="7021.3811595429597"/>
    <n v="-170.65118181643501"/>
    <m/>
    <m/>
    <n v="0"/>
    <n v="0"/>
    <n v="0"/>
    <m/>
    <m/>
    <b v="0"/>
    <n v="4693"/>
    <n v="0"/>
    <n v="2160"/>
    <s v="Weak"/>
    <n v="2457.7600000000002"/>
    <n v="2277.4899999999998"/>
    <n v="7.33"/>
    <n v="0"/>
    <m/>
    <m/>
    <m/>
    <m/>
    <m/>
    <m/>
    <m/>
    <m/>
    <m/>
    <m/>
    <m/>
    <m/>
  </r>
  <r>
    <x v="8"/>
    <s v="Chain 5_Depot 6_SKU 11_44866"/>
    <x v="32"/>
    <x v="1"/>
    <x v="4"/>
    <x v="7"/>
    <x v="5"/>
    <x v="7"/>
    <s v="History"/>
    <n v="6601.08"/>
    <m/>
    <n v="6934.3030492078497"/>
    <n v="515.56046805185201"/>
    <m/>
    <m/>
    <n v="0"/>
    <n v="0"/>
    <n v="0"/>
    <m/>
    <m/>
    <b v="0"/>
    <n v="4156"/>
    <n v="1"/>
    <n v="1271"/>
    <s v="Weak"/>
    <n v="2423.87"/>
    <n v="2164.87"/>
    <n v="10.69"/>
    <n v="0"/>
    <m/>
    <m/>
    <m/>
    <m/>
    <m/>
    <m/>
    <m/>
    <m/>
    <m/>
    <m/>
    <m/>
    <m/>
  </r>
  <r>
    <x v="9"/>
    <s v="Chain 5_Depot 6_SKU 11_44896"/>
    <x v="32"/>
    <x v="1"/>
    <x v="4"/>
    <x v="7"/>
    <x v="5"/>
    <x v="7"/>
    <s v="History"/>
    <n v="6587.38"/>
    <m/>
    <n v="6913.0644869255002"/>
    <n v="714.80354611632902"/>
    <m/>
    <m/>
    <n v="0"/>
    <n v="0"/>
    <n v="0"/>
    <m/>
    <m/>
    <b v="0"/>
    <n v="4580"/>
    <n v="0"/>
    <n v="1142"/>
    <s v="Weak"/>
    <n v="2397.0100000000002"/>
    <n v="2172.35"/>
    <n v="9.3699999999999992"/>
    <n v="0"/>
    <m/>
    <m/>
    <m/>
    <m/>
    <m/>
    <m/>
    <m/>
    <m/>
    <m/>
    <m/>
    <m/>
    <m/>
  </r>
  <r>
    <x v="10"/>
    <s v="Chain 5_Depot 6_SKU 11_44927"/>
    <x v="32"/>
    <x v="1"/>
    <x v="4"/>
    <x v="7"/>
    <x v="5"/>
    <x v="7"/>
    <s v="History"/>
    <n v="6551.39"/>
    <m/>
    <n v="6891.1179729289197"/>
    <n v="11.423601260098399"/>
    <m/>
    <m/>
    <n v="0"/>
    <n v="0"/>
    <n v="0"/>
    <m/>
    <m/>
    <b v="1"/>
    <n v="2295"/>
    <n v="1"/>
    <n v="2634"/>
    <s v="Weak"/>
    <n v="2477.3000000000002"/>
    <n v="2227.02"/>
    <n v="10.1"/>
    <n v="0"/>
    <m/>
    <m/>
    <m/>
    <m/>
    <m/>
    <m/>
    <m/>
    <m/>
    <m/>
    <m/>
    <m/>
    <m/>
  </r>
  <r>
    <x v="11"/>
    <s v="Chain 5_Depot 6_SKU 11_44958"/>
    <x v="32"/>
    <x v="1"/>
    <x v="4"/>
    <x v="7"/>
    <x v="5"/>
    <x v="7"/>
    <s v="History"/>
    <n v="6539.37"/>
    <m/>
    <n v="6869.1714584302599"/>
    <n v="491.55858324912202"/>
    <m/>
    <m/>
    <n v="0"/>
    <n v="0"/>
    <n v="0"/>
    <m/>
    <m/>
    <b v="0"/>
    <n v="4159"/>
    <n v="0"/>
    <n v="2912"/>
    <s v="Weak"/>
    <n v="2419.87"/>
    <n v="2161.94"/>
    <n v="10.66"/>
    <n v="0"/>
    <m/>
    <m/>
    <m/>
    <m/>
    <m/>
    <m/>
    <m/>
    <m/>
    <m/>
    <m/>
    <m/>
    <m/>
  </r>
  <r>
    <x v="12"/>
    <s v="Chain 5_Depot 6_SKU 11_44986"/>
    <x v="32"/>
    <x v="1"/>
    <x v="4"/>
    <x v="7"/>
    <x v="5"/>
    <x v="7"/>
    <s v="History"/>
    <n v="6391"/>
    <m/>
    <n v="6849.3487999571698"/>
    <n v="-1747.4142895187299"/>
    <m/>
    <m/>
    <n v="0"/>
    <n v="0"/>
    <n v="0"/>
    <m/>
    <m/>
    <b v="0"/>
    <n v="3612"/>
    <n v="1"/>
    <n v="2843"/>
    <s v="Weak"/>
    <n v="2425.41"/>
    <n v="2158.41"/>
    <n v="11.01"/>
    <n v="0"/>
    <m/>
    <m/>
    <m/>
    <m/>
    <m/>
    <m/>
    <m/>
    <m/>
    <m/>
    <m/>
    <m/>
    <m/>
  </r>
  <r>
    <x v="13"/>
    <s v="Chain 5_Depot 6_SKU 11_45017"/>
    <x v="32"/>
    <x v="1"/>
    <x v="4"/>
    <x v="7"/>
    <x v="5"/>
    <x v="7"/>
    <s v="History"/>
    <n v="6492.35"/>
    <m/>
    <n v="6827.4022847476599"/>
    <n v="93.795999010057201"/>
    <m/>
    <m/>
    <n v="0"/>
    <n v="0"/>
    <n v="0"/>
    <m/>
    <m/>
    <b v="0"/>
    <n v="4390"/>
    <n v="0"/>
    <n v="2092"/>
    <s v="Weak"/>
    <n v="2425.4"/>
    <n v="2157.5300000000002"/>
    <n v="11.04"/>
    <n v="0"/>
    <m/>
    <m/>
    <m/>
    <m/>
    <m/>
    <m/>
    <m/>
    <m/>
    <m/>
    <m/>
    <m/>
    <m/>
  </r>
  <r>
    <x v="14"/>
    <s v="Chain 5_Depot 6_SKU 11_45047"/>
    <x v="32"/>
    <x v="1"/>
    <x v="4"/>
    <x v="7"/>
    <x v="5"/>
    <x v="7"/>
    <s v="History"/>
    <n v="6599.15"/>
    <m/>
    <n v="6806.16372184386"/>
    <n v="-357.16462324994399"/>
    <m/>
    <m/>
    <n v="0"/>
    <n v="0"/>
    <n v="0"/>
    <m/>
    <m/>
    <b v="0"/>
    <n v="4148"/>
    <n v="1"/>
    <n v="1246"/>
    <s v="Weak"/>
    <n v="2413.92"/>
    <n v="2156.88"/>
    <n v="10.65"/>
    <n v="0"/>
    <m/>
    <m/>
    <m/>
    <m/>
    <m/>
    <m/>
    <m/>
    <m/>
    <m/>
    <m/>
    <m/>
    <m/>
  </r>
  <r>
    <x v="15"/>
    <s v="Chain 5_Depot 6_SKU 11_45078"/>
    <x v="32"/>
    <x v="1"/>
    <x v="4"/>
    <x v="7"/>
    <x v="5"/>
    <x v="7"/>
    <s v="History"/>
    <n v="7123.75"/>
    <m/>
    <n v="6784.2172052003598"/>
    <n v="-1293.5308110194201"/>
    <m/>
    <m/>
    <n v="0"/>
    <n v="0"/>
    <n v="0"/>
    <m/>
    <m/>
    <b v="0"/>
    <n v="4676"/>
    <n v="1"/>
    <n v="2284"/>
    <s v="Weak"/>
    <n v="2426.27"/>
    <n v="2173.21"/>
    <n v="10.43"/>
    <n v="0"/>
    <m/>
    <m/>
    <m/>
    <m/>
    <m/>
    <m/>
    <m/>
    <m/>
    <m/>
    <m/>
    <m/>
    <m/>
  </r>
  <r>
    <x v="16"/>
    <s v="Chain 5_Depot 6_SKU 11_45108"/>
    <x v="32"/>
    <x v="1"/>
    <x v="4"/>
    <x v="7"/>
    <x v="5"/>
    <x v="7"/>
    <s v="History"/>
    <n v="7234.53"/>
    <m/>
    <n v="6762.9786413330403"/>
    <n v="-100.606274557623"/>
    <m/>
    <m/>
    <n v="0"/>
    <n v="0"/>
    <n v="0"/>
    <m/>
    <m/>
    <b v="0"/>
    <n v="3627"/>
    <n v="0"/>
    <n v="1787"/>
    <s v="Weak"/>
    <n v="2530.31"/>
    <n v="2249.7600000000002"/>
    <n v="11.09"/>
    <n v="0"/>
    <m/>
    <m/>
    <m/>
    <m/>
    <m/>
    <m/>
    <m/>
    <m/>
    <m/>
    <m/>
    <m/>
    <m/>
  </r>
  <r>
    <x v="26"/>
    <s v="Chain 5_Depot 6_SKU 11_45139"/>
    <x v="32"/>
    <x v="1"/>
    <x v="4"/>
    <x v="7"/>
    <x v="5"/>
    <x v="7"/>
    <s v="History"/>
    <n v="7414.3"/>
    <m/>
    <n v="6741.0321262092202"/>
    <n v="66.882961581575103"/>
    <m/>
    <m/>
    <n v="0"/>
    <n v="0"/>
    <n v="0"/>
    <m/>
    <m/>
    <b v="0"/>
    <n v="2027"/>
    <n v="0"/>
    <n v="1078"/>
    <s v="Weak"/>
    <n v="2381.61"/>
    <n v="2134.7600000000002"/>
    <n v="10.36"/>
    <n v="0"/>
    <m/>
    <m/>
    <m/>
    <m/>
    <m/>
    <m/>
    <m/>
    <m/>
    <m/>
    <m/>
    <m/>
    <m/>
  </r>
  <r>
    <x v="27"/>
    <s v="Chain 5_Depot 6_SKU 11_45170"/>
    <x v="32"/>
    <x v="1"/>
    <x v="4"/>
    <x v="7"/>
    <x v="5"/>
    <x v="7"/>
    <s v="History"/>
    <n v="7602.83"/>
    <m/>
    <n v="6719.0856117805197"/>
    <n v="494.01487919771898"/>
    <m/>
    <m/>
    <n v="0"/>
    <n v="0"/>
    <n v="0"/>
    <m/>
    <m/>
    <b v="0"/>
    <n v="4984"/>
    <n v="0"/>
    <n v="2681"/>
    <s v="Weak"/>
    <n v="2393.27"/>
    <n v="2121.64"/>
    <n v="11.35"/>
    <n v="0"/>
    <m/>
    <m/>
    <m/>
    <m/>
    <m/>
    <m/>
    <m/>
    <m/>
    <m/>
    <m/>
    <m/>
    <m/>
  </r>
  <r>
    <x v="34"/>
    <s v="Chain 5_Depot 6_SKU 11_45200"/>
    <x v="32"/>
    <x v="1"/>
    <x v="4"/>
    <x v="7"/>
    <x v="5"/>
    <x v="7"/>
    <s v="History"/>
    <n v="8136.12"/>
    <m/>
    <n v="6697.8470485947601"/>
    <n v="1448.86065274014"/>
    <m/>
    <m/>
    <n v="0"/>
    <n v="0"/>
    <n v="0"/>
    <m/>
    <m/>
    <b v="0"/>
    <n v="3985"/>
    <n v="0"/>
    <n v="1622"/>
    <s v="Weak"/>
    <n v="2503.2199999999998"/>
    <n v="1501.93"/>
    <n v="40"/>
    <n v="1"/>
    <m/>
    <m/>
    <m/>
    <m/>
    <m/>
    <m/>
    <m/>
    <m/>
    <m/>
    <m/>
    <m/>
    <m/>
  </r>
  <r>
    <x v="28"/>
    <s v="Chain 5_Depot 6_SKU 11_45231"/>
    <x v="32"/>
    <x v="1"/>
    <x v="4"/>
    <x v="7"/>
    <x v="5"/>
    <x v="7"/>
    <s v="History"/>
    <n v="8125.08"/>
    <m/>
    <n v="6675.9005333863897"/>
    <n v="592.96565812339395"/>
    <m/>
    <m/>
    <n v="0"/>
    <n v="0"/>
    <n v="0"/>
    <m/>
    <m/>
    <b v="0"/>
    <n v="3560"/>
    <n v="0"/>
    <n v="2793"/>
    <s v="Weak"/>
    <n v="2415.2600000000002"/>
    <n v="2190.44"/>
    <n v="9.31"/>
    <n v="0"/>
    <m/>
    <m/>
    <m/>
    <m/>
    <m/>
    <m/>
    <m/>
    <m/>
    <m/>
    <m/>
    <m/>
    <m/>
  </r>
  <r>
    <x v="29"/>
    <s v="Chain 5_Depot 6_SKU 11_45261"/>
    <x v="32"/>
    <x v="1"/>
    <x v="4"/>
    <x v="7"/>
    <x v="5"/>
    <x v="7"/>
    <s v="History"/>
    <n v="8325.4"/>
    <m/>
    <n v="6654.6618921090803"/>
    <n v="644.59056808707203"/>
    <m/>
    <m/>
    <n v="0"/>
    <n v="0"/>
    <n v="0"/>
    <m/>
    <m/>
    <b v="1"/>
    <n v="2057"/>
    <n v="0"/>
    <n v="2628"/>
    <s v="Weak"/>
    <n v="2411.4699999999998"/>
    <n v="2147.17"/>
    <n v="10.96"/>
    <n v="0"/>
    <m/>
    <m/>
    <m/>
    <m/>
    <m/>
    <m/>
    <m/>
    <m/>
    <m/>
    <m/>
    <m/>
    <m/>
  </r>
  <r>
    <x v="17"/>
    <s v="Chain 5_Depot 6_SKU 11_45292"/>
    <x v="32"/>
    <x v="1"/>
    <x v="4"/>
    <x v="7"/>
    <x v="5"/>
    <x v="7"/>
    <s v="History"/>
    <n v="8031.26"/>
    <m/>
    <n v="6632.7152939699599"/>
    <n v="81.356511562949706"/>
    <m/>
    <m/>
    <n v="0"/>
    <n v="0"/>
    <n v="0"/>
    <m/>
    <m/>
    <b v="0"/>
    <n v="3521"/>
    <n v="0"/>
    <n v="1524"/>
    <s v="Weak"/>
    <n v="2485.7399999999998"/>
    <n v="2211.92"/>
    <n v="11.02"/>
    <n v="0"/>
    <m/>
    <m/>
    <m/>
    <m/>
    <m/>
    <m/>
    <m/>
    <m/>
    <m/>
    <m/>
    <m/>
    <m/>
  </r>
  <r>
    <x v="18"/>
    <s v="Chain 5_Depot 6_SKU 11_45323"/>
    <x v="32"/>
    <x v="1"/>
    <x v="4"/>
    <x v="7"/>
    <x v="5"/>
    <x v="7"/>
    <s v="History"/>
    <n v="7856.89"/>
    <m/>
    <n v="6610.7686939621999"/>
    <n v="435.83610056511202"/>
    <m/>
    <m/>
    <n v="0"/>
    <n v="0"/>
    <n v="0"/>
    <m/>
    <m/>
    <b v="0"/>
    <n v="2296"/>
    <n v="0"/>
    <n v="1771"/>
    <s v="Weak"/>
    <n v="2362.9899999999998"/>
    <n v="2124.85"/>
    <n v="10.08"/>
    <n v="0"/>
    <m/>
    <m/>
    <m/>
    <m/>
    <m/>
    <m/>
    <m/>
    <m/>
    <m/>
    <m/>
    <m/>
    <m/>
  </r>
  <r>
    <x v="19"/>
    <s v="Chain 5_Depot 6_SKU 11_45352"/>
    <x v="32"/>
    <x v="1"/>
    <x v="4"/>
    <x v="7"/>
    <x v="5"/>
    <x v="7"/>
    <s v="History"/>
    <n v="3326.95"/>
    <m/>
    <n v="6590.2380031420398"/>
    <n v="-1974.62883185175"/>
    <m/>
    <m/>
    <n v="0"/>
    <n v="0"/>
    <n v="1"/>
    <m/>
    <m/>
    <b v="0"/>
    <n v="4181"/>
    <n v="0"/>
    <n v="1937"/>
    <s v="Weak"/>
    <n v="2475.0700000000002"/>
    <n v="2252.56"/>
    <n v="8.99"/>
    <n v="0"/>
    <m/>
    <m/>
    <m/>
    <m/>
    <m/>
    <m/>
    <m/>
    <m/>
    <m/>
    <m/>
    <m/>
    <m/>
  </r>
  <r>
    <x v="20"/>
    <s v="Chain 5_Depot 6_SKU 11_45383"/>
    <x v="32"/>
    <x v="1"/>
    <x v="4"/>
    <x v="7"/>
    <x v="5"/>
    <x v="7"/>
    <s v="History"/>
    <n v="7420.48"/>
    <m/>
    <n v="6568.2914013044601"/>
    <n v="366.293710439108"/>
    <m/>
    <m/>
    <n v="0"/>
    <n v="0"/>
    <n v="0"/>
    <m/>
    <m/>
    <b v="0"/>
    <n v="4296"/>
    <n v="0"/>
    <n v="2644"/>
    <s v="Weak"/>
    <n v="2436.2800000000002"/>
    <n v="2222.64"/>
    <n v="8.77"/>
    <n v="0"/>
    <m/>
    <m/>
    <m/>
    <m/>
    <m/>
    <m/>
    <m/>
    <m/>
    <m/>
    <m/>
    <m/>
    <m/>
  </r>
  <r>
    <x v="21"/>
    <s v="Chain 5_Depot 6_SKU 11_45413"/>
    <x v="32"/>
    <x v="1"/>
    <x v="4"/>
    <x v="7"/>
    <x v="5"/>
    <x v="7"/>
    <s v="History"/>
    <n v="5920.85"/>
    <m/>
    <n v="6547.0527543648795"/>
    <n v="-638.03673176052803"/>
    <m/>
    <m/>
    <n v="0"/>
    <n v="1"/>
    <n v="0"/>
    <m/>
    <m/>
    <b v="0"/>
    <n v="4597"/>
    <n v="0"/>
    <n v="2353"/>
    <s v="Weak"/>
    <n v="2457.2399999999998"/>
    <n v="2170.7600000000002"/>
    <n v="11.66"/>
    <n v="0"/>
    <m/>
    <m/>
    <m/>
    <m/>
    <m/>
    <m/>
    <m/>
    <m/>
    <m/>
    <m/>
    <m/>
    <m/>
  </r>
  <r>
    <x v="22"/>
    <s v="Chain 5_Depot 6_SKU 11_45444"/>
    <x v="32"/>
    <x v="1"/>
    <x v="4"/>
    <x v="7"/>
    <x v="5"/>
    <x v="7"/>
    <s v="History"/>
    <n v="2975.57"/>
    <m/>
    <n v="6525.1061525273099"/>
    <n v="-1043.7246310088101"/>
    <m/>
    <m/>
    <n v="0"/>
    <n v="1"/>
    <n v="1"/>
    <m/>
    <m/>
    <b v="0"/>
    <n v="2901"/>
    <n v="0"/>
    <n v="2212"/>
    <s v="Weak"/>
    <n v="2456.3000000000002"/>
    <n v="2229.11"/>
    <n v="9.25"/>
    <n v="0"/>
    <m/>
    <m/>
    <m/>
    <m/>
    <m/>
    <m/>
    <m/>
    <m/>
    <m/>
    <m/>
    <m/>
    <m/>
  </r>
  <r>
    <x v="30"/>
    <s v="Chain 5_Depot 6_SKU 11_45474"/>
    <x v="32"/>
    <x v="1"/>
    <x v="4"/>
    <x v="7"/>
    <x v="5"/>
    <x v="7"/>
    <s v="History"/>
    <n v="5921.48"/>
    <n v="7341.88"/>
    <n v="6503.8675055877202"/>
    <n v="-311.05510069167701"/>
    <n v="7541.88"/>
    <n v="7141.88"/>
    <n v="0"/>
    <n v="1"/>
    <n v="0"/>
    <m/>
    <m/>
    <b v="0"/>
    <n v="3964"/>
    <n v="0"/>
    <n v="2118"/>
    <s v="Weak"/>
    <n v="2402.6"/>
    <n v="2154.7199999999998"/>
    <n v="10.32"/>
    <n v="0"/>
    <m/>
    <m/>
    <m/>
    <m/>
    <m/>
    <m/>
    <m/>
    <m/>
    <m/>
    <m/>
    <m/>
    <m/>
  </r>
  <r>
    <x v="23"/>
    <s v="Chain 5_Depot 6_SKU 11_45505"/>
    <x v="32"/>
    <x v="1"/>
    <x v="4"/>
    <x v="7"/>
    <x v="5"/>
    <x v="7"/>
    <s v="History"/>
    <n v="6153.99"/>
    <n v="7575.62"/>
    <n v="6481.9209037501496"/>
    <n v="296.97563955026601"/>
    <n v="7775.62"/>
    <n v="7375.62"/>
    <n v="0"/>
    <n v="1"/>
    <n v="0"/>
    <m/>
    <m/>
    <b v="0"/>
    <n v="3098"/>
    <n v="0"/>
    <n v="1616"/>
    <s v="Weak"/>
    <n v="2486.56"/>
    <n v="2230.5"/>
    <n v="10.3"/>
    <n v="0"/>
    <m/>
    <m/>
    <m/>
    <m/>
    <m/>
    <m/>
    <m/>
    <m/>
    <m/>
    <m/>
    <m/>
    <m/>
  </r>
  <r>
    <x v="24"/>
    <s v="Chain 5_Depot 6_SKU 11_45536"/>
    <x v="32"/>
    <x v="1"/>
    <x v="4"/>
    <x v="7"/>
    <x v="5"/>
    <x v="7"/>
    <s v="History"/>
    <n v="6398.51"/>
    <n v="7738.32"/>
    <n v="6459.9743019125799"/>
    <n v="297.71995242275199"/>
    <n v="7938.32"/>
    <n v="7538.32"/>
    <n v="0"/>
    <n v="1"/>
    <n v="0"/>
    <m/>
    <m/>
    <b v="0"/>
    <n v="3677"/>
    <n v="0"/>
    <n v="2031"/>
    <s v="Weak"/>
    <n v="2406.4899999999998"/>
    <n v="2171.84"/>
    <n v="9.75"/>
    <n v="0"/>
    <m/>
    <m/>
    <m/>
    <m/>
    <m/>
    <m/>
    <m/>
    <m/>
    <m/>
    <m/>
    <m/>
    <m/>
  </r>
  <r>
    <x v="31"/>
    <s v="Chain 5_Depot 6_SKU 11_45566"/>
    <x v="32"/>
    <x v="1"/>
    <x v="4"/>
    <x v="7"/>
    <x v="5"/>
    <x v="7"/>
    <s v="Forecast"/>
    <m/>
    <n v="7609.52"/>
    <n v="6438.7356549729902"/>
    <n v="1668.70872418202"/>
    <n v="7809.52"/>
    <n v="7409.52"/>
    <m/>
    <m/>
    <m/>
    <m/>
    <m/>
    <m/>
    <m/>
    <m/>
    <n v="1066"/>
    <n v="0"/>
    <n v="2454.44"/>
    <n v="2190.92"/>
    <n v="10.74"/>
    <n v="0"/>
    <m/>
    <m/>
    <m/>
    <m/>
    <m/>
    <m/>
    <m/>
    <m/>
    <m/>
    <m/>
    <m/>
    <m/>
  </r>
  <r>
    <x v="25"/>
    <s v="Chain 5_Depot 6_SKU 11_45597"/>
    <x v="32"/>
    <x v="1"/>
    <x v="4"/>
    <x v="7"/>
    <x v="5"/>
    <x v="7"/>
    <s v="Forecast"/>
    <m/>
    <n v="8324.83"/>
    <n v="6416.7890531354196"/>
    <n v="361.60316174211698"/>
    <n v="8524.83"/>
    <n v="8124.83"/>
    <m/>
    <m/>
    <m/>
    <m/>
    <m/>
    <m/>
    <m/>
    <m/>
    <n v="2519"/>
    <n v="0"/>
    <n v="2495.89"/>
    <n v="2267.29"/>
    <n v="9.16"/>
    <n v="0"/>
    <m/>
    <m/>
    <m/>
    <m/>
    <m/>
    <m/>
    <m/>
    <m/>
    <m/>
    <m/>
    <m/>
    <m/>
  </r>
  <r>
    <x v="32"/>
    <s v="Chain 5_Depot 6_SKU 11_45627"/>
    <x v="32"/>
    <x v="1"/>
    <x v="4"/>
    <x v="7"/>
    <x v="5"/>
    <x v="7"/>
    <s v="Forecast"/>
    <m/>
    <n v="8132.72"/>
    <n v="6395.55040619583"/>
    <n v="854.72156067394201"/>
    <n v="8332.7199999999993"/>
    <n v="7932.72"/>
    <m/>
    <m/>
    <m/>
    <m/>
    <m/>
    <m/>
    <m/>
    <m/>
    <n v="1190"/>
    <n v="0"/>
    <n v="2502.9499999999998"/>
    <n v="2281.89"/>
    <n v="8.83"/>
    <n v="0"/>
    <m/>
    <m/>
    <m/>
    <m/>
    <m/>
    <m/>
    <m/>
    <m/>
    <m/>
    <m/>
    <m/>
    <m/>
  </r>
  <r>
    <x v="0"/>
    <s v="Chain 5_Depot 6_SKU 8_44562"/>
    <x v="33"/>
    <x v="1"/>
    <x v="4"/>
    <x v="7"/>
    <x v="5"/>
    <x v="23"/>
    <s v="History"/>
    <n v="10585.47"/>
    <m/>
    <n v="10591.3901236499"/>
    <n v="327.09858270784298"/>
    <m/>
    <m/>
    <n v="0"/>
    <n v="0"/>
    <n v="0"/>
    <m/>
    <m/>
    <b v="0"/>
    <n v="2855"/>
    <n v="0"/>
    <n v="2130"/>
    <s v="Stable"/>
    <n v="2402.38"/>
    <n v="2092.42"/>
    <n v="12.9"/>
    <n v="0"/>
    <m/>
    <m/>
    <m/>
    <m/>
    <m/>
    <m/>
    <m/>
    <m/>
    <m/>
    <m/>
    <m/>
    <m/>
  </r>
  <r>
    <x v="1"/>
    <s v="Chain 5_Depot 6_SKU 8_44593"/>
    <x v="33"/>
    <x v="1"/>
    <x v="4"/>
    <x v="7"/>
    <x v="5"/>
    <x v="23"/>
    <s v="History"/>
    <n v="10937.19"/>
    <m/>
    <n v="10701.993809842401"/>
    <n v="198.443097322955"/>
    <m/>
    <m/>
    <n v="0"/>
    <n v="0"/>
    <n v="0"/>
    <m/>
    <m/>
    <b v="0"/>
    <n v="3812"/>
    <n v="0"/>
    <n v="2681"/>
    <s v="Stable"/>
    <n v="2285.1999999999998"/>
    <n v="2023.57"/>
    <n v="11.45"/>
    <n v="0"/>
    <m/>
    <m/>
    <m/>
    <m/>
    <m/>
    <m/>
    <m/>
    <m/>
    <m/>
    <m/>
    <m/>
    <m/>
  </r>
  <r>
    <x v="2"/>
    <s v="Chain 5_Depot 6_SKU 8_44621"/>
    <x v="33"/>
    <x v="1"/>
    <x v="4"/>
    <x v="7"/>
    <x v="5"/>
    <x v="23"/>
    <s v="History"/>
    <n v="11116.4"/>
    <m/>
    <n v="10801.893913177901"/>
    <n v="-32.744526142711699"/>
    <m/>
    <m/>
    <n v="0"/>
    <n v="0"/>
    <n v="0"/>
    <m/>
    <m/>
    <b v="0"/>
    <n v="4866"/>
    <n v="0"/>
    <n v="1419"/>
    <s v="Stable"/>
    <n v="2454.6799999999998"/>
    <n v="2161.9299999999998"/>
    <n v="11.93"/>
    <n v="0"/>
    <m/>
    <m/>
    <m/>
    <m/>
    <m/>
    <m/>
    <m/>
    <m/>
    <m/>
    <m/>
    <m/>
    <m/>
  </r>
  <r>
    <x v="3"/>
    <s v="Chain 5_Depot 6_SKU 8_44652"/>
    <x v="33"/>
    <x v="1"/>
    <x v="4"/>
    <x v="7"/>
    <x v="5"/>
    <x v="23"/>
    <s v="History"/>
    <n v="11399.16"/>
    <m/>
    <n v="10912.497599038399"/>
    <n v="63.769773473913702"/>
    <m/>
    <m/>
    <n v="0"/>
    <n v="0"/>
    <n v="0"/>
    <m/>
    <m/>
    <b v="0"/>
    <n v="2182"/>
    <n v="0"/>
    <n v="1610"/>
    <s v="Stable"/>
    <n v="2366.09"/>
    <n v="2091.14"/>
    <n v="11.62"/>
    <n v="0"/>
    <m/>
    <m/>
    <m/>
    <m/>
    <m/>
    <m/>
    <m/>
    <m/>
    <m/>
    <m/>
    <m/>
    <m/>
  </r>
  <r>
    <x v="4"/>
    <s v="Chain 5_Depot 6_SKU 8_44682"/>
    <x v="33"/>
    <x v="1"/>
    <x v="4"/>
    <x v="7"/>
    <x v="5"/>
    <x v="23"/>
    <s v="History"/>
    <n v="11679.77"/>
    <m/>
    <n v="11019.5334239229"/>
    <n v="-1257.9941039157"/>
    <m/>
    <m/>
    <n v="0"/>
    <n v="0"/>
    <n v="0"/>
    <m/>
    <m/>
    <b v="0"/>
    <n v="3574"/>
    <n v="1"/>
    <n v="2452"/>
    <s v="Stable"/>
    <n v="2347.7199999999998"/>
    <n v="2055.6999999999998"/>
    <n v="12.44"/>
    <n v="0"/>
    <m/>
    <m/>
    <m/>
    <m/>
    <m/>
    <m/>
    <m/>
    <m/>
    <m/>
    <m/>
    <m/>
    <m/>
  </r>
  <r>
    <x v="5"/>
    <s v="Chain 5_Depot 6_SKU 8_44713"/>
    <x v="33"/>
    <x v="1"/>
    <x v="4"/>
    <x v="7"/>
    <x v="5"/>
    <x v="23"/>
    <s v="History"/>
    <n v="11844.31"/>
    <m/>
    <n v="11130.137109290899"/>
    <n v="-150.822961289071"/>
    <m/>
    <m/>
    <n v="0"/>
    <n v="0"/>
    <n v="0"/>
    <m/>
    <m/>
    <b v="0"/>
    <n v="2396"/>
    <n v="0"/>
    <n v="1374"/>
    <s v="Stable"/>
    <n v="2401.42"/>
    <n v="2070.23"/>
    <n v="13.79"/>
    <n v="0"/>
    <m/>
    <m/>
    <m/>
    <m/>
    <m/>
    <m/>
    <m/>
    <m/>
    <m/>
    <m/>
    <m/>
    <m/>
  </r>
  <r>
    <x v="35"/>
    <s v="Chain 5_Depot 6_SKU 8_44805"/>
    <x v="33"/>
    <x v="1"/>
    <x v="4"/>
    <x v="7"/>
    <x v="5"/>
    <x v="23"/>
    <s v="History"/>
    <n v="11738.12"/>
    <m/>
    <n v="11458.380304525501"/>
    <n v="-1011.8853324310001"/>
    <m/>
    <m/>
    <n v="0"/>
    <n v="0"/>
    <n v="0"/>
    <m/>
    <m/>
    <b v="0"/>
    <n v="3517"/>
    <n v="0"/>
    <n v="2657"/>
    <s v="Stable"/>
    <n v="2404.59"/>
    <n v="2108.87"/>
    <n v="12.3"/>
    <n v="0"/>
    <m/>
    <m/>
    <m/>
    <m/>
    <m/>
    <m/>
    <m/>
    <m/>
    <m/>
    <m/>
    <m/>
    <m/>
  </r>
  <r>
    <x v="33"/>
    <s v="Chain 5_Depot 6_SKU 8_44835"/>
    <x v="33"/>
    <x v="1"/>
    <x v="4"/>
    <x v="7"/>
    <x v="5"/>
    <x v="23"/>
    <s v="History"/>
    <n v="11997.09"/>
    <m/>
    <n v="11565.416129322401"/>
    <n v="1100.7760424876601"/>
    <m/>
    <m/>
    <n v="0"/>
    <n v="0"/>
    <n v="0"/>
    <m/>
    <m/>
    <b v="0"/>
    <n v="2906"/>
    <n v="0"/>
    <n v="2053"/>
    <s v="Stable"/>
    <n v="2448.91"/>
    <n v="2174.41"/>
    <n v="11.21"/>
    <n v="0"/>
    <m/>
    <m/>
    <m/>
    <m/>
    <m/>
    <m/>
    <m/>
    <m/>
    <m/>
    <m/>
    <m/>
    <m/>
  </r>
  <r>
    <x v="8"/>
    <s v="Chain 5_Depot 6_SKU 8_44866"/>
    <x v="33"/>
    <x v="1"/>
    <x v="4"/>
    <x v="7"/>
    <x v="5"/>
    <x v="23"/>
    <s v="History"/>
    <n v="11326.55"/>
    <m/>
    <n v="11676.019817575399"/>
    <n v="553.68538561529294"/>
    <m/>
    <m/>
    <n v="0"/>
    <n v="0"/>
    <n v="0"/>
    <m/>
    <m/>
    <b v="0"/>
    <n v="3356"/>
    <n v="0"/>
    <n v="2211"/>
    <s v="Stable"/>
    <n v="2344.09"/>
    <n v="2058.6799999999998"/>
    <n v="12.18"/>
    <n v="0"/>
    <m/>
    <m/>
    <m/>
    <m/>
    <m/>
    <m/>
    <m/>
    <m/>
    <m/>
    <m/>
    <m/>
    <m/>
  </r>
  <r>
    <x v="9"/>
    <s v="Chain 5_Depot 6_SKU 8_44896"/>
    <x v="33"/>
    <x v="1"/>
    <x v="4"/>
    <x v="7"/>
    <x v="5"/>
    <x v="23"/>
    <s v="History"/>
    <n v="11859.43"/>
    <m/>
    <n v="11783.0942151608"/>
    <n v="704.32030481758102"/>
    <m/>
    <m/>
    <n v="0"/>
    <n v="0"/>
    <n v="0"/>
    <m/>
    <m/>
    <b v="0"/>
    <n v="4174"/>
    <n v="1"/>
    <n v="2387"/>
    <s v="Stable"/>
    <n v="2398.09"/>
    <n v="2070.6999999999998"/>
    <n v="13.65"/>
    <n v="0"/>
    <m/>
    <m/>
    <m/>
    <m/>
    <m/>
    <m/>
    <m/>
    <m/>
    <m/>
    <m/>
    <m/>
    <m/>
  </r>
  <r>
    <x v="10"/>
    <s v="Chain 5_Depot 6_SKU 8_44927"/>
    <x v="33"/>
    <x v="1"/>
    <x v="4"/>
    <x v="7"/>
    <x v="5"/>
    <x v="23"/>
    <s v="History"/>
    <n v="11370.51"/>
    <m/>
    <n v="11893.7402961998"/>
    <n v="211.33967358259599"/>
    <m/>
    <m/>
    <n v="0"/>
    <n v="0"/>
    <n v="0"/>
    <m/>
    <m/>
    <b v="1"/>
    <n v="2000"/>
    <n v="0"/>
    <n v="2889"/>
    <s v="Stable"/>
    <n v="2335.2600000000002"/>
    <n v="2031.89"/>
    <n v="12.99"/>
    <n v="0"/>
    <m/>
    <m/>
    <m/>
    <m/>
    <m/>
    <m/>
    <m/>
    <m/>
    <m/>
    <m/>
    <m/>
    <m/>
  </r>
  <r>
    <x v="11"/>
    <s v="Chain 5_Depot 6_SKU 8_44958"/>
    <x v="33"/>
    <x v="1"/>
    <x v="4"/>
    <x v="7"/>
    <x v="5"/>
    <x v="23"/>
    <s v="History"/>
    <n v="11454.23"/>
    <m/>
    <n v="12004.4887655812"/>
    <n v="309.22801505885002"/>
    <m/>
    <m/>
    <n v="0"/>
    <n v="0"/>
    <n v="0"/>
    <m/>
    <m/>
    <b v="1"/>
    <n v="2018"/>
    <n v="0"/>
    <n v="2823"/>
    <s v="Stable"/>
    <n v="2395.88"/>
    <n v="2110.67"/>
    <n v="11.9"/>
    <n v="0"/>
    <m/>
    <m/>
    <m/>
    <m/>
    <m/>
    <m/>
    <m/>
    <m/>
    <m/>
    <m/>
    <m/>
    <m/>
  </r>
  <r>
    <x v="12"/>
    <s v="Chain 5_Depot 6_SKU 8_44986"/>
    <x v="33"/>
    <x v="1"/>
    <x v="4"/>
    <x v="7"/>
    <x v="5"/>
    <x v="23"/>
    <s v="History"/>
    <n v="11614.41"/>
    <m/>
    <n v="12223.877190175701"/>
    <n v="-141.88486492926799"/>
    <m/>
    <m/>
    <n v="0"/>
    <n v="0"/>
    <n v="0"/>
    <m/>
    <m/>
    <b v="0"/>
    <n v="2583"/>
    <n v="0"/>
    <n v="2474"/>
    <s v="Stable"/>
    <n v="2385.29"/>
    <n v="2104.81"/>
    <n v="11.76"/>
    <n v="0"/>
    <m/>
    <m/>
    <m/>
    <m/>
    <m/>
    <m/>
    <m/>
    <m/>
    <m/>
    <m/>
    <m/>
    <m/>
  </r>
  <r>
    <x v="13"/>
    <s v="Chain 5_Depot 6_SKU 8_45017"/>
    <x v="33"/>
    <x v="1"/>
    <x v="4"/>
    <x v="7"/>
    <x v="5"/>
    <x v="23"/>
    <s v="History"/>
    <n v="11783.05"/>
    <m/>
    <n v="12467.0123923106"/>
    <n v="186.52539716591201"/>
    <m/>
    <m/>
    <n v="0"/>
    <n v="0"/>
    <n v="0"/>
    <m/>
    <m/>
    <b v="0"/>
    <n v="2455"/>
    <n v="0"/>
    <n v="1194"/>
    <s v="Stable"/>
    <n v="2383.14"/>
    <n v="2106.36"/>
    <n v="11.61"/>
    <n v="0"/>
    <m/>
    <m/>
    <m/>
    <m/>
    <m/>
    <m/>
    <m/>
    <m/>
    <m/>
    <m/>
    <m/>
    <m/>
  </r>
  <r>
    <x v="14"/>
    <s v="Chain 5_Depot 6_SKU 8_45047"/>
    <x v="33"/>
    <x v="1"/>
    <x v="4"/>
    <x v="7"/>
    <x v="5"/>
    <x v="23"/>
    <s v="History"/>
    <n v="8958.6299999999992"/>
    <m/>
    <n v="12702.582679212899"/>
    <n v="-1374.13159205544"/>
    <m/>
    <m/>
    <n v="0"/>
    <n v="0"/>
    <n v="1"/>
    <m/>
    <m/>
    <b v="0"/>
    <n v="4036"/>
    <n v="0"/>
    <n v="2179"/>
    <s v="Stable"/>
    <n v="2383.5700000000002"/>
    <n v="2061.37"/>
    <n v="13.52"/>
    <n v="0"/>
    <m/>
    <m/>
    <m/>
    <m/>
    <m/>
    <m/>
    <m/>
    <m/>
    <m/>
    <m/>
    <m/>
    <m/>
  </r>
  <r>
    <x v="15"/>
    <s v="Chain 5_Depot 6_SKU 8_45078"/>
    <x v="33"/>
    <x v="1"/>
    <x v="4"/>
    <x v="7"/>
    <x v="5"/>
    <x v="23"/>
    <s v="History"/>
    <n v="12219.96"/>
    <m/>
    <n v="12946.270428423401"/>
    <n v="-36.679155407279801"/>
    <m/>
    <m/>
    <n v="0"/>
    <n v="0"/>
    <n v="0"/>
    <m/>
    <m/>
    <b v="0"/>
    <n v="3132"/>
    <n v="0"/>
    <n v="2195"/>
    <s v="Stable"/>
    <n v="2427.8200000000002"/>
    <n v="2095.9299999999998"/>
    <n v="13.67"/>
    <n v="0"/>
    <m/>
    <m/>
    <m/>
    <m/>
    <m/>
    <m/>
    <m/>
    <m/>
    <m/>
    <m/>
    <m/>
    <m/>
  </r>
  <r>
    <x v="16"/>
    <s v="Chain 5_Depot 6_SKU 8_45108"/>
    <x v="33"/>
    <x v="1"/>
    <x v="4"/>
    <x v="7"/>
    <x v="5"/>
    <x v="23"/>
    <s v="History"/>
    <n v="12784.3"/>
    <m/>
    <n v="13182.1816941613"/>
    <n v="-676.36650334594003"/>
    <m/>
    <m/>
    <n v="0"/>
    <n v="0"/>
    <n v="0"/>
    <m/>
    <m/>
    <b v="0"/>
    <n v="4492"/>
    <n v="0"/>
    <n v="1846"/>
    <s v="Stable"/>
    <n v="2310.63"/>
    <n v="2018.13"/>
    <n v="12.66"/>
    <n v="0"/>
    <m/>
    <m/>
    <m/>
    <m/>
    <m/>
    <m/>
    <m/>
    <m/>
    <m/>
    <m/>
    <m/>
    <m/>
  </r>
  <r>
    <x v="26"/>
    <s v="Chain 5_Depot 6_SKU 8_45139"/>
    <x v="33"/>
    <x v="1"/>
    <x v="4"/>
    <x v="7"/>
    <x v="5"/>
    <x v="23"/>
    <s v="History"/>
    <n v="12778.69"/>
    <m/>
    <n v="13426.0275769292"/>
    <n v="-369.57049940053099"/>
    <m/>
    <m/>
    <n v="0"/>
    <n v="0"/>
    <n v="0"/>
    <m/>
    <m/>
    <b v="0"/>
    <n v="3952"/>
    <n v="1"/>
    <n v="2064"/>
    <s v="Stable"/>
    <n v="2346.0100000000002"/>
    <n v="2087.27"/>
    <n v="11.03"/>
    <n v="0"/>
    <m/>
    <m/>
    <m/>
    <m/>
    <m/>
    <m/>
    <m/>
    <m/>
    <m/>
    <m/>
    <m/>
    <m/>
  </r>
  <r>
    <x v="27"/>
    <s v="Chain 5_Depot 6_SKU 8_45170"/>
    <x v="33"/>
    <x v="1"/>
    <x v="4"/>
    <x v="7"/>
    <x v="5"/>
    <x v="23"/>
    <s v="History"/>
    <n v="11620.09"/>
    <m/>
    <n v="13669.9890978487"/>
    <n v="-1143.2128550991599"/>
    <m/>
    <m/>
    <n v="0"/>
    <n v="0"/>
    <n v="1"/>
    <m/>
    <m/>
    <b v="0"/>
    <n v="4649"/>
    <n v="0"/>
    <n v="2086"/>
    <s v="Stable"/>
    <n v="2388.9699999999998"/>
    <n v="2074.5100000000002"/>
    <n v="13.16"/>
    <n v="0"/>
    <m/>
    <m/>
    <m/>
    <m/>
    <m/>
    <m/>
    <m/>
    <m/>
    <m/>
    <m/>
    <m/>
    <m/>
  </r>
  <r>
    <x v="34"/>
    <s v="Chain 5_Depot 6_SKU 8_45200"/>
    <x v="33"/>
    <x v="1"/>
    <x v="4"/>
    <x v="7"/>
    <x v="5"/>
    <x v="23"/>
    <s v="History"/>
    <n v="15783.13"/>
    <m/>
    <n v="13906.0809348488"/>
    <n v="1211.26969911589"/>
    <m/>
    <m/>
    <n v="1"/>
    <n v="0"/>
    <n v="0"/>
    <m/>
    <m/>
    <b v="0"/>
    <n v="4150"/>
    <n v="1"/>
    <n v="1022"/>
    <s v="Stable"/>
    <n v="2332.0700000000002"/>
    <n v="2051.89"/>
    <n v="12.01"/>
    <n v="0"/>
    <m/>
    <m/>
    <m/>
    <m/>
    <m/>
    <m/>
    <m/>
    <m/>
    <m/>
    <m/>
    <m/>
    <m/>
  </r>
  <r>
    <x v="28"/>
    <s v="Chain 5_Depot 6_SKU 8_45231"/>
    <x v="33"/>
    <x v="1"/>
    <x v="4"/>
    <x v="7"/>
    <x v="5"/>
    <x v="23"/>
    <s v="History"/>
    <n v="15494.36"/>
    <m/>
    <n v="14150.0424996855"/>
    <n v="440.19933156663501"/>
    <m/>
    <m/>
    <n v="1"/>
    <n v="0"/>
    <n v="0"/>
    <m/>
    <m/>
    <b v="0"/>
    <n v="2987"/>
    <n v="2"/>
    <n v="1359"/>
    <s v="Stable"/>
    <n v="2393.31"/>
    <n v="2105.77"/>
    <n v="12.01"/>
    <n v="0"/>
    <m/>
    <m/>
    <m/>
    <m/>
    <m/>
    <m/>
    <m/>
    <m/>
    <m/>
    <m/>
    <m/>
    <m/>
  </r>
  <r>
    <x v="29"/>
    <s v="Chain 5_Depot 6_SKU 8_45261"/>
    <x v="33"/>
    <x v="1"/>
    <x v="4"/>
    <x v="7"/>
    <x v="5"/>
    <x v="23"/>
    <s v="History"/>
    <n v="15835.41"/>
    <m/>
    <n v="14386.134337020399"/>
    <n v="821.83725985603803"/>
    <m/>
    <m/>
    <n v="1"/>
    <n v="0"/>
    <n v="0"/>
    <m/>
    <m/>
    <b v="0"/>
    <n v="2519"/>
    <n v="1"/>
    <n v="2098"/>
    <s v="Stable"/>
    <n v="2388.46"/>
    <n v="1433.07"/>
    <n v="40"/>
    <n v="1"/>
    <m/>
    <m/>
    <m/>
    <m/>
    <m/>
    <m/>
    <m/>
    <m/>
    <m/>
    <m/>
    <m/>
    <m/>
  </r>
  <r>
    <x v="17"/>
    <s v="Chain 5_Depot 6_SKU 8_45292"/>
    <x v="33"/>
    <x v="1"/>
    <x v="4"/>
    <x v="7"/>
    <x v="5"/>
    <x v="23"/>
    <s v="History"/>
    <n v="15787.17"/>
    <m/>
    <n v="14630.095902462799"/>
    <n v="95.631328808024307"/>
    <m/>
    <m/>
    <n v="1"/>
    <n v="0"/>
    <n v="0"/>
    <m/>
    <m/>
    <b v="0"/>
    <n v="2858"/>
    <n v="0"/>
    <n v="1559"/>
    <s v="Stable"/>
    <n v="2320.81"/>
    <n v="2070.06"/>
    <n v="10.8"/>
    <n v="0"/>
    <m/>
    <m/>
    <m/>
    <m/>
    <m/>
    <m/>
    <m/>
    <m/>
    <m/>
    <m/>
    <m/>
    <m/>
  </r>
  <r>
    <x v="18"/>
    <s v="Chain 5_Depot 6_SKU 8_45323"/>
    <x v="33"/>
    <x v="1"/>
    <x v="4"/>
    <x v="7"/>
    <x v="5"/>
    <x v="23"/>
    <s v="History"/>
    <n v="16132.55"/>
    <m/>
    <n v="14874.0574683135"/>
    <n v="420.18084402313798"/>
    <m/>
    <m/>
    <n v="1"/>
    <n v="0"/>
    <n v="0"/>
    <m/>
    <m/>
    <b v="0"/>
    <n v="2173"/>
    <n v="0"/>
    <n v="1671"/>
    <s v="Stable"/>
    <n v="2318.34"/>
    <n v="2065.48"/>
    <n v="10.91"/>
    <n v="0"/>
    <m/>
    <m/>
    <m/>
    <m/>
    <m/>
    <m/>
    <m/>
    <m/>
    <m/>
    <m/>
    <m/>
    <m/>
  </r>
  <r>
    <x v="19"/>
    <s v="Chain 5_Depot 6_SKU 8_45352"/>
    <x v="33"/>
    <x v="1"/>
    <x v="4"/>
    <x v="7"/>
    <x v="5"/>
    <x v="23"/>
    <s v="History"/>
    <n v="15414.29"/>
    <m/>
    <n v="15102.2795784056"/>
    <n v="186.55343376065801"/>
    <m/>
    <m/>
    <n v="1"/>
    <n v="0"/>
    <n v="0"/>
    <m/>
    <m/>
    <b v="0"/>
    <n v="3366"/>
    <n v="0"/>
    <n v="2848"/>
    <s v="Stable"/>
    <n v="2259.81"/>
    <n v="1964.6"/>
    <n v="13.06"/>
    <n v="0"/>
    <m/>
    <m/>
    <m/>
    <m/>
    <m/>
    <m/>
    <m/>
    <m/>
    <m/>
    <m/>
    <m/>
    <m/>
  </r>
  <r>
    <x v="20"/>
    <s v="Chain 5_Depot 6_SKU 8_45383"/>
    <x v="33"/>
    <x v="1"/>
    <x v="4"/>
    <x v="7"/>
    <x v="5"/>
    <x v="23"/>
    <s v="History"/>
    <n v="15629.71"/>
    <m/>
    <n v="15346.2411443661"/>
    <n v="-182.29127713560601"/>
    <m/>
    <m/>
    <n v="1"/>
    <n v="0"/>
    <n v="0"/>
    <m/>
    <m/>
    <b v="0"/>
    <n v="4478"/>
    <n v="0"/>
    <n v="2141"/>
    <s v="Stable"/>
    <n v="2329.9699999999998"/>
    <n v="1990.56"/>
    <n v="14.57"/>
    <n v="0"/>
    <m/>
    <m/>
    <m/>
    <m/>
    <m/>
    <m/>
    <m/>
    <m/>
    <m/>
    <m/>
    <m/>
    <m/>
  </r>
  <r>
    <x v="21"/>
    <s v="Chain 5_Depot 6_SKU 8_45413"/>
    <x v="33"/>
    <x v="1"/>
    <x v="4"/>
    <x v="7"/>
    <x v="5"/>
    <x v="23"/>
    <s v="History"/>
    <n v="15002.5"/>
    <m/>
    <n v="15582.3329823923"/>
    <n v="-1024.5044790483801"/>
    <m/>
    <m/>
    <n v="1"/>
    <n v="0"/>
    <n v="0"/>
    <m/>
    <m/>
    <b v="0"/>
    <n v="2726"/>
    <n v="0"/>
    <n v="2635"/>
    <s v="Stable"/>
    <n v="2391.7199999999998"/>
    <n v="2077.2600000000002"/>
    <n v="13.15"/>
    <n v="0"/>
    <m/>
    <m/>
    <m/>
    <m/>
    <m/>
    <m/>
    <m/>
    <m/>
    <m/>
    <m/>
    <m/>
    <m/>
  </r>
  <r>
    <x v="22"/>
    <s v="Chain 5_Depot 6_SKU 8_45444"/>
    <x v="33"/>
    <x v="1"/>
    <x v="4"/>
    <x v="7"/>
    <x v="5"/>
    <x v="23"/>
    <s v="History"/>
    <n v="15241.67"/>
    <m/>
    <n v="15826.2945483528"/>
    <n v="-379.60687793384898"/>
    <m/>
    <m/>
    <n v="1"/>
    <n v="0"/>
    <n v="0"/>
    <m/>
    <m/>
    <b v="0"/>
    <n v="3710"/>
    <n v="1"/>
    <n v="2403"/>
    <s v="Stable"/>
    <n v="2398.81"/>
    <n v="2101.52"/>
    <n v="12.39"/>
    <n v="0"/>
    <m/>
    <m/>
    <m/>
    <m/>
    <m/>
    <m/>
    <m/>
    <m/>
    <m/>
    <m/>
    <m/>
    <m/>
  </r>
  <r>
    <x v="30"/>
    <s v="Chain 5_Depot 6_SKU 8_45474"/>
    <x v="33"/>
    <x v="1"/>
    <x v="4"/>
    <x v="7"/>
    <x v="5"/>
    <x v="23"/>
    <s v="History"/>
    <n v="15477.41"/>
    <n v="13473.49"/>
    <n v="16062.386386379099"/>
    <n v="-319.34382295537802"/>
    <n v="13673.49"/>
    <n v="13273.49"/>
    <n v="1"/>
    <n v="0"/>
    <n v="0"/>
    <m/>
    <m/>
    <b v="0"/>
    <n v="3875"/>
    <n v="1"/>
    <n v="2952"/>
    <s v="Stable"/>
    <n v="2401.09"/>
    <n v="2093.02"/>
    <n v="12.83"/>
    <n v="0"/>
    <m/>
    <m/>
    <m/>
    <m/>
    <m/>
    <m/>
    <m/>
    <m/>
    <m/>
    <m/>
    <m/>
    <m/>
  </r>
  <r>
    <x v="23"/>
    <s v="Chain 5_Depot 6_SKU 8_45505"/>
    <x v="33"/>
    <x v="1"/>
    <x v="4"/>
    <x v="7"/>
    <x v="5"/>
    <x v="23"/>
    <s v="History"/>
    <n v="15829.33"/>
    <n v="13673.42"/>
    <n v="16306.3479523396"/>
    <n v="-758.77235236954004"/>
    <n v="13873.42"/>
    <n v="13473.42"/>
    <n v="1"/>
    <n v="0"/>
    <n v="0"/>
    <m/>
    <m/>
    <b v="0"/>
    <n v="4897"/>
    <n v="0"/>
    <n v="2943"/>
    <s v="Stable"/>
    <n v="2352.1"/>
    <n v="2105.11"/>
    <n v="10.5"/>
    <n v="0"/>
    <m/>
    <m/>
    <m/>
    <m/>
    <m/>
    <m/>
    <m/>
    <m/>
    <m/>
    <m/>
    <m/>
    <m/>
  </r>
  <r>
    <x v="24"/>
    <s v="Chain 5_Depot 6_SKU 8_45536"/>
    <x v="33"/>
    <x v="1"/>
    <x v="4"/>
    <x v="7"/>
    <x v="5"/>
    <x v="23"/>
    <s v="History"/>
    <n v="15406.56"/>
    <n v="13247.95"/>
    <n v="16550.309518300099"/>
    <n v="-748.61383932191802"/>
    <n v="13447.95"/>
    <n v="13047.95"/>
    <n v="1"/>
    <n v="0"/>
    <n v="0"/>
    <m/>
    <m/>
    <b v="0"/>
    <n v="3681"/>
    <n v="0"/>
    <n v="1678"/>
    <s v="Stable"/>
    <n v="2390.08"/>
    <n v="2092.5100000000002"/>
    <n v="12.45"/>
    <n v="0"/>
    <m/>
    <m/>
    <m/>
    <m/>
    <m/>
    <m/>
    <m/>
    <m/>
    <m/>
    <m/>
    <m/>
    <m/>
  </r>
  <r>
    <x v="31"/>
    <s v="Chain 5_Depot 6_SKU 8_45566"/>
    <x v="33"/>
    <x v="1"/>
    <x v="4"/>
    <x v="7"/>
    <x v="5"/>
    <x v="23"/>
    <s v="Forecast"/>
    <m/>
    <n v="13991.5"/>
    <n v="16786.401356326402"/>
    <n v="878.65911297852006"/>
    <n v="14191.5"/>
    <n v="13791.5"/>
    <m/>
    <m/>
    <m/>
    <m/>
    <m/>
    <m/>
    <m/>
    <m/>
    <n v="2313"/>
    <n v="0"/>
    <n v="2410.86"/>
    <n v="2126.0100000000002"/>
    <n v="11.82"/>
    <n v="0"/>
    <m/>
    <m/>
    <m/>
    <m/>
    <m/>
    <m/>
    <m/>
    <m/>
    <m/>
    <m/>
    <m/>
    <m/>
  </r>
  <r>
    <x v="25"/>
    <s v="Chain 5_Depot 6_SKU 8_45597"/>
    <x v="33"/>
    <x v="1"/>
    <x v="4"/>
    <x v="7"/>
    <x v="5"/>
    <x v="23"/>
    <s v="Forecast"/>
    <m/>
    <n v="13762.72"/>
    <n v="17030.362922286899"/>
    <n v="780.80490417291799"/>
    <n v="13962.72"/>
    <n v="13562.72"/>
    <m/>
    <m/>
    <m/>
    <m/>
    <m/>
    <m/>
    <m/>
    <m/>
    <n v="1439"/>
    <n v="0"/>
    <n v="2327.6"/>
    <n v="2042.42"/>
    <n v="12.25"/>
    <n v="0"/>
    <m/>
    <m/>
    <m/>
    <m/>
    <m/>
    <m/>
    <m/>
    <m/>
    <m/>
    <m/>
    <m/>
    <m/>
  </r>
  <r>
    <x v="32"/>
    <s v="Chain 5_Depot 6_SKU 8_45627"/>
    <x v="33"/>
    <x v="1"/>
    <x v="4"/>
    <x v="7"/>
    <x v="5"/>
    <x v="23"/>
    <s v="Forecast"/>
    <m/>
    <n v="13844.85"/>
    <n v="17266.4547603131"/>
    <n v="468.77774847629303"/>
    <n v="14044.85"/>
    <n v="13644.85"/>
    <m/>
    <m/>
    <m/>
    <m/>
    <m/>
    <m/>
    <m/>
    <m/>
    <n v="2691"/>
    <n v="0"/>
    <n v="2397.17"/>
    <n v="2089.9499999999998"/>
    <n v="12.82"/>
    <n v="0"/>
    <m/>
    <m/>
    <m/>
    <m/>
    <m/>
    <m/>
    <m/>
    <m/>
    <m/>
    <m/>
    <m/>
    <m/>
  </r>
  <r>
    <x v="0"/>
    <s v="Chain 5_Depot 7_SKU 13_44562"/>
    <x v="34"/>
    <x v="1"/>
    <x v="4"/>
    <x v="3"/>
    <x v="5"/>
    <x v="24"/>
    <s v="History"/>
    <n v="14135.69"/>
    <m/>
    <n v="14149.551583619999"/>
    <n v="229.63096907835899"/>
    <m/>
    <m/>
    <n v="0"/>
    <n v="0"/>
    <n v="0"/>
    <m/>
    <m/>
    <b v="0"/>
    <n v="4897"/>
    <n v="0"/>
    <n v="1288"/>
    <s v="Stable"/>
    <n v="1494.11"/>
    <n v="1303.0999999999999"/>
    <n v="12.78"/>
    <n v="0"/>
    <m/>
    <m/>
    <m/>
    <m/>
    <m/>
    <m/>
    <m/>
    <m/>
    <m/>
    <m/>
    <m/>
    <m/>
  </r>
  <r>
    <x v="1"/>
    <s v="Chain 5_Depot 7_SKU 13_44593"/>
    <x v="34"/>
    <x v="1"/>
    <x v="4"/>
    <x v="3"/>
    <x v="5"/>
    <x v="24"/>
    <s v="History"/>
    <n v="14257.53"/>
    <m/>
    <n v="14206.546684443399"/>
    <n v="48.632753051098497"/>
    <m/>
    <m/>
    <n v="0"/>
    <n v="0"/>
    <n v="0"/>
    <m/>
    <m/>
    <b v="0"/>
    <n v="4244"/>
    <n v="1"/>
    <n v="2236"/>
    <s v="Stable"/>
    <n v="1507.72"/>
    <n v="1325.47"/>
    <n v="12.09"/>
    <n v="0"/>
    <m/>
    <m/>
    <m/>
    <m/>
    <m/>
    <m/>
    <m/>
    <m/>
    <m/>
    <m/>
    <m/>
    <m/>
  </r>
  <r>
    <x v="2"/>
    <s v="Chain 5_Depot 7_SKU 13_44621"/>
    <x v="34"/>
    <x v="1"/>
    <x v="4"/>
    <x v="3"/>
    <x v="5"/>
    <x v="24"/>
    <s v="History"/>
    <n v="14437.31"/>
    <m/>
    <n v="14258.0261309623"/>
    <n v="-29.369725248234001"/>
    <m/>
    <m/>
    <n v="0"/>
    <n v="0"/>
    <n v="0"/>
    <m/>
    <m/>
    <b v="0"/>
    <n v="2018"/>
    <n v="0"/>
    <n v="1257"/>
    <s v="Stable"/>
    <n v="1502.63"/>
    <n v="1333.83"/>
    <n v="11.23"/>
    <n v="0"/>
    <m/>
    <m/>
    <m/>
    <m/>
    <m/>
    <m/>
    <m/>
    <m/>
    <m/>
    <m/>
    <m/>
    <m/>
  </r>
  <r>
    <x v="3"/>
    <s v="Chain 5_Depot 7_SKU 13_44652"/>
    <x v="34"/>
    <x v="1"/>
    <x v="4"/>
    <x v="3"/>
    <x v="5"/>
    <x v="24"/>
    <s v="History"/>
    <n v="14621.44"/>
    <m/>
    <n v="14315.0212323919"/>
    <n v="5.1342796654191503"/>
    <m/>
    <m/>
    <n v="0"/>
    <n v="0"/>
    <n v="0"/>
    <m/>
    <m/>
    <b v="0"/>
    <n v="2641"/>
    <n v="0"/>
    <n v="1529"/>
    <s v="Stable"/>
    <n v="1513.43"/>
    <n v="1340.75"/>
    <n v="11.41"/>
    <n v="0"/>
    <m/>
    <m/>
    <m/>
    <m/>
    <m/>
    <m/>
    <m/>
    <m/>
    <m/>
    <m/>
    <m/>
    <m/>
  </r>
  <r>
    <x v="4"/>
    <s v="Chain 5_Depot 7_SKU 13_44682"/>
    <x v="34"/>
    <x v="1"/>
    <x v="4"/>
    <x v="3"/>
    <x v="5"/>
    <x v="24"/>
    <s v="History"/>
    <n v="14572.2"/>
    <m/>
    <n v="14370.177782586899"/>
    <n v="142.33898454568401"/>
    <m/>
    <m/>
    <n v="0"/>
    <n v="0"/>
    <n v="0"/>
    <m/>
    <m/>
    <b v="0"/>
    <n v="3104"/>
    <n v="0"/>
    <n v="1686"/>
    <s v="Stable"/>
    <n v="1531.39"/>
    <n v="1354.34"/>
    <n v="11.56"/>
    <n v="0"/>
    <m/>
    <m/>
    <m/>
    <m/>
    <m/>
    <m/>
    <m/>
    <m/>
    <m/>
    <m/>
    <m/>
    <m/>
  </r>
  <r>
    <x v="5"/>
    <s v="Chain 5_Depot 7_SKU 13_44713"/>
    <x v="34"/>
    <x v="1"/>
    <x v="4"/>
    <x v="3"/>
    <x v="5"/>
    <x v="24"/>
    <s v="History"/>
    <n v="14732.14"/>
    <m/>
    <n v="14427.172884404499"/>
    <n v="56.555244889304802"/>
    <m/>
    <m/>
    <n v="0"/>
    <n v="0"/>
    <n v="0"/>
    <m/>
    <m/>
    <b v="0"/>
    <n v="2329"/>
    <n v="1"/>
    <n v="1928"/>
    <s v="Stable"/>
    <n v="1496.95"/>
    <n v="1325.96"/>
    <n v="11.42"/>
    <n v="0"/>
    <m/>
    <m/>
    <m/>
    <m/>
    <m/>
    <m/>
    <m/>
    <m/>
    <m/>
    <m/>
    <m/>
    <m/>
  </r>
  <r>
    <x v="6"/>
    <s v="Chain 5_Depot 7_SKU 13_44743"/>
    <x v="34"/>
    <x v="1"/>
    <x v="4"/>
    <x v="3"/>
    <x v="5"/>
    <x v="24"/>
    <s v="History"/>
    <n v="15104.52"/>
    <m/>
    <n v="14482.3294341201"/>
    <n v="284.68087694099103"/>
    <m/>
    <m/>
    <n v="0"/>
    <n v="0"/>
    <n v="0"/>
    <m/>
    <m/>
    <b v="0"/>
    <n v="2865"/>
    <n v="1"/>
    <n v="1228"/>
    <s v="Stable"/>
    <n v="1478.21"/>
    <n v="1302.02"/>
    <n v="11.92"/>
    <n v="0"/>
    <m/>
    <m/>
    <m/>
    <m/>
    <m/>
    <m/>
    <m/>
    <m/>
    <m/>
    <m/>
    <m/>
    <m/>
  </r>
  <r>
    <x v="7"/>
    <s v="Chain 5_Depot 7_SKU 13_44774"/>
    <x v="34"/>
    <x v="1"/>
    <x v="4"/>
    <x v="3"/>
    <x v="5"/>
    <x v="24"/>
    <s v="History"/>
    <n v="14541.54"/>
    <m/>
    <n v="14539.324535888099"/>
    <n v="187.28705709665999"/>
    <m/>
    <m/>
    <n v="0"/>
    <n v="0"/>
    <n v="0"/>
    <m/>
    <m/>
    <b v="0"/>
    <n v="2773"/>
    <n v="0"/>
    <n v="2249"/>
    <s v="Stable"/>
    <n v="1548.72"/>
    <n v="1345.03"/>
    <n v="13.15"/>
    <n v="0"/>
    <m/>
    <m/>
    <m/>
    <m/>
    <m/>
    <m/>
    <m/>
    <m/>
    <m/>
    <m/>
    <m/>
    <m/>
  </r>
  <r>
    <x v="35"/>
    <s v="Chain 5_Depot 7_SKU 13_44805"/>
    <x v="34"/>
    <x v="1"/>
    <x v="4"/>
    <x v="3"/>
    <x v="5"/>
    <x v="24"/>
    <s v="History"/>
    <n v="14974.87"/>
    <m/>
    <n v="14596.319637460299"/>
    <n v="304.40133876797398"/>
    <m/>
    <m/>
    <n v="0"/>
    <n v="0"/>
    <n v="0"/>
    <m/>
    <m/>
    <b v="0"/>
    <n v="2391"/>
    <n v="1"/>
    <n v="1595"/>
    <s v="Stable"/>
    <n v="1530.87"/>
    <n v="1348"/>
    <n v="11.95"/>
    <n v="0"/>
    <m/>
    <m/>
    <m/>
    <m/>
    <m/>
    <m/>
    <m/>
    <m/>
    <m/>
    <m/>
    <m/>
    <m/>
  </r>
  <r>
    <x v="33"/>
    <s v="Chain 5_Depot 7_SKU 13_44835"/>
    <x v="34"/>
    <x v="1"/>
    <x v="4"/>
    <x v="3"/>
    <x v="5"/>
    <x v="24"/>
    <s v="History"/>
    <n v="14492.41"/>
    <m/>
    <n v="14651.4761882395"/>
    <n v="-1664.8095960179801"/>
    <m/>
    <m/>
    <n v="0"/>
    <n v="0"/>
    <n v="0"/>
    <m/>
    <m/>
    <b v="1"/>
    <n v="2636"/>
    <n v="0"/>
    <n v="2826"/>
    <s v="Stable"/>
    <n v="1518.19"/>
    <n v="1349.98"/>
    <n v="11.08"/>
    <n v="0"/>
    <m/>
    <m/>
    <m/>
    <m/>
    <m/>
    <m/>
    <m/>
    <m/>
    <m/>
    <m/>
    <m/>
    <m/>
  </r>
  <r>
    <x v="8"/>
    <s v="Chain 5_Depot 7_SKU 13_44866"/>
    <x v="34"/>
    <x v="1"/>
    <x v="4"/>
    <x v="3"/>
    <x v="5"/>
    <x v="24"/>
    <s v="History"/>
    <n v="14732.51"/>
    <m/>
    <n v="14708.471291596699"/>
    <n v="509.85558291790699"/>
    <m/>
    <m/>
    <n v="0"/>
    <n v="0"/>
    <n v="0"/>
    <m/>
    <m/>
    <b v="0"/>
    <n v="4354"/>
    <n v="0"/>
    <n v="1434"/>
    <s v="Stable"/>
    <n v="1544.16"/>
    <n v="1363.72"/>
    <n v="11.69"/>
    <n v="0"/>
    <m/>
    <m/>
    <m/>
    <m/>
    <m/>
    <m/>
    <m/>
    <m/>
    <m/>
    <m/>
    <m/>
    <m/>
  </r>
  <r>
    <x v="9"/>
    <s v="Chain 5_Depot 7_SKU 13_44896"/>
    <x v="34"/>
    <x v="1"/>
    <x v="4"/>
    <x v="3"/>
    <x v="5"/>
    <x v="24"/>
    <s v="History"/>
    <n v="14124.34"/>
    <m/>
    <n v="14763.627845988"/>
    <n v="73.085609282462002"/>
    <m/>
    <m/>
    <n v="0"/>
    <n v="0"/>
    <n v="0"/>
    <m/>
    <m/>
    <b v="0"/>
    <n v="4942"/>
    <n v="0"/>
    <n v="1881"/>
    <s v="Stable"/>
    <n v="1463.99"/>
    <n v="1300.6500000000001"/>
    <n v="11.16"/>
    <n v="0"/>
    <m/>
    <m/>
    <m/>
    <m/>
    <m/>
    <m/>
    <m/>
    <m/>
    <m/>
    <m/>
    <m/>
    <m/>
  </r>
  <r>
    <x v="10"/>
    <s v="Chain 5_Depot 7_SKU 13_44927"/>
    <x v="34"/>
    <x v="1"/>
    <x v="4"/>
    <x v="3"/>
    <x v="5"/>
    <x v="24"/>
    <s v="History"/>
    <n v="14507.26"/>
    <m/>
    <n v="14820.6564516248"/>
    <n v="257.76379891223701"/>
    <m/>
    <m/>
    <n v="0"/>
    <n v="0"/>
    <n v="0"/>
    <m/>
    <m/>
    <b v="0"/>
    <n v="4699"/>
    <n v="0"/>
    <n v="2020"/>
    <s v="Stable"/>
    <n v="1553.16"/>
    <n v="1364.68"/>
    <n v="12.14"/>
    <n v="0"/>
    <m/>
    <m/>
    <m/>
    <m/>
    <m/>
    <m/>
    <m/>
    <m/>
    <m/>
    <m/>
    <m/>
    <m/>
  </r>
  <r>
    <x v="11"/>
    <s v="Chain 5_Depot 7_SKU 13_44958"/>
    <x v="34"/>
    <x v="1"/>
    <x v="4"/>
    <x v="3"/>
    <x v="5"/>
    <x v="24"/>
    <s v="History"/>
    <n v="14285.73"/>
    <m/>
    <n v="14877.7798363192"/>
    <n v="22.5642644565919"/>
    <m/>
    <m/>
    <n v="0"/>
    <n v="0"/>
    <n v="0"/>
    <m/>
    <m/>
    <b v="0"/>
    <n v="4888"/>
    <n v="0"/>
    <n v="2781"/>
    <s v="Stable"/>
    <n v="1519.22"/>
    <n v="1358.87"/>
    <n v="10.55"/>
    <n v="0"/>
    <m/>
    <m/>
    <m/>
    <m/>
    <m/>
    <m/>
    <m/>
    <m/>
    <m/>
    <m/>
    <m/>
    <m/>
  </r>
  <r>
    <x v="12"/>
    <s v="Chain 5_Depot 7_SKU 13_44986"/>
    <x v="34"/>
    <x v="1"/>
    <x v="4"/>
    <x v="3"/>
    <x v="5"/>
    <x v="24"/>
    <s v="History"/>
    <n v="14256.73"/>
    <m/>
    <n v="14929.611992333999"/>
    <n v="-0.54537986120955895"/>
    <m/>
    <m/>
    <n v="0"/>
    <n v="0"/>
    <n v="0"/>
    <m/>
    <m/>
    <b v="0"/>
    <n v="3025"/>
    <n v="0"/>
    <n v="1401"/>
    <s v="Stable"/>
    <n v="1551.97"/>
    <n v="1333.07"/>
    <n v="14.1"/>
    <n v="0"/>
    <m/>
    <m/>
    <m/>
    <m/>
    <m/>
    <m/>
    <m/>
    <m/>
    <m/>
    <m/>
    <m/>
    <m/>
  </r>
  <r>
    <x v="13"/>
    <s v="Chain 5_Depot 7_SKU 13_45017"/>
    <x v="34"/>
    <x v="1"/>
    <x v="4"/>
    <x v="3"/>
    <x v="5"/>
    <x v="24"/>
    <s v="History"/>
    <n v="14750.84"/>
    <m/>
    <n v="14987.2420229486"/>
    <n v="-27.925207080039499"/>
    <m/>
    <m/>
    <n v="0"/>
    <n v="0"/>
    <n v="0"/>
    <m/>
    <m/>
    <b v="0"/>
    <n v="4567"/>
    <n v="0"/>
    <n v="1621"/>
    <s v="Stable"/>
    <n v="1559.98"/>
    <n v="1382.03"/>
    <n v="11.41"/>
    <n v="0"/>
    <m/>
    <m/>
    <m/>
    <m/>
    <m/>
    <m/>
    <m/>
    <m/>
    <m/>
    <m/>
    <m/>
    <m/>
  </r>
  <r>
    <x v="14"/>
    <s v="Chain 5_Depot 7_SKU 13_45047"/>
    <x v="34"/>
    <x v="1"/>
    <x v="4"/>
    <x v="3"/>
    <x v="5"/>
    <x v="24"/>
    <s v="History"/>
    <n v="15126.23"/>
    <m/>
    <n v="15043.0197687982"/>
    <n v="176.49278247352399"/>
    <m/>
    <m/>
    <n v="0"/>
    <n v="0"/>
    <n v="0"/>
    <m/>
    <m/>
    <b v="0"/>
    <n v="3674"/>
    <n v="0"/>
    <n v="2789"/>
    <s v="Stable"/>
    <n v="1596.56"/>
    <n v="1433.71"/>
    <n v="10.199999999999999"/>
    <n v="0"/>
    <m/>
    <m/>
    <m/>
    <m/>
    <m/>
    <m/>
    <m/>
    <m/>
    <m/>
    <m/>
    <m/>
    <m/>
  </r>
  <r>
    <x v="15"/>
    <s v="Chain 5_Depot 7_SKU 13_45078"/>
    <x v="34"/>
    <x v="1"/>
    <x v="4"/>
    <x v="3"/>
    <x v="5"/>
    <x v="24"/>
    <s v="History"/>
    <n v="15005.26"/>
    <m/>
    <n v="15100.6945409731"/>
    <n v="19.6905652474777"/>
    <m/>
    <m/>
    <n v="0"/>
    <n v="0"/>
    <n v="0"/>
    <m/>
    <m/>
    <b v="0"/>
    <n v="4683"/>
    <n v="0"/>
    <n v="1087"/>
    <s v="Stable"/>
    <n v="1545.15"/>
    <n v="1389.85"/>
    <n v="10.050000000000001"/>
    <n v="0"/>
    <m/>
    <m/>
    <m/>
    <m/>
    <m/>
    <m/>
    <m/>
    <m/>
    <m/>
    <m/>
    <m/>
    <m/>
  </r>
  <r>
    <x v="16"/>
    <s v="Chain 5_Depot 7_SKU 13_45108"/>
    <x v="34"/>
    <x v="1"/>
    <x v="4"/>
    <x v="3"/>
    <x v="5"/>
    <x v="24"/>
    <s v="History"/>
    <n v="15135.74"/>
    <m/>
    <n v="15156.508884311001"/>
    <n v="322.37118206034199"/>
    <m/>
    <m/>
    <n v="0"/>
    <n v="0"/>
    <n v="0"/>
    <m/>
    <m/>
    <b v="0"/>
    <n v="2739"/>
    <n v="0"/>
    <n v="1583"/>
    <s v="Stable"/>
    <n v="1593.34"/>
    <n v="1405.63"/>
    <n v="11.78"/>
    <n v="0"/>
    <m/>
    <m/>
    <m/>
    <m/>
    <m/>
    <m/>
    <m/>
    <m/>
    <m/>
    <m/>
    <m/>
    <m/>
  </r>
  <r>
    <x v="26"/>
    <s v="Chain 5_Depot 7_SKU 13_45139"/>
    <x v="34"/>
    <x v="1"/>
    <x v="4"/>
    <x v="3"/>
    <x v="5"/>
    <x v="24"/>
    <s v="History"/>
    <n v="15667.08"/>
    <m/>
    <n v="15214.3291076807"/>
    <n v="144.64962644077201"/>
    <m/>
    <m/>
    <n v="0"/>
    <n v="0"/>
    <n v="0"/>
    <m/>
    <m/>
    <b v="0"/>
    <n v="3545"/>
    <n v="0"/>
    <n v="2916"/>
    <s v="Stable"/>
    <n v="1523.9"/>
    <n v="1327.71"/>
    <n v="12.87"/>
    <n v="0"/>
    <m/>
    <m/>
    <m/>
    <m/>
    <m/>
    <m/>
    <m/>
    <m/>
    <m/>
    <m/>
    <m/>
    <m/>
  </r>
  <r>
    <x v="27"/>
    <s v="Chain 5_Depot 7_SKU 13_45170"/>
    <x v="34"/>
    <x v="1"/>
    <x v="4"/>
    <x v="3"/>
    <x v="5"/>
    <x v="24"/>
    <s v="History"/>
    <n v="15885.17"/>
    <m/>
    <n v="15272.1493351353"/>
    <n v="354.85773292443503"/>
    <m/>
    <m/>
    <n v="0"/>
    <n v="0"/>
    <n v="0"/>
    <m/>
    <m/>
    <b v="1"/>
    <n v="2468"/>
    <n v="1"/>
    <n v="2565"/>
    <s v="Stable"/>
    <n v="1526.29"/>
    <n v="1370.88"/>
    <n v="10.18"/>
    <n v="0"/>
    <m/>
    <m/>
    <m/>
    <m/>
    <m/>
    <m/>
    <m/>
    <m/>
    <m/>
    <m/>
    <m/>
    <m/>
  </r>
  <r>
    <x v="34"/>
    <s v="Chain 5_Depot 7_SKU 13_45200"/>
    <x v="34"/>
    <x v="1"/>
    <x v="4"/>
    <x v="3"/>
    <x v="5"/>
    <x v="24"/>
    <s v="History"/>
    <n v="12164.86"/>
    <m/>
    <n v="15328.1043939052"/>
    <n v="-1700.0009336766"/>
    <m/>
    <m/>
    <n v="0"/>
    <n v="0"/>
    <n v="1"/>
    <m/>
    <m/>
    <b v="0"/>
    <n v="4259"/>
    <n v="1"/>
    <n v="2707"/>
    <s v="Stable"/>
    <n v="1535.45"/>
    <n v="1357.33"/>
    <n v="11.6"/>
    <n v="0"/>
    <m/>
    <m/>
    <m/>
    <m/>
    <m/>
    <m/>
    <m/>
    <m/>
    <m/>
    <m/>
    <m/>
    <m/>
  </r>
  <r>
    <x v="28"/>
    <s v="Chain 5_Depot 7_SKU 13_45231"/>
    <x v="34"/>
    <x v="1"/>
    <x v="4"/>
    <x v="3"/>
    <x v="5"/>
    <x v="24"/>
    <s v="History"/>
    <n v="16366.63"/>
    <m/>
    <n v="15385.924622186099"/>
    <n v="529.83173750795504"/>
    <m/>
    <m/>
    <n v="0"/>
    <n v="0"/>
    <n v="0"/>
    <m/>
    <m/>
    <b v="0"/>
    <n v="3135"/>
    <n v="0"/>
    <n v="1308"/>
    <s v="Stable"/>
    <n v="1578.71"/>
    <n v="1393.88"/>
    <n v="11.71"/>
    <n v="0"/>
    <m/>
    <m/>
    <m/>
    <m/>
    <m/>
    <m/>
    <m/>
    <m/>
    <m/>
    <m/>
    <m/>
    <m/>
  </r>
  <r>
    <x v="29"/>
    <s v="Chain 5_Depot 7_SKU 13_45261"/>
    <x v="34"/>
    <x v="1"/>
    <x v="4"/>
    <x v="3"/>
    <x v="5"/>
    <x v="24"/>
    <s v="History"/>
    <n v="16207.83"/>
    <m/>
    <n v="15441.879681021701"/>
    <n v="48.5709595792"/>
    <m/>
    <m/>
    <n v="0"/>
    <n v="0"/>
    <n v="0"/>
    <m/>
    <m/>
    <b v="0"/>
    <n v="3031"/>
    <n v="1"/>
    <n v="1905"/>
    <s v="Stable"/>
    <n v="1571.55"/>
    <n v="1376.02"/>
    <n v="12.44"/>
    <n v="0"/>
    <m/>
    <m/>
    <m/>
    <m/>
    <m/>
    <m/>
    <m/>
    <m/>
    <m/>
    <m/>
    <m/>
    <m/>
  </r>
  <r>
    <x v="17"/>
    <s v="Chain 5_Depot 7_SKU 13_45292"/>
    <x v="34"/>
    <x v="1"/>
    <x v="4"/>
    <x v="3"/>
    <x v="5"/>
    <x v="24"/>
    <s v="History"/>
    <n v="16575.18"/>
    <m/>
    <n v="15499.6999089567"/>
    <n v="285.81687636796198"/>
    <m/>
    <m/>
    <n v="0"/>
    <n v="0"/>
    <n v="0"/>
    <m/>
    <m/>
    <b v="0"/>
    <n v="4851"/>
    <n v="0"/>
    <n v="1342"/>
    <s v="Stable"/>
    <n v="1546.75"/>
    <n v="1348.79"/>
    <n v="12.8"/>
    <n v="0"/>
    <m/>
    <m/>
    <m/>
    <m/>
    <m/>
    <m/>
    <m/>
    <m/>
    <m/>
    <m/>
    <m/>
    <m/>
  </r>
  <r>
    <x v="18"/>
    <s v="Chain 5_Depot 7_SKU 13_45323"/>
    <x v="34"/>
    <x v="1"/>
    <x v="4"/>
    <x v="3"/>
    <x v="5"/>
    <x v="24"/>
    <s v="History"/>
    <n v="16187.21"/>
    <m/>
    <n v="15557.520137261999"/>
    <n v="-3.5185593592341302"/>
    <m/>
    <m/>
    <n v="0"/>
    <n v="0"/>
    <n v="0"/>
    <m/>
    <m/>
    <b v="0"/>
    <n v="4524"/>
    <n v="0"/>
    <n v="1435"/>
    <s v="Stable"/>
    <n v="1478.61"/>
    <n v="1316.19"/>
    <n v="10.98"/>
    <n v="0"/>
    <m/>
    <m/>
    <m/>
    <m/>
    <m/>
    <m/>
    <m/>
    <m/>
    <m/>
    <m/>
    <m/>
    <m/>
  </r>
  <r>
    <x v="19"/>
    <s v="Chain 5_Depot 7_SKU 13_45352"/>
    <x v="34"/>
    <x v="1"/>
    <x v="4"/>
    <x v="3"/>
    <x v="5"/>
    <x v="24"/>
    <s v="History"/>
    <n v="15983.69"/>
    <m/>
    <n v="15611.610028225499"/>
    <n v="-87.265171796928598"/>
    <m/>
    <m/>
    <n v="0"/>
    <n v="0"/>
    <n v="0"/>
    <m/>
    <m/>
    <b v="0"/>
    <n v="2873"/>
    <n v="1"/>
    <n v="1176"/>
    <s v="Stable"/>
    <n v="1570.65"/>
    <n v="942.39"/>
    <n v="40"/>
    <n v="1"/>
    <m/>
    <m/>
    <m/>
    <m/>
    <m/>
    <m/>
    <m/>
    <m/>
    <m/>
    <m/>
    <m/>
    <m/>
  </r>
  <r>
    <x v="20"/>
    <s v="Chain 5_Depot 7_SKU 13_45383"/>
    <x v="34"/>
    <x v="1"/>
    <x v="4"/>
    <x v="3"/>
    <x v="5"/>
    <x v="24"/>
    <s v="History"/>
    <n v="15635.56"/>
    <m/>
    <n v="15669.4302564968"/>
    <n v="71.341867211326402"/>
    <m/>
    <m/>
    <n v="0"/>
    <n v="0"/>
    <n v="0"/>
    <m/>
    <m/>
    <b v="0"/>
    <n v="2459"/>
    <n v="0"/>
    <n v="1138"/>
    <s v="Stable"/>
    <n v="1496.93"/>
    <n v="1327.07"/>
    <n v="11.35"/>
    <n v="0"/>
    <m/>
    <m/>
    <m/>
    <m/>
    <m/>
    <m/>
    <m/>
    <m/>
    <m/>
    <m/>
    <m/>
    <m/>
  </r>
  <r>
    <x v="21"/>
    <s v="Chain 5_Depot 7_SKU 13_45413"/>
    <x v="34"/>
    <x v="1"/>
    <x v="4"/>
    <x v="3"/>
    <x v="5"/>
    <x v="24"/>
    <s v="History"/>
    <n v="15827.21"/>
    <m/>
    <n v="15725.3853161142"/>
    <n v="73.783231207928694"/>
    <m/>
    <m/>
    <n v="0"/>
    <n v="0"/>
    <n v="0"/>
    <m/>
    <m/>
    <b v="0"/>
    <n v="4300"/>
    <n v="2"/>
    <n v="1193"/>
    <s v="Stable"/>
    <n v="1494.21"/>
    <n v="1310.23"/>
    <n v="12.31"/>
    <n v="0"/>
    <m/>
    <m/>
    <m/>
    <m/>
    <m/>
    <m/>
    <m/>
    <m/>
    <m/>
    <m/>
    <m/>
    <m/>
  </r>
  <r>
    <x v="22"/>
    <s v="Chain 5_Depot 7_SKU 13_45444"/>
    <x v="34"/>
    <x v="1"/>
    <x v="4"/>
    <x v="3"/>
    <x v="5"/>
    <x v="24"/>
    <s v="History"/>
    <n v="15771.8"/>
    <m/>
    <n v="15783.205544385601"/>
    <n v="130.43219706571301"/>
    <m/>
    <m/>
    <n v="0"/>
    <n v="0"/>
    <n v="0"/>
    <m/>
    <m/>
    <b v="0"/>
    <n v="3549"/>
    <n v="0"/>
    <n v="2209"/>
    <s v="Stable"/>
    <n v="1483.08"/>
    <n v="1296.01"/>
    <n v="12.61"/>
    <n v="0"/>
    <m/>
    <m/>
    <m/>
    <m/>
    <m/>
    <m/>
    <m/>
    <m/>
    <m/>
    <m/>
    <m/>
    <m/>
  </r>
  <r>
    <x v="30"/>
    <s v="Chain 5_Depot 7_SKU 13_45474"/>
    <x v="34"/>
    <x v="1"/>
    <x v="4"/>
    <x v="3"/>
    <x v="5"/>
    <x v="24"/>
    <s v="History"/>
    <n v="16043.7"/>
    <n v="16048.63"/>
    <n v="15839.160604003"/>
    <n v="208.958465536457"/>
    <n v="16248.63"/>
    <n v="15848.63"/>
    <n v="0"/>
    <n v="0"/>
    <n v="0"/>
    <m/>
    <m/>
    <b v="0"/>
    <n v="2751"/>
    <n v="1"/>
    <n v="2241"/>
    <s v="Stable"/>
    <n v="1535.84"/>
    <n v="1336.48"/>
    <n v="12.98"/>
    <n v="0"/>
    <m/>
    <m/>
    <m/>
    <m/>
    <m/>
    <m/>
    <m/>
    <m/>
    <m/>
    <m/>
    <m/>
    <m/>
  </r>
  <r>
    <x v="23"/>
    <s v="Chain 5_Depot 7_SKU 13_45505"/>
    <x v="34"/>
    <x v="1"/>
    <x v="4"/>
    <x v="3"/>
    <x v="5"/>
    <x v="24"/>
    <s v="History"/>
    <n v="16018.86"/>
    <n v="16095.75"/>
    <n v="15896.980832274299"/>
    <n v="272.88317508425598"/>
    <n v="16295.75"/>
    <n v="15895.75"/>
    <n v="0"/>
    <n v="0"/>
    <n v="0"/>
    <m/>
    <m/>
    <b v="0"/>
    <n v="3461"/>
    <n v="0"/>
    <n v="2187"/>
    <s v="Stable"/>
    <n v="1600.59"/>
    <n v="1406.77"/>
    <n v="12.11"/>
    <n v="0"/>
    <m/>
    <m/>
    <m/>
    <m/>
    <m/>
    <m/>
    <m/>
    <m/>
    <m/>
    <m/>
    <m/>
    <m/>
  </r>
  <r>
    <x v="24"/>
    <s v="Chain 5_Depot 7_SKU 13_45536"/>
    <x v="34"/>
    <x v="1"/>
    <x v="4"/>
    <x v="3"/>
    <x v="5"/>
    <x v="24"/>
    <s v="History"/>
    <n v="15828.41"/>
    <n v="15767.58"/>
    <n v="15954.8010605456"/>
    <n v="202.70583521382301"/>
    <n v="15967.58"/>
    <n v="15567.58"/>
    <n v="0"/>
    <n v="0"/>
    <n v="0"/>
    <m/>
    <m/>
    <b v="0"/>
    <n v="3777"/>
    <n v="0"/>
    <n v="2184"/>
    <s v="Stable"/>
    <n v="1491.73"/>
    <n v="1304.45"/>
    <n v="12.55"/>
    <n v="0"/>
    <m/>
    <m/>
    <m/>
    <m/>
    <m/>
    <m/>
    <m/>
    <m/>
    <m/>
    <m/>
    <m/>
    <m/>
  </r>
  <r>
    <x v="31"/>
    <s v="Chain 5_Depot 7_SKU 13_45566"/>
    <x v="34"/>
    <x v="1"/>
    <x v="4"/>
    <x v="3"/>
    <x v="5"/>
    <x v="24"/>
    <s v="Forecast"/>
    <m/>
    <n v="16329.11"/>
    <n v="16010.756120163"/>
    <n v="-1592.9395713233801"/>
    <n v="16529.11"/>
    <n v="16129.11"/>
    <m/>
    <m/>
    <m/>
    <m/>
    <m/>
    <m/>
    <m/>
    <m/>
    <n v="1942"/>
    <n v="0"/>
    <n v="1623.93"/>
    <n v="1408.63"/>
    <n v="13.26"/>
    <n v="0"/>
    <m/>
    <m/>
    <m/>
    <m/>
    <m/>
    <m/>
    <m/>
    <m/>
    <m/>
    <m/>
    <m/>
    <m/>
  </r>
  <r>
    <x v="25"/>
    <s v="Chain 5_Depot 7_SKU 13_45597"/>
    <x v="34"/>
    <x v="1"/>
    <x v="4"/>
    <x v="3"/>
    <x v="5"/>
    <x v="24"/>
    <s v="Forecast"/>
    <m/>
    <n v="16659.78"/>
    <n v="16068.576348434301"/>
    <n v="468.93797112130699"/>
    <n v="16859.78"/>
    <n v="16459.78"/>
    <m/>
    <m/>
    <m/>
    <m/>
    <m/>
    <m/>
    <m/>
    <m/>
    <n v="1524"/>
    <n v="0"/>
    <n v="1585.49"/>
    <n v="1412.72"/>
    <n v="10.9"/>
    <n v="0"/>
    <m/>
    <m/>
    <m/>
    <m/>
    <m/>
    <m/>
    <m/>
    <m/>
    <m/>
    <m/>
    <m/>
    <m/>
  </r>
  <r>
    <x v="32"/>
    <s v="Chain 5_Depot 7_SKU 13_45627"/>
    <x v="34"/>
    <x v="1"/>
    <x v="4"/>
    <x v="3"/>
    <x v="5"/>
    <x v="24"/>
    <s v="Forecast"/>
    <m/>
    <n v="16869.43"/>
    <n v="16124.5314080518"/>
    <n v="122.60217393484901"/>
    <n v="17069.43"/>
    <n v="16669.43"/>
    <m/>
    <m/>
    <m/>
    <m/>
    <m/>
    <m/>
    <m/>
    <m/>
    <n v="2831"/>
    <n v="0"/>
    <n v="1466.77"/>
    <n v="1278.03"/>
    <n v="12.87"/>
    <n v="0"/>
    <m/>
    <m/>
    <m/>
    <m/>
    <m/>
    <m/>
    <m/>
    <m/>
    <m/>
    <m/>
    <m/>
    <m/>
  </r>
  <r>
    <x v="34"/>
    <s v="Chain 5_Depot 7_SKU 14_45200"/>
    <x v="35"/>
    <x v="1"/>
    <x v="4"/>
    <x v="3"/>
    <x v="3"/>
    <x v="3"/>
    <s v="History"/>
    <n v="18796.68"/>
    <m/>
    <n v="56443.404316599997"/>
    <n v="-37646.622240652498"/>
    <m/>
    <m/>
    <n v="0"/>
    <n v="0"/>
    <n v="0"/>
    <m/>
    <m/>
    <b v="0"/>
    <n v="4254"/>
    <n v="0"/>
    <n v="1854"/>
    <s v="Stable"/>
    <n v="1178.75"/>
    <n v="1057.22"/>
    <n v="10.31"/>
    <n v="0"/>
    <m/>
    <m/>
    <m/>
    <m/>
    <m/>
    <m/>
    <m/>
    <m/>
    <m/>
    <m/>
    <m/>
    <m/>
  </r>
  <r>
    <x v="28"/>
    <s v="Chain 5_Depot 7_SKU 14_45231"/>
    <x v="35"/>
    <x v="1"/>
    <x v="4"/>
    <x v="3"/>
    <x v="3"/>
    <x v="3"/>
    <s v="History"/>
    <n v="19470.240000000002"/>
    <m/>
    <n v="54114.104602908301"/>
    <n v="-34643.733374909199"/>
    <m/>
    <m/>
    <n v="0"/>
    <n v="0"/>
    <n v="0"/>
    <m/>
    <m/>
    <b v="0"/>
    <n v="4716"/>
    <n v="0"/>
    <n v="1782"/>
    <s v="Stable"/>
    <n v="1221.8599999999999"/>
    <n v="1081.0999999999999"/>
    <n v="11.52"/>
    <n v="0"/>
    <m/>
    <m/>
    <m/>
    <m/>
    <m/>
    <m/>
    <m/>
    <m/>
    <m/>
    <m/>
    <m/>
    <m/>
  </r>
  <r>
    <x v="18"/>
    <s v="Chain 5_Depot 7_SKU 14_45323"/>
    <x v="35"/>
    <x v="1"/>
    <x v="4"/>
    <x v="3"/>
    <x v="3"/>
    <x v="3"/>
    <s v="History"/>
    <n v="19547.27"/>
    <m/>
    <n v="47756.822055256598"/>
    <n v="-28209.560335828599"/>
    <m/>
    <m/>
    <n v="0"/>
    <n v="0"/>
    <n v="0"/>
    <m/>
    <m/>
    <b v="0"/>
    <n v="2411"/>
    <n v="0"/>
    <n v="1962"/>
    <s v="Stable"/>
    <n v="1288.18"/>
    <n v="1131.29"/>
    <n v="12.18"/>
    <n v="0"/>
    <m/>
    <m/>
    <m/>
    <m/>
    <m/>
    <m/>
    <m/>
    <m/>
    <m/>
    <m/>
    <m/>
    <m/>
  </r>
  <r>
    <x v="20"/>
    <s v="Chain 5_Depot 7_SKU 14_45383"/>
    <x v="35"/>
    <x v="1"/>
    <x v="4"/>
    <x v="3"/>
    <x v="3"/>
    <x v="3"/>
    <s v="History"/>
    <n v="19699.07"/>
    <m/>
    <n v="44069.453806131598"/>
    <n v="-24370.383512942699"/>
    <m/>
    <m/>
    <n v="0"/>
    <n v="0"/>
    <n v="0"/>
    <m/>
    <m/>
    <b v="0"/>
    <n v="3393"/>
    <n v="0"/>
    <n v="2225"/>
    <s v="Stable"/>
    <n v="1240.04"/>
    <n v="1099.58"/>
    <n v="11.33"/>
    <n v="0"/>
    <m/>
    <m/>
    <m/>
    <m/>
    <m/>
    <m/>
    <m/>
    <m/>
    <m/>
    <m/>
    <m/>
    <m/>
  </r>
  <r>
    <x v="21"/>
    <s v="Chain 5_Depot 7_SKU 14_45413"/>
    <x v="35"/>
    <x v="1"/>
    <x v="4"/>
    <x v="3"/>
    <x v="3"/>
    <x v="3"/>
    <s v="History"/>
    <n v="19554.04"/>
    <m/>
    <n v="42024.007223856599"/>
    <n v="-22469.9414883973"/>
    <m/>
    <m/>
    <n v="0"/>
    <n v="0"/>
    <n v="0"/>
    <m/>
    <m/>
    <b v="0"/>
    <n v="3376"/>
    <n v="0"/>
    <n v="1167"/>
    <s v="Stable"/>
    <n v="1213.7"/>
    <n v="1059.46"/>
    <n v="12.71"/>
    <n v="0"/>
    <m/>
    <m/>
    <m/>
    <m/>
    <m/>
    <m/>
    <m/>
    <m/>
    <m/>
    <m/>
    <m/>
    <m/>
  </r>
  <r>
    <x v="22"/>
    <s v="Chain 5_Depot 7_SKU 14_45444"/>
    <x v="35"/>
    <x v="1"/>
    <x v="4"/>
    <x v="3"/>
    <x v="3"/>
    <x v="3"/>
    <s v="History"/>
    <n v="19756.939999999999"/>
    <m/>
    <n v="40050.292739883698"/>
    <n v="-20293.306018152802"/>
    <m/>
    <m/>
    <n v="0"/>
    <n v="0"/>
    <n v="0"/>
    <m/>
    <m/>
    <b v="0"/>
    <n v="3967"/>
    <n v="0"/>
    <n v="2637"/>
    <s v="Stable"/>
    <n v="1173.52"/>
    <n v="1035.96"/>
    <n v="11.72"/>
    <n v="0"/>
    <m/>
    <m/>
    <m/>
    <m/>
    <m/>
    <m/>
    <m/>
    <m/>
    <m/>
    <m/>
    <m/>
    <m/>
  </r>
  <r>
    <x v="30"/>
    <s v="Chain 5_Depot 7_SKU 14_45474"/>
    <x v="35"/>
    <x v="1"/>
    <x v="4"/>
    <x v="3"/>
    <x v="3"/>
    <x v="3"/>
    <s v="History"/>
    <n v="19724.72"/>
    <n v="19482.080000000002"/>
    <n v="37959.401667583697"/>
    <n v="-18234.614747777799"/>
    <n v="19682.080000000002"/>
    <n v="19282.080000000002"/>
    <n v="0"/>
    <n v="0"/>
    <n v="0"/>
    <m/>
    <m/>
    <b v="0"/>
    <n v="3359"/>
    <n v="0"/>
    <n v="1085"/>
    <s v="Stable"/>
    <n v="1312.01"/>
    <n v="1160.3399999999999"/>
    <n v="11.56"/>
    <n v="0"/>
    <m/>
    <m/>
    <m/>
    <m/>
    <m/>
    <m/>
    <m/>
    <m/>
    <m/>
    <m/>
    <m/>
    <m/>
  </r>
  <r>
    <x v="24"/>
    <s v="Chain 5_Depot 7_SKU 14_45536"/>
    <x v="35"/>
    <x v="1"/>
    <x v="4"/>
    <x v="3"/>
    <x v="3"/>
    <x v="3"/>
    <s v="History"/>
    <n v="19491.53"/>
    <n v="19426.61"/>
    <n v="33638.226784830404"/>
    <n v="-14146.54255242"/>
    <n v="19626.61"/>
    <n v="19226.61"/>
    <n v="0"/>
    <n v="0"/>
    <n v="0"/>
    <m/>
    <m/>
    <b v="1"/>
    <n v="2905"/>
    <n v="0"/>
    <n v="2982"/>
    <s v="Stable"/>
    <n v="1205.67"/>
    <n v="723.4"/>
    <n v="40"/>
    <n v="1"/>
    <m/>
    <m/>
    <m/>
    <m/>
    <m/>
    <m/>
    <m/>
    <m/>
    <m/>
    <m/>
    <m/>
    <m/>
  </r>
  <r>
    <x v="31"/>
    <s v="Chain 5_Depot 7_SKU 14_45566"/>
    <x v="35"/>
    <x v="1"/>
    <x v="4"/>
    <x v="3"/>
    <x v="3"/>
    <x v="3"/>
    <s v="Forecast"/>
    <m/>
    <n v="20077.900000000001"/>
    <n v="31547.335712530399"/>
    <n v="-47469.797378006297"/>
    <n v="20277.900000000001"/>
    <n v="19877.900000000001"/>
    <m/>
    <m/>
    <m/>
    <m/>
    <m/>
    <m/>
    <m/>
    <m/>
    <n v="1848"/>
    <n v="0"/>
    <n v="1276.98"/>
    <n v="1113.51"/>
    <n v="12.8"/>
    <n v="0"/>
    <m/>
    <m/>
    <m/>
    <m/>
    <m/>
    <m/>
    <m/>
    <m/>
    <m/>
    <m/>
    <m/>
    <m/>
  </r>
  <r>
    <x v="25"/>
    <s v="Chain 5_Depot 7_SKU 14_45597"/>
    <x v="35"/>
    <x v="1"/>
    <x v="4"/>
    <x v="3"/>
    <x v="3"/>
    <x v="3"/>
    <s v="Forecast"/>
    <m/>
    <n v="20323.68"/>
    <n v="29386.748271153701"/>
    <n v="-22912.9272922407"/>
    <n v="20523.68"/>
    <n v="20123.68"/>
    <m/>
    <m/>
    <m/>
    <m/>
    <m/>
    <m/>
    <m/>
    <m/>
    <n v="2748"/>
    <n v="0"/>
    <n v="1237.49"/>
    <n v="1098.4000000000001"/>
    <n v="11.24"/>
    <n v="0"/>
    <m/>
    <m/>
    <m/>
    <m/>
    <m/>
    <m/>
    <m/>
    <m/>
    <m/>
    <m/>
    <m/>
    <m/>
  </r>
  <r>
    <x v="32"/>
    <s v="Chain 5_Depot 7_SKU 14_45627"/>
    <x v="35"/>
    <x v="1"/>
    <x v="4"/>
    <x v="3"/>
    <x v="3"/>
    <x v="3"/>
    <s v="Forecast"/>
    <m/>
    <n v="20882.91"/>
    <n v="27295.857198853701"/>
    <n v="40086.879445893501"/>
    <n v="21082.91"/>
    <n v="20682.91"/>
    <m/>
    <m/>
    <m/>
    <m/>
    <m/>
    <m/>
    <m/>
    <m/>
    <n v="2074"/>
    <n v="0"/>
    <n v="1226.6400000000001"/>
    <n v="1100.73"/>
    <n v="10.26"/>
    <n v="0"/>
    <m/>
    <m/>
    <m/>
    <m/>
    <m/>
    <m/>
    <m/>
    <m/>
    <m/>
    <m/>
    <m/>
    <m/>
  </r>
  <r>
    <x v="0"/>
    <s v="Chain 5_Depot 7_SKU 3_44562"/>
    <x v="36"/>
    <x v="1"/>
    <x v="4"/>
    <x v="3"/>
    <x v="6"/>
    <x v="9"/>
    <s v="History"/>
    <n v="11532.38"/>
    <m/>
    <n v="11953.45333497"/>
    <n v="-491.06610508307699"/>
    <m/>
    <m/>
    <n v="0"/>
    <n v="0"/>
    <n v="0"/>
    <m/>
    <m/>
    <b v="0"/>
    <n v="3288"/>
    <n v="0"/>
    <n v="2310"/>
    <s v="Stable"/>
    <n v="1289.78"/>
    <n v="1069.6500000000001"/>
    <n v="17.07"/>
    <n v="0"/>
    <m/>
    <m/>
    <m/>
    <m/>
    <m/>
    <m/>
    <m/>
    <m/>
    <m/>
    <m/>
    <m/>
    <m/>
  </r>
  <r>
    <x v="1"/>
    <s v="Chain 5_Depot 7_SKU 3_44593"/>
    <x v="36"/>
    <x v="1"/>
    <x v="4"/>
    <x v="3"/>
    <x v="6"/>
    <x v="9"/>
    <s v="History"/>
    <n v="12042.57"/>
    <m/>
    <n v="11990.3195573346"/>
    <n v="504.45916273043201"/>
    <m/>
    <m/>
    <n v="0"/>
    <n v="0"/>
    <n v="0"/>
    <m/>
    <m/>
    <b v="0"/>
    <n v="3806"/>
    <n v="0"/>
    <n v="1471"/>
    <s v="Stable"/>
    <n v="1177.69"/>
    <n v="1004.09"/>
    <n v="14.74"/>
    <n v="0"/>
    <m/>
    <m/>
    <m/>
    <m/>
    <m/>
    <m/>
    <m/>
    <m/>
    <m/>
    <m/>
    <m/>
    <m/>
  </r>
  <r>
    <x v="2"/>
    <s v="Chain 5_Depot 7_SKU 3_44621"/>
    <x v="36"/>
    <x v="1"/>
    <x v="4"/>
    <x v="3"/>
    <x v="6"/>
    <x v="9"/>
    <s v="History"/>
    <n v="11948.74"/>
    <m/>
    <n v="12023.618080874099"/>
    <n v="-560.70342139593004"/>
    <m/>
    <m/>
    <n v="0"/>
    <n v="0"/>
    <n v="0"/>
    <m/>
    <m/>
    <b v="0"/>
    <n v="4187"/>
    <n v="0"/>
    <n v="2398"/>
    <s v="Stable"/>
    <n v="1191.77"/>
    <n v="1008.37"/>
    <n v="15.39"/>
    <n v="0"/>
    <m/>
    <m/>
    <m/>
    <m/>
    <m/>
    <m/>
    <m/>
    <m/>
    <m/>
    <m/>
    <m/>
    <m/>
  </r>
  <r>
    <x v="3"/>
    <s v="Chain 5_Depot 7_SKU 3_44652"/>
    <x v="36"/>
    <x v="1"/>
    <x v="4"/>
    <x v="3"/>
    <x v="6"/>
    <x v="9"/>
    <s v="History"/>
    <n v="11841.44"/>
    <m/>
    <n v="12060.484303290699"/>
    <n v="-212.40723653085499"/>
    <m/>
    <m/>
    <n v="0"/>
    <n v="0"/>
    <n v="0"/>
    <m/>
    <m/>
    <b v="0"/>
    <n v="3504"/>
    <n v="0"/>
    <n v="1653"/>
    <s v="Stable"/>
    <n v="1202.57"/>
    <n v="1023.72"/>
    <n v="14.87"/>
    <n v="0"/>
    <m/>
    <m/>
    <m/>
    <m/>
    <m/>
    <m/>
    <m/>
    <m/>
    <m/>
    <m/>
    <m/>
    <m/>
  </r>
  <r>
    <x v="4"/>
    <s v="Chain 5_Depot 7_SKU 3_44682"/>
    <x v="36"/>
    <x v="1"/>
    <x v="4"/>
    <x v="3"/>
    <x v="6"/>
    <x v="9"/>
    <s v="History"/>
    <n v="12260.16"/>
    <m/>
    <n v="12096.1612927442"/>
    <n v="112.517768855737"/>
    <m/>
    <m/>
    <n v="0"/>
    <n v="0"/>
    <n v="0"/>
    <m/>
    <m/>
    <b v="0"/>
    <n v="3016"/>
    <n v="0"/>
    <n v="1748"/>
    <s v="Stable"/>
    <n v="1206.55"/>
    <n v="1016.48"/>
    <n v="15.75"/>
    <n v="0"/>
    <m/>
    <m/>
    <m/>
    <m/>
    <m/>
    <m/>
    <m/>
    <m/>
    <m/>
    <m/>
    <m/>
    <m/>
  </r>
  <r>
    <x v="5"/>
    <s v="Chain 5_Depot 7_SKU 3_44713"/>
    <x v="36"/>
    <x v="1"/>
    <x v="4"/>
    <x v="3"/>
    <x v="6"/>
    <x v="9"/>
    <s v="History"/>
    <n v="12488.45"/>
    <m/>
    <n v="12133.0275150864"/>
    <n v="192.65929910288901"/>
    <m/>
    <m/>
    <n v="0"/>
    <n v="0"/>
    <n v="0"/>
    <m/>
    <m/>
    <b v="0"/>
    <n v="2952"/>
    <n v="0"/>
    <n v="1536"/>
    <s v="Stable"/>
    <n v="1180.17"/>
    <n v="997.61"/>
    <n v="15.47"/>
    <n v="0"/>
    <m/>
    <m/>
    <m/>
    <m/>
    <m/>
    <m/>
    <m/>
    <m/>
    <m/>
    <m/>
    <m/>
    <m/>
  </r>
  <r>
    <x v="6"/>
    <s v="Chain 5_Depot 7_SKU 3_44743"/>
    <x v="36"/>
    <x v="1"/>
    <x v="4"/>
    <x v="3"/>
    <x v="6"/>
    <x v="9"/>
    <s v="History"/>
    <n v="12470.67"/>
    <m/>
    <n v="12168.7045045821"/>
    <n v="313.55217194924899"/>
    <m/>
    <m/>
    <n v="0"/>
    <n v="0"/>
    <n v="0"/>
    <m/>
    <m/>
    <b v="0"/>
    <n v="4951"/>
    <n v="0"/>
    <n v="2534"/>
    <s v="Stable"/>
    <n v="1294.1500000000001"/>
    <n v="1097.53"/>
    <n v="15.19"/>
    <n v="0"/>
    <m/>
    <m/>
    <m/>
    <m/>
    <m/>
    <m/>
    <m/>
    <m/>
    <m/>
    <m/>
    <m/>
    <m/>
  </r>
  <r>
    <x v="7"/>
    <s v="Chain 5_Depot 7_SKU 3_44774"/>
    <x v="36"/>
    <x v="1"/>
    <x v="4"/>
    <x v="3"/>
    <x v="6"/>
    <x v="9"/>
    <s v="History"/>
    <n v="12112.87"/>
    <m/>
    <n v="12205.5707269101"/>
    <n v="-20.112264428205702"/>
    <m/>
    <m/>
    <n v="0"/>
    <n v="0"/>
    <n v="0"/>
    <m/>
    <m/>
    <b v="0"/>
    <n v="2071"/>
    <n v="0"/>
    <n v="1801"/>
    <s v="Stable"/>
    <n v="1220.06"/>
    <n v="1029.43"/>
    <n v="15.62"/>
    <n v="0"/>
    <m/>
    <m/>
    <m/>
    <m/>
    <m/>
    <m/>
    <m/>
    <m/>
    <m/>
    <m/>
    <m/>
    <m/>
  </r>
  <r>
    <x v="35"/>
    <s v="Chain 5_Depot 7_SKU 3_44805"/>
    <x v="36"/>
    <x v="1"/>
    <x v="4"/>
    <x v="3"/>
    <x v="6"/>
    <x v="9"/>
    <s v="History"/>
    <n v="12201.77"/>
    <m/>
    <n v="12242.4369493706"/>
    <n v="451.26177877618801"/>
    <m/>
    <m/>
    <n v="0"/>
    <n v="0"/>
    <n v="0"/>
    <m/>
    <m/>
    <b v="0"/>
    <n v="3690"/>
    <n v="0"/>
    <n v="2602"/>
    <s v="Stable"/>
    <n v="1250.6300000000001"/>
    <n v="1039.98"/>
    <n v="16.84"/>
    <n v="0"/>
    <m/>
    <m/>
    <m/>
    <m/>
    <m/>
    <m/>
    <m/>
    <m/>
    <m/>
    <m/>
    <m/>
    <m/>
  </r>
  <r>
    <x v="33"/>
    <s v="Chain 5_Depot 7_SKU 3_44835"/>
    <x v="36"/>
    <x v="1"/>
    <x v="4"/>
    <x v="3"/>
    <x v="6"/>
    <x v="9"/>
    <s v="History"/>
    <n v="12700.11"/>
    <m/>
    <n v="12278.113938897999"/>
    <n v="744.45586302275103"/>
    <m/>
    <m/>
    <n v="0"/>
    <n v="0"/>
    <n v="0"/>
    <m/>
    <m/>
    <b v="0"/>
    <n v="3291"/>
    <n v="0"/>
    <n v="2273"/>
    <s v="Stable"/>
    <n v="1204.48"/>
    <n v="1017.1"/>
    <n v="15.56"/>
    <n v="0"/>
    <m/>
    <m/>
    <m/>
    <m/>
    <m/>
    <m/>
    <m/>
    <m/>
    <m/>
    <m/>
    <m/>
    <m/>
  </r>
  <r>
    <x v="8"/>
    <s v="Chain 5_Depot 7_SKU 3_44866"/>
    <x v="36"/>
    <x v="1"/>
    <x v="4"/>
    <x v="3"/>
    <x v="6"/>
    <x v="9"/>
    <s v="History"/>
    <n v="11813.4"/>
    <m/>
    <n v="12314.980161534801"/>
    <n v="43.136275935421303"/>
    <m/>
    <m/>
    <n v="0"/>
    <n v="0"/>
    <n v="0"/>
    <m/>
    <m/>
    <b v="0"/>
    <n v="3344"/>
    <n v="0"/>
    <n v="1919"/>
    <s v="Stable"/>
    <n v="1141.97"/>
    <n v="950.81"/>
    <n v="16.739999999999998"/>
    <n v="0"/>
    <m/>
    <m/>
    <m/>
    <m/>
    <m/>
    <m/>
    <m/>
    <m/>
    <m/>
    <m/>
    <m/>
    <m/>
  </r>
  <r>
    <x v="9"/>
    <s v="Chain 5_Depot 7_SKU 3_44896"/>
    <x v="36"/>
    <x v="1"/>
    <x v="4"/>
    <x v="3"/>
    <x v="6"/>
    <x v="9"/>
    <s v="History"/>
    <n v="12116.74"/>
    <m/>
    <n v="12350.6571510674"/>
    <n v="461.09740360034903"/>
    <m/>
    <m/>
    <n v="0"/>
    <n v="0"/>
    <n v="0"/>
    <m/>
    <m/>
    <b v="0"/>
    <n v="4154"/>
    <n v="0"/>
    <n v="1509"/>
    <s v="Stable"/>
    <n v="1246.5"/>
    <n v="1063.6400000000001"/>
    <n v="14.67"/>
    <n v="0"/>
    <m/>
    <m/>
    <m/>
    <m/>
    <m/>
    <m/>
    <m/>
    <m/>
    <m/>
    <m/>
    <m/>
    <m/>
  </r>
  <r>
    <x v="10"/>
    <s v="Chain 5_Depot 7_SKU 3_44927"/>
    <x v="36"/>
    <x v="1"/>
    <x v="4"/>
    <x v="3"/>
    <x v="6"/>
    <x v="9"/>
    <s v="History"/>
    <n v="11535.89"/>
    <m/>
    <n v="12387.523373411401"/>
    <n v="-168.554307026488"/>
    <m/>
    <m/>
    <n v="0"/>
    <n v="0"/>
    <n v="0"/>
    <m/>
    <m/>
    <b v="0"/>
    <n v="2882"/>
    <n v="0"/>
    <n v="1629"/>
    <s v="Stable"/>
    <n v="1137.3900000000001"/>
    <n v="941.89"/>
    <n v="17.190000000000001"/>
    <n v="0"/>
    <m/>
    <m/>
    <m/>
    <m/>
    <m/>
    <m/>
    <m/>
    <m/>
    <m/>
    <m/>
    <m/>
    <m/>
  </r>
  <r>
    <x v="11"/>
    <s v="Chain 5_Depot 7_SKU 3_44958"/>
    <x v="36"/>
    <x v="1"/>
    <x v="4"/>
    <x v="3"/>
    <x v="6"/>
    <x v="9"/>
    <s v="History"/>
    <n v="12157.25"/>
    <m/>
    <n v="12424.3895956008"/>
    <n v="209.44067159674401"/>
    <m/>
    <m/>
    <n v="0"/>
    <n v="0"/>
    <n v="0"/>
    <m/>
    <m/>
    <b v="0"/>
    <n v="2138"/>
    <n v="0"/>
    <n v="2001"/>
    <s v="Stable"/>
    <n v="1229.57"/>
    <n v="1053.81"/>
    <n v="14.29"/>
    <n v="0"/>
    <m/>
    <m/>
    <m/>
    <m/>
    <m/>
    <m/>
    <m/>
    <m/>
    <m/>
    <m/>
    <m/>
    <m/>
  </r>
  <r>
    <x v="12"/>
    <s v="Chain 5_Depot 7_SKU 3_44986"/>
    <x v="36"/>
    <x v="1"/>
    <x v="4"/>
    <x v="3"/>
    <x v="6"/>
    <x v="9"/>
    <s v="History"/>
    <n v="15522.01"/>
    <m/>
    <n v="12457.688118735199"/>
    <n v="-260.79027838155298"/>
    <m/>
    <m/>
    <n v="0"/>
    <n v="0"/>
    <n v="1"/>
    <m/>
    <m/>
    <b v="0"/>
    <n v="4662"/>
    <n v="1"/>
    <n v="2096"/>
    <s v="Stable"/>
    <n v="1164.58"/>
    <n v="991.14"/>
    <n v="14.89"/>
    <n v="0"/>
    <m/>
    <m/>
    <m/>
    <m/>
    <m/>
    <m/>
    <m/>
    <m/>
    <m/>
    <m/>
    <m/>
    <m/>
  </r>
  <r>
    <x v="13"/>
    <s v="Chain 5_Depot 7_SKU 3_45017"/>
    <x v="36"/>
    <x v="1"/>
    <x v="4"/>
    <x v="3"/>
    <x v="6"/>
    <x v="9"/>
    <s v="History"/>
    <n v="12311.49"/>
    <m/>
    <n v="12494.554340880901"/>
    <n v="-530.65849466111194"/>
    <m/>
    <m/>
    <n v="0"/>
    <n v="0"/>
    <n v="0"/>
    <m/>
    <m/>
    <b v="0"/>
    <n v="4910"/>
    <n v="0"/>
    <n v="2305"/>
    <s v="Stable"/>
    <n v="1332.36"/>
    <n v="1133.98"/>
    <n v="14.89"/>
    <n v="0"/>
    <m/>
    <m/>
    <m/>
    <m/>
    <m/>
    <m/>
    <m/>
    <m/>
    <m/>
    <m/>
    <m/>
    <m/>
  </r>
  <r>
    <x v="14"/>
    <s v="Chain 5_Depot 7_SKU 3_45047"/>
    <x v="36"/>
    <x v="1"/>
    <x v="4"/>
    <x v="3"/>
    <x v="6"/>
    <x v="9"/>
    <s v="History"/>
    <n v="12176.23"/>
    <m/>
    <n v="12530.231329902501"/>
    <n v="432.43031909254"/>
    <m/>
    <m/>
    <n v="0"/>
    <n v="0"/>
    <n v="0"/>
    <m/>
    <m/>
    <b v="0"/>
    <n v="4320"/>
    <n v="0"/>
    <n v="1915"/>
    <s v="Stable"/>
    <n v="1278.57"/>
    <n v="1054.98"/>
    <n v="17.489999999999998"/>
    <n v="0"/>
    <m/>
    <m/>
    <m/>
    <m/>
    <m/>
    <m/>
    <m/>
    <m/>
    <m/>
    <m/>
    <m/>
    <m/>
  </r>
  <r>
    <x v="15"/>
    <s v="Chain 5_Depot 7_SKU 3_45078"/>
    <x v="36"/>
    <x v="1"/>
    <x v="4"/>
    <x v="3"/>
    <x v="6"/>
    <x v="9"/>
    <s v="History"/>
    <n v="12728.88"/>
    <m/>
    <n v="12567.085332479101"/>
    <n v="-135.011234238713"/>
    <m/>
    <m/>
    <n v="0"/>
    <n v="0"/>
    <n v="0"/>
    <m/>
    <m/>
    <b v="0"/>
    <n v="3504"/>
    <n v="0"/>
    <n v="2983"/>
    <s v="Stable"/>
    <n v="1238.29"/>
    <n v="1044.48"/>
    <n v="15.65"/>
    <n v="0"/>
    <m/>
    <m/>
    <m/>
    <m/>
    <m/>
    <m/>
    <m/>
    <m/>
    <m/>
    <m/>
    <m/>
    <m/>
  </r>
  <r>
    <x v="16"/>
    <s v="Chain 5_Depot 7_SKU 3_45108"/>
    <x v="36"/>
    <x v="1"/>
    <x v="4"/>
    <x v="3"/>
    <x v="6"/>
    <x v="9"/>
    <s v="History"/>
    <n v="12736.54"/>
    <m/>
    <n v="12602.7504961674"/>
    <n v="645.51933802417796"/>
    <m/>
    <m/>
    <n v="0"/>
    <n v="0"/>
    <n v="0"/>
    <m/>
    <m/>
    <b v="0"/>
    <n v="4463"/>
    <n v="0"/>
    <n v="2383"/>
    <s v="Stable"/>
    <n v="1296.19"/>
    <n v="1112.52"/>
    <n v="14.17"/>
    <n v="0"/>
    <m/>
    <m/>
    <m/>
    <m/>
    <m/>
    <m/>
    <m/>
    <m/>
    <m/>
    <m/>
    <m/>
    <m/>
  </r>
  <r>
    <x v="26"/>
    <s v="Chain 5_Depot 7_SKU 3_45139"/>
    <x v="36"/>
    <x v="1"/>
    <x v="4"/>
    <x v="3"/>
    <x v="6"/>
    <x v="9"/>
    <s v="History"/>
    <n v="13011.43"/>
    <m/>
    <n v="12639.6044986421"/>
    <n v="-358.204099267971"/>
    <m/>
    <m/>
    <n v="0"/>
    <n v="0"/>
    <n v="0"/>
    <m/>
    <m/>
    <b v="0"/>
    <n v="4553"/>
    <n v="0"/>
    <n v="2033"/>
    <s v="Stable"/>
    <n v="1190.68"/>
    <n v="1002.06"/>
    <n v="15.84"/>
    <n v="0"/>
    <m/>
    <m/>
    <m/>
    <m/>
    <m/>
    <m/>
    <m/>
    <m/>
    <m/>
    <m/>
    <m/>
    <m/>
  </r>
  <r>
    <x v="27"/>
    <s v="Chain 5_Depot 7_SKU 3_45170"/>
    <x v="36"/>
    <x v="1"/>
    <x v="4"/>
    <x v="3"/>
    <x v="6"/>
    <x v="9"/>
    <s v="History"/>
    <n v="13446.3"/>
    <m/>
    <n v="12676.4585009315"/>
    <n v="775.95322434520097"/>
    <m/>
    <m/>
    <n v="0"/>
    <n v="0"/>
    <n v="0"/>
    <m/>
    <m/>
    <b v="0"/>
    <n v="2732"/>
    <n v="0"/>
    <n v="2234"/>
    <s v="Stable"/>
    <n v="1260.17"/>
    <n v="1053.49"/>
    <n v="16.399999999999999"/>
    <n v="0"/>
    <m/>
    <m/>
    <m/>
    <m/>
    <m/>
    <m/>
    <m/>
    <m/>
    <m/>
    <m/>
    <m/>
    <m/>
  </r>
  <r>
    <x v="34"/>
    <s v="Chain 5_Depot 7_SKU 3_45200"/>
    <x v="36"/>
    <x v="1"/>
    <x v="4"/>
    <x v="3"/>
    <x v="6"/>
    <x v="9"/>
    <s v="History"/>
    <n v="13425.44"/>
    <m/>
    <n v="12712.123664492699"/>
    <n v="421.40324159018002"/>
    <m/>
    <m/>
    <n v="0"/>
    <n v="0"/>
    <n v="0"/>
    <m/>
    <m/>
    <b v="0"/>
    <n v="3748"/>
    <n v="1"/>
    <n v="2858"/>
    <s v="Stable"/>
    <n v="1242.99"/>
    <n v="1044.6099999999999"/>
    <n v="15.96"/>
    <n v="0"/>
    <m/>
    <m/>
    <m/>
    <m/>
    <m/>
    <m/>
    <m/>
    <m/>
    <m/>
    <m/>
    <m/>
    <m/>
  </r>
  <r>
    <x v="28"/>
    <s v="Chain 5_Depot 7_SKU 3_45231"/>
    <x v="36"/>
    <x v="1"/>
    <x v="4"/>
    <x v="3"/>
    <x v="6"/>
    <x v="9"/>
    <s v="History"/>
    <n v="13680.56"/>
    <m/>
    <n v="12748.9776667757"/>
    <n v="368.23794144482702"/>
    <m/>
    <m/>
    <n v="0"/>
    <n v="0"/>
    <n v="0"/>
    <m/>
    <m/>
    <b v="0"/>
    <n v="2423"/>
    <n v="0"/>
    <n v="1151"/>
    <s v="Stable"/>
    <n v="1246.2"/>
    <n v="1054.4000000000001"/>
    <n v="15.39"/>
    <n v="0"/>
    <m/>
    <m/>
    <m/>
    <m/>
    <m/>
    <m/>
    <m/>
    <m/>
    <m/>
    <m/>
    <m/>
    <m/>
  </r>
  <r>
    <x v="29"/>
    <s v="Chain 5_Depot 7_SKU 3_45261"/>
    <x v="36"/>
    <x v="1"/>
    <x v="4"/>
    <x v="3"/>
    <x v="6"/>
    <x v="9"/>
    <s v="History"/>
    <n v="13595.58"/>
    <m/>
    <n v="12784.6428300757"/>
    <n v="139.175092110793"/>
    <m/>
    <m/>
    <n v="0"/>
    <n v="0"/>
    <n v="0"/>
    <m/>
    <m/>
    <b v="0"/>
    <n v="3591"/>
    <n v="0"/>
    <n v="2028"/>
    <s v="Stable"/>
    <n v="1296.6199999999999"/>
    <n v="1086.9000000000001"/>
    <n v="16.170000000000002"/>
    <n v="0"/>
    <m/>
    <m/>
    <m/>
    <m/>
    <m/>
    <m/>
    <m/>
    <m/>
    <m/>
    <m/>
    <m/>
    <m/>
  </r>
  <r>
    <x v="17"/>
    <s v="Chain 5_Depot 7_SKU 3_45292"/>
    <x v="36"/>
    <x v="1"/>
    <x v="4"/>
    <x v="3"/>
    <x v="6"/>
    <x v="9"/>
    <s v="History"/>
    <n v="13617.88"/>
    <m/>
    <n v="12821.496832246199"/>
    <n v="154.30391133950801"/>
    <m/>
    <m/>
    <n v="0"/>
    <n v="0"/>
    <n v="0"/>
    <m/>
    <m/>
    <b v="0"/>
    <n v="2389"/>
    <n v="0"/>
    <n v="2218"/>
    <s v="Stable"/>
    <n v="1269.6199999999999"/>
    <n v="1090.75"/>
    <n v="14.09"/>
    <n v="0"/>
    <m/>
    <m/>
    <m/>
    <m/>
    <m/>
    <m/>
    <m/>
    <m/>
    <m/>
    <m/>
    <m/>
    <m/>
  </r>
  <r>
    <x v="18"/>
    <s v="Chain 5_Depot 7_SKU 3_45323"/>
    <x v="36"/>
    <x v="1"/>
    <x v="4"/>
    <x v="3"/>
    <x v="6"/>
    <x v="9"/>
    <s v="History"/>
    <n v="13617.94"/>
    <m/>
    <n v="12858.350834442201"/>
    <n v="-86.489680803610895"/>
    <m/>
    <m/>
    <n v="0"/>
    <n v="0"/>
    <n v="0"/>
    <m/>
    <m/>
    <b v="1"/>
    <n v="2341"/>
    <n v="1"/>
    <n v="2977"/>
    <s v="Stable"/>
    <n v="1247.44"/>
    <n v="1055.49"/>
    <n v="15.39"/>
    <n v="0"/>
    <m/>
    <m/>
    <m/>
    <m/>
    <m/>
    <m/>
    <m/>
    <m/>
    <m/>
    <m/>
    <m/>
    <m/>
  </r>
  <r>
    <x v="19"/>
    <s v="Chain 5_Depot 7_SKU 3_45352"/>
    <x v="36"/>
    <x v="1"/>
    <x v="4"/>
    <x v="3"/>
    <x v="6"/>
    <x v="9"/>
    <s v="History"/>
    <n v="7917.52"/>
    <m/>
    <n v="12892.8271590571"/>
    <n v="-1161.85910113657"/>
    <m/>
    <m/>
    <n v="0"/>
    <n v="0"/>
    <n v="1"/>
    <m/>
    <m/>
    <b v="0"/>
    <n v="2945"/>
    <n v="0"/>
    <n v="2306"/>
    <s v="Stable"/>
    <n v="1150.26"/>
    <n v="967.61"/>
    <n v="15.88"/>
    <n v="0"/>
    <m/>
    <m/>
    <m/>
    <m/>
    <m/>
    <m/>
    <m/>
    <m/>
    <m/>
    <m/>
    <m/>
    <m/>
  </r>
  <r>
    <x v="20"/>
    <s v="Chain 5_Depot 7_SKU 3_45383"/>
    <x v="36"/>
    <x v="1"/>
    <x v="4"/>
    <x v="3"/>
    <x v="6"/>
    <x v="9"/>
    <s v="History"/>
    <n v="13117.75"/>
    <m/>
    <n v="12929.6811612316"/>
    <n v="423.674721666175"/>
    <m/>
    <m/>
    <n v="0"/>
    <n v="0"/>
    <n v="0"/>
    <m/>
    <m/>
    <b v="0"/>
    <n v="2613"/>
    <n v="2"/>
    <n v="1463"/>
    <s v="Stable"/>
    <n v="1185"/>
    <n v="988"/>
    <n v="16.62"/>
    <n v="0"/>
    <m/>
    <m/>
    <m/>
    <m/>
    <m/>
    <m/>
    <m/>
    <m/>
    <m/>
    <m/>
    <m/>
    <m/>
  </r>
  <r>
    <x v="21"/>
    <s v="Chain 5_Depot 7_SKU 3_45413"/>
    <x v="36"/>
    <x v="1"/>
    <x v="4"/>
    <x v="3"/>
    <x v="6"/>
    <x v="9"/>
    <s v="History"/>
    <n v="13118.63"/>
    <m/>
    <n v="12965.3463246263"/>
    <n v="-528.08894024858205"/>
    <m/>
    <m/>
    <n v="0"/>
    <n v="0"/>
    <n v="0"/>
    <m/>
    <m/>
    <b v="0"/>
    <n v="2492"/>
    <n v="0"/>
    <n v="2136"/>
    <s v="Stable"/>
    <n v="1226.8599999999999"/>
    <n v="1044.82"/>
    <n v="14.84"/>
    <n v="0"/>
    <m/>
    <m/>
    <m/>
    <m/>
    <m/>
    <m/>
    <m/>
    <m/>
    <m/>
    <m/>
    <m/>
    <m/>
  </r>
  <r>
    <x v="22"/>
    <s v="Chain 5_Depot 7_SKU 3_45444"/>
    <x v="36"/>
    <x v="1"/>
    <x v="4"/>
    <x v="3"/>
    <x v="6"/>
    <x v="9"/>
    <s v="History"/>
    <n v="13409.72"/>
    <m/>
    <n v="13002.200326800799"/>
    <n v="847.42209994810401"/>
    <m/>
    <m/>
    <n v="0"/>
    <n v="0"/>
    <n v="0"/>
    <m/>
    <m/>
    <b v="0"/>
    <n v="2191"/>
    <n v="2"/>
    <n v="1270"/>
    <s v="Stable"/>
    <n v="1237.67"/>
    <n v="1053.74"/>
    <n v="14.86"/>
    <n v="0"/>
    <m/>
    <m/>
    <m/>
    <m/>
    <m/>
    <m/>
    <m/>
    <m/>
    <m/>
    <m/>
    <m/>
    <m/>
  </r>
  <r>
    <x v="30"/>
    <s v="Chain 5_Depot 7_SKU 3_45474"/>
    <x v="36"/>
    <x v="1"/>
    <x v="4"/>
    <x v="3"/>
    <x v="6"/>
    <x v="9"/>
    <s v="History"/>
    <n v="13192.75"/>
    <n v="13194.88"/>
    <n v="13037.8654901955"/>
    <n v="-351.25815215927901"/>
    <n v="13394.88"/>
    <n v="12994.88"/>
    <n v="0"/>
    <n v="0"/>
    <n v="0"/>
    <m/>
    <m/>
    <b v="0"/>
    <n v="2498"/>
    <n v="1"/>
    <n v="2186"/>
    <s v="Stable"/>
    <n v="1176.49"/>
    <n v="986.9"/>
    <n v="16.12"/>
    <n v="0"/>
    <m/>
    <m/>
    <m/>
    <m/>
    <m/>
    <m/>
    <m/>
    <m/>
    <m/>
    <m/>
    <m/>
    <m/>
  </r>
  <r>
    <x v="23"/>
    <s v="Chain 5_Depot 7_SKU 3_45505"/>
    <x v="36"/>
    <x v="1"/>
    <x v="4"/>
    <x v="3"/>
    <x v="6"/>
    <x v="9"/>
    <s v="History"/>
    <n v="13061.52"/>
    <n v="13150.2"/>
    <n v="13074.719492370001"/>
    <n v="656.09099858379295"/>
    <n v="13350.2"/>
    <n v="12950.2"/>
    <n v="0"/>
    <n v="0"/>
    <n v="0"/>
    <m/>
    <m/>
    <b v="0"/>
    <n v="2821"/>
    <n v="0"/>
    <n v="1459"/>
    <s v="Stable"/>
    <n v="1353.58"/>
    <n v="1115.9000000000001"/>
    <n v="17.559999999999999"/>
    <n v="0"/>
    <m/>
    <m/>
    <m/>
    <m/>
    <m/>
    <m/>
    <m/>
    <m/>
    <m/>
    <m/>
    <m/>
    <m/>
  </r>
  <r>
    <x v="24"/>
    <s v="Chain 5_Depot 7_SKU 3_45536"/>
    <x v="36"/>
    <x v="1"/>
    <x v="4"/>
    <x v="3"/>
    <x v="6"/>
    <x v="9"/>
    <s v="History"/>
    <n v="13434.99"/>
    <n v="13369.91"/>
    <n v="13111.5734945445"/>
    <n v="-197.02998444441801"/>
    <n v="13569.91"/>
    <n v="13169.91"/>
    <n v="0"/>
    <n v="0"/>
    <n v="0"/>
    <m/>
    <m/>
    <b v="0"/>
    <n v="3735"/>
    <n v="0"/>
    <n v="1104"/>
    <s v="Stable"/>
    <n v="1308.82"/>
    <n v="785.29"/>
    <n v="40"/>
    <n v="1"/>
    <m/>
    <m/>
    <m/>
    <m/>
    <m/>
    <m/>
    <m/>
    <m/>
    <m/>
    <m/>
    <m/>
    <m/>
  </r>
  <r>
    <x v="31"/>
    <s v="Chain 5_Depot 7_SKU 3_45566"/>
    <x v="36"/>
    <x v="1"/>
    <x v="4"/>
    <x v="3"/>
    <x v="6"/>
    <x v="9"/>
    <s v="Forecast"/>
    <m/>
    <n v="13628.86"/>
    <n v="13147.2386579392"/>
    <n v="1390.48546638024"/>
    <n v="13828.86"/>
    <n v="13428.86"/>
    <m/>
    <m/>
    <m/>
    <m/>
    <m/>
    <m/>
    <m/>
    <m/>
    <n v="2716"/>
    <n v="0"/>
    <n v="1263.1099999999999"/>
    <n v="1067.2"/>
    <n v="15.51"/>
    <n v="0"/>
    <m/>
    <m/>
    <m/>
    <m/>
    <m/>
    <m/>
    <m/>
    <m/>
    <m/>
    <m/>
    <m/>
    <m/>
  </r>
  <r>
    <x v="25"/>
    <s v="Chain 5_Depot 7_SKU 3_45597"/>
    <x v="36"/>
    <x v="1"/>
    <x v="4"/>
    <x v="3"/>
    <x v="6"/>
    <x v="9"/>
    <s v="Forecast"/>
    <m/>
    <n v="13866.92"/>
    <n v="13184.0926601137"/>
    <n v="-605.61308362974899"/>
    <n v="14066.92"/>
    <n v="13666.92"/>
    <m/>
    <m/>
    <m/>
    <m/>
    <m/>
    <m/>
    <m/>
    <m/>
    <n v="2579"/>
    <n v="0"/>
    <n v="1236.5999999999999"/>
    <n v="1051.27"/>
    <n v="14.99"/>
    <n v="0"/>
    <m/>
    <m/>
    <m/>
    <m/>
    <m/>
    <m/>
    <m/>
    <m/>
    <m/>
    <m/>
    <m/>
    <m/>
  </r>
  <r>
    <x v="32"/>
    <s v="Chain 5_Depot 7_SKU 3_45627"/>
    <x v="36"/>
    <x v="1"/>
    <x v="4"/>
    <x v="3"/>
    <x v="6"/>
    <x v="9"/>
    <s v="Forecast"/>
    <m/>
    <n v="13755.19"/>
    <n v="13219.7578235084"/>
    <n v="1104.76985003862"/>
    <n v="13955.19"/>
    <n v="13555.19"/>
    <m/>
    <m/>
    <m/>
    <m/>
    <m/>
    <m/>
    <m/>
    <m/>
    <n v="2305"/>
    <n v="0"/>
    <n v="1222.3900000000001"/>
    <n v="1059.01"/>
    <n v="13.37"/>
    <n v="0"/>
    <m/>
    <m/>
    <m/>
    <m/>
    <m/>
    <m/>
    <m/>
    <m/>
    <m/>
    <m/>
    <m/>
    <m/>
  </r>
  <r>
    <x v="0"/>
    <s v="Chain 5_Depot 7_SKU 8_44562"/>
    <x v="37"/>
    <x v="1"/>
    <x v="4"/>
    <x v="3"/>
    <x v="5"/>
    <x v="23"/>
    <s v="History"/>
    <n v="17673.900000000001"/>
    <m/>
    <n v="17769.205895210001"/>
    <n v="-547.73414194943098"/>
    <m/>
    <m/>
    <n v="0"/>
    <n v="0"/>
    <n v="0"/>
    <m/>
    <m/>
    <b v="0"/>
    <n v="4846"/>
    <n v="0"/>
    <n v="1192"/>
    <s v="Stable"/>
    <n v="2664.56"/>
    <n v="2343.0300000000002"/>
    <n v="12.07"/>
    <n v="0"/>
    <m/>
    <m/>
    <m/>
    <m/>
    <m/>
    <m/>
    <m/>
    <m/>
    <m/>
    <m/>
    <m/>
    <m/>
  </r>
  <r>
    <x v="1"/>
    <s v="Chain 5_Depot 7_SKU 8_44593"/>
    <x v="37"/>
    <x v="1"/>
    <x v="4"/>
    <x v="3"/>
    <x v="5"/>
    <x v="23"/>
    <s v="History"/>
    <n v="18604.57"/>
    <m/>
    <n v="17840.889484861302"/>
    <n v="516.56615515780004"/>
    <m/>
    <m/>
    <n v="0"/>
    <n v="0"/>
    <n v="0"/>
    <m/>
    <m/>
    <b v="0"/>
    <n v="3114"/>
    <n v="0"/>
    <n v="2678"/>
    <s v="Stable"/>
    <n v="2695.26"/>
    <n v="2355.85"/>
    <n v="12.59"/>
    <n v="0"/>
    <m/>
    <m/>
    <m/>
    <m/>
    <m/>
    <m/>
    <m/>
    <m/>
    <m/>
    <m/>
    <m/>
    <m/>
  </r>
  <r>
    <x v="2"/>
    <s v="Chain 5_Depot 7_SKU 8_44621"/>
    <x v="37"/>
    <x v="1"/>
    <x v="4"/>
    <x v="3"/>
    <x v="5"/>
    <x v="23"/>
    <s v="History"/>
    <n v="18694.189999999999"/>
    <m/>
    <n v="17905.635953183901"/>
    <n v="205.90812822900901"/>
    <m/>
    <m/>
    <n v="0"/>
    <n v="0"/>
    <n v="0"/>
    <m/>
    <m/>
    <b v="0"/>
    <n v="4527"/>
    <n v="0"/>
    <n v="1615"/>
    <s v="Stable"/>
    <n v="2570.0500000000002"/>
    <n v="2267.9899999999998"/>
    <n v="11.75"/>
    <n v="0"/>
    <m/>
    <m/>
    <m/>
    <m/>
    <m/>
    <m/>
    <m/>
    <m/>
    <m/>
    <m/>
    <m/>
    <m/>
  </r>
  <r>
    <x v="3"/>
    <s v="Chain 5_Depot 7_SKU 8_44652"/>
    <x v="37"/>
    <x v="1"/>
    <x v="4"/>
    <x v="3"/>
    <x v="5"/>
    <x v="23"/>
    <s v="History"/>
    <n v="19173.189999999999"/>
    <m/>
    <n v="17977.319543424299"/>
    <n v="2791.8231283523201"/>
    <m/>
    <m/>
    <n v="0"/>
    <n v="0"/>
    <n v="0"/>
    <m/>
    <m/>
    <b v="0"/>
    <n v="4620"/>
    <n v="0"/>
    <n v="2995"/>
    <s v="Stable"/>
    <n v="2712.65"/>
    <n v="2411.12"/>
    <n v="11.12"/>
    <n v="0"/>
    <m/>
    <m/>
    <m/>
    <m/>
    <m/>
    <m/>
    <m/>
    <m/>
    <m/>
    <m/>
    <m/>
    <m/>
  </r>
  <r>
    <x v="4"/>
    <s v="Chain 5_Depot 7_SKU 8_44682"/>
    <x v="37"/>
    <x v="1"/>
    <x v="4"/>
    <x v="3"/>
    <x v="5"/>
    <x v="23"/>
    <s v="History"/>
    <n v="19004.97"/>
    <m/>
    <n v="18046.690760056401"/>
    <n v="366.373634395061"/>
    <m/>
    <m/>
    <n v="0"/>
    <n v="0"/>
    <n v="0"/>
    <m/>
    <m/>
    <b v="0"/>
    <n v="4505"/>
    <n v="0"/>
    <n v="1405"/>
    <s v="Stable"/>
    <n v="2616.63"/>
    <n v="2336.6"/>
    <n v="10.7"/>
    <n v="0"/>
    <m/>
    <m/>
    <m/>
    <m/>
    <m/>
    <m/>
    <m/>
    <m/>
    <m/>
    <m/>
    <m/>
    <m/>
  </r>
  <r>
    <x v="5"/>
    <s v="Chain 5_Depot 7_SKU 8_44713"/>
    <x v="37"/>
    <x v="1"/>
    <x v="4"/>
    <x v="3"/>
    <x v="5"/>
    <x v="23"/>
    <s v="History"/>
    <n v="18562.310000000001"/>
    <m/>
    <n v="18118.3743505903"/>
    <n v="-118.588487061317"/>
    <m/>
    <m/>
    <n v="0"/>
    <n v="0"/>
    <n v="0"/>
    <m/>
    <m/>
    <b v="0"/>
    <n v="3474"/>
    <n v="1"/>
    <n v="2749"/>
    <s v="Stable"/>
    <n v="2649.55"/>
    <n v="2335.4699999999998"/>
    <n v="11.85"/>
    <n v="0"/>
    <m/>
    <m/>
    <m/>
    <m/>
    <m/>
    <m/>
    <m/>
    <m/>
    <m/>
    <m/>
    <m/>
    <m/>
  </r>
  <r>
    <x v="6"/>
    <s v="Chain 5_Depot 7_SKU 8_44743"/>
    <x v="37"/>
    <x v="1"/>
    <x v="4"/>
    <x v="3"/>
    <x v="5"/>
    <x v="23"/>
    <s v="History"/>
    <n v="18910.75"/>
    <m/>
    <n v="18187.745566980801"/>
    <n v="361.76449357493698"/>
    <m/>
    <m/>
    <n v="0"/>
    <n v="0"/>
    <n v="0"/>
    <m/>
    <m/>
    <b v="1"/>
    <n v="2364"/>
    <n v="0"/>
    <n v="2777"/>
    <s v="Stable"/>
    <n v="2703.58"/>
    <n v="2387"/>
    <n v="11.71"/>
    <n v="0"/>
    <m/>
    <m/>
    <m/>
    <m/>
    <m/>
    <m/>
    <m/>
    <m/>
    <m/>
    <m/>
    <m/>
    <m/>
  </r>
  <r>
    <x v="7"/>
    <s v="Chain 5_Depot 7_SKU 8_44774"/>
    <x v="37"/>
    <x v="1"/>
    <x v="4"/>
    <x v="3"/>
    <x v="5"/>
    <x v="23"/>
    <s v="History"/>
    <n v="18528.98"/>
    <m/>
    <n v="18259.4291573925"/>
    <n v="-40.618239878441798"/>
    <m/>
    <m/>
    <n v="0"/>
    <n v="0"/>
    <n v="0"/>
    <m/>
    <m/>
    <b v="0"/>
    <n v="4906"/>
    <n v="0"/>
    <n v="1942"/>
    <s v="Stable"/>
    <n v="2670.06"/>
    <n v="2343.69"/>
    <n v="12.22"/>
    <n v="0"/>
    <m/>
    <m/>
    <m/>
    <m/>
    <m/>
    <m/>
    <m/>
    <m/>
    <m/>
    <m/>
    <m/>
    <m/>
  </r>
  <r>
    <x v="35"/>
    <s v="Chain 5_Depot 7_SKU 8_44805"/>
    <x v="37"/>
    <x v="1"/>
    <x v="4"/>
    <x v="3"/>
    <x v="5"/>
    <x v="23"/>
    <s v="History"/>
    <n v="18926.27"/>
    <m/>
    <n v="18331.1127479354"/>
    <n v="152.27917071869501"/>
    <m/>
    <m/>
    <n v="0"/>
    <n v="0"/>
    <n v="0"/>
    <m/>
    <m/>
    <b v="0"/>
    <n v="3698"/>
    <n v="0"/>
    <n v="1720"/>
    <s v="Stable"/>
    <n v="2673.6"/>
    <n v="2370.73"/>
    <n v="11.33"/>
    <n v="0"/>
    <m/>
    <m/>
    <m/>
    <m/>
    <m/>
    <m/>
    <m/>
    <m/>
    <m/>
    <m/>
    <m/>
    <m/>
  </r>
  <r>
    <x v="33"/>
    <s v="Chain 5_Depot 7_SKU 8_44835"/>
    <x v="37"/>
    <x v="1"/>
    <x v="4"/>
    <x v="3"/>
    <x v="5"/>
    <x v="23"/>
    <s v="History"/>
    <n v="18271.55"/>
    <m/>
    <n v="18400.48396456"/>
    <n v="221.38235725758699"/>
    <m/>
    <m/>
    <n v="0"/>
    <n v="0"/>
    <n v="0"/>
    <m/>
    <m/>
    <b v="0"/>
    <n v="2350"/>
    <n v="0"/>
    <n v="1092"/>
    <s v="Stable"/>
    <n v="2696.96"/>
    <n v="2369.41"/>
    <n v="12.15"/>
    <n v="0"/>
    <m/>
    <m/>
    <m/>
    <m/>
    <m/>
    <m/>
    <m/>
    <m/>
    <m/>
    <m/>
    <m/>
    <m/>
  </r>
  <r>
    <x v="8"/>
    <s v="Chain 5_Depot 7_SKU 8_44866"/>
    <x v="37"/>
    <x v="1"/>
    <x v="4"/>
    <x v="3"/>
    <x v="5"/>
    <x v="23"/>
    <s v="History"/>
    <n v="18148.78"/>
    <m/>
    <n v="18472.167554915799"/>
    <n v="-223.716817846754"/>
    <m/>
    <m/>
    <n v="0"/>
    <n v="0"/>
    <n v="0"/>
    <m/>
    <m/>
    <b v="0"/>
    <n v="4300"/>
    <n v="1"/>
    <n v="1429"/>
    <s v="Stable"/>
    <n v="2678.44"/>
    <n v="2391.21"/>
    <n v="10.72"/>
    <n v="0"/>
    <m/>
    <m/>
    <m/>
    <m/>
    <m/>
    <m/>
    <m/>
    <m/>
    <m/>
    <m/>
    <m/>
    <m/>
  </r>
  <r>
    <x v="9"/>
    <s v="Chain 5_Depot 7_SKU 8_44896"/>
    <x v="37"/>
    <x v="1"/>
    <x v="4"/>
    <x v="3"/>
    <x v="5"/>
    <x v="23"/>
    <s v="History"/>
    <n v="17971.150000000001"/>
    <m/>
    <n v="18541.5387712755"/>
    <n v="-1805.3142383475999"/>
    <m/>
    <m/>
    <n v="0"/>
    <n v="0"/>
    <n v="0"/>
    <m/>
    <m/>
    <b v="0"/>
    <n v="4828"/>
    <n v="0"/>
    <n v="1653"/>
    <s v="Stable"/>
    <n v="2639.94"/>
    <n v="2294.5700000000002"/>
    <n v="13.08"/>
    <n v="0"/>
    <m/>
    <m/>
    <m/>
    <m/>
    <m/>
    <m/>
    <m/>
    <m/>
    <m/>
    <m/>
    <m/>
    <m/>
  </r>
  <r>
    <x v="10"/>
    <s v="Chain 5_Depot 7_SKU 8_44927"/>
    <x v="37"/>
    <x v="1"/>
    <x v="4"/>
    <x v="3"/>
    <x v="5"/>
    <x v="23"/>
    <s v="History"/>
    <n v="18156.02"/>
    <m/>
    <n v="18613.222361751501"/>
    <n v="-160.41700419266499"/>
    <m/>
    <m/>
    <n v="0"/>
    <n v="0"/>
    <n v="0"/>
    <m/>
    <m/>
    <b v="0"/>
    <n v="3904"/>
    <n v="0"/>
    <n v="2457"/>
    <s v="Stable"/>
    <n v="2648.68"/>
    <n v="2339.94"/>
    <n v="11.66"/>
    <n v="0"/>
    <m/>
    <m/>
    <m/>
    <m/>
    <m/>
    <m/>
    <m/>
    <m/>
    <m/>
    <m/>
    <m/>
    <m/>
  </r>
  <r>
    <x v="11"/>
    <s v="Chain 5_Depot 7_SKU 8_44958"/>
    <x v="37"/>
    <x v="1"/>
    <x v="4"/>
    <x v="3"/>
    <x v="5"/>
    <x v="23"/>
    <s v="History"/>
    <n v="18135.03"/>
    <m/>
    <n v="18684.905955125501"/>
    <n v="154.36911070676999"/>
    <m/>
    <m/>
    <n v="0"/>
    <n v="0"/>
    <n v="0"/>
    <m/>
    <m/>
    <b v="0"/>
    <n v="4850"/>
    <n v="0"/>
    <n v="2427"/>
    <s v="Stable"/>
    <n v="2667.59"/>
    <n v="2374.27"/>
    <n v="11"/>
    <n v="0"/>
    <m/>
    <m/>
    <m/>
    <m/>
    <m/>
    <m/>
    <m/>
    <m/>
    <m/>
    <m/>
    <m/>
    <m/>
  </r>
  <r>
    <x v="12"/>
    <s v="Chain 5_Depot 7_SKU 8_44986"/>
    <x v="37"/>
    <x v="1"/>
    <x v="4"/>
    <x v="3"/>
    <x v="5"/>
    <x v="23"/>
    <s v="History"/>
    <n v="18103.52"/>
    <m/>
    <n v="18749.7085733557"/>
    <n v="556.58983781981794"/>
    <m/>
    <m/>
    <n v="0"/>
    <n v="0"/>
    <n v="0"/>
    <m/>
    <m/>
    <b v="0"/>
    <n v="3011"/>
    <n v="0"/>
    <n v="1433"/>
    <s v="Stable"/>
    <n v="2612.2199999999998"/>
    <n v="2321.9299999999998"/>
    <n v="11.11"/>
    <n v="0"/>
    <m/>
    <m/>
    <m/>
    <m/>
    <m/>
    <m/>
    <m/>
    <m/>
    <m/>
    <m/>
    <m/>
    <m/>
  </r>
  <r>
    <x v="13"/>
    <s v="Chain 5_Depot 7_SKU 8_45017"/>
    <x v="37"/>
    <x v="1"/>
    <x v="4"/>
    <x v="3"/>
    <x v="5"/>
    <x v="23"/>
    <s v="History"/>
    <n v="18897.38"/>
    <m/>
    <n v="18821.483802654198"/>
    <n v="2397.7668277513399"/>
    <m/>
    <m/>
    <n v="0"/>
    <n v="0"/>
    <n v="0"/>
    <m/>
    <m/>
    <b v="0"/>
    <n v="4506"/>
    <n v="0"/>
    <n v="2135"/>
    <s v="Stable"/>
    <n v="2706.8"/>
    <n v="2473.91"/>
    <n v="8.6"/>
    <n v="0"/>
    <m/>
    <m/>
    <m/>
    <m/>
    <m/>
    <m/>
    <m/>
    <m/>
    <m/>
    <m/>
    <m/>
    <m/>
  </r>
  <r>
    <x v="14"/>
    <s v="Chain 5_Depot 7_SKU 8_45047"/>
    <x v="37"/>
    <x v="1"/>
    <x v="4"/>
    <x v="3"/>
    <x v="5"/>
    <x v="23"/>
    <s v="History"/>
    <n v="18798.810000000001"/>
    <m/>
    <n v="18891.012166151999"/>
    <n v="793.34932730505204"/>
    <m/>
    <m/>
    <n v="0"/>
    <n v="0"/>
    <n v="0"/>
    <m/>
    <m/>
    <b v="0"/>
    <n v="4964"/>
    <n v="0"/>
    <n v="2952"/>
    <s v="Stable"/>
    <n v="2671.43"/>
    <n v="2378.9899999999998"/>
    <n v="10.95"/>
    <n v="0"/>
    <m/>
    <m/>
    <m/>
    <m/>
    <m/>
    <m/>
    <m/>
    <m/>
    <m/>
    <m/>
    <m/>
    <m/>
  </r>
  <r>
    <x v="15"/>
    <s v="Chain 5_Depot 7_SKU 8_45078"/>
    <x v="37"/>
    <x v="1"/>
    <x v="4"/>
    <x v="3"/>
    <x v="5"/>
    <x v="23"/>
    <s v="History"/>
    <n v="19001.41"/>
    <m/>
    <n v="18962.926814611299"/>
    <n v="-539.98830448602996"/>
    <m/>
    <m/>
    <n v="0"/>
    <n v="0"/>
    <n v="0"/>
    <m/>
    <m/>
    <b v="0"/>
    <n v="2498"/>
    <n v="0"/>
    <n v="1374"/>
    <s v="Stable"/>
    <n v="2660.74"/>
    <n v="2333.4499999999998"/>
    <n v="12.3"/>
    <n v="0"/>
    <m/>
    <m/>
    <m/>
    <m/>
    <m/>
    <m/>
    <m/>
    <m/>
    <m/>
    <m/>
    <m/>
    <m/>
  </r>
  <r>
    <x v="16"/>
    <s v="Chain 5_Depot 7_SKU 8_45108"/>
    <x v="37"/>
    <x v="1"/>
    <x v="4"/>
    <x v="3"/>
    <x v="5"/>
    <x v="23"/>
    <s v="History"/>
    <n v="19474.310000000001"/>
    <m/>
    <n v="19032.522365221801"/>
    <n v="784.15560574619894"/>
    <m/>
    <m/>
    <n v="0"/>
    <n v="0"/>
    <n v="0"/>
    <m/>
    <m/>
    <b v="0"/>
    <n v="2949"/>
    <n v="1"/>
    <n v="2082"/>
    <s v="Stable"/>
    <n v="2716.62"/>
    <n v="2407.14"/>
    <n v="11.39"/>
    <n v="0"/>
    <m/>
    <m/>
    <m/>
    <m/>
    <m/>
    <m/>
    <m/>
    <m/>
    <m/>
    <m/>
    <m/>
    <m/>
  </r>
  <r>
    <x v="26"/>
    <s v="Chain 5_Depot 7_SKU 8_45139"/>
    <x v="37"/>
    <x v="1"/>
    <x v="4"/>
    <x v="3"/>
    <x v="5"/>
    <x v="23"/>
    <s v="History"/>
    <n v="19433.849999999999"/>
    <m/>
    <n v="19104.437770749701"/>
    <n v="-471.57455540530401"/>
    <m/>
    <m/>
    <n v="0"/>
    <n v="0"/>
    <n v="0"/>
    <m/>
    <m/>
    <b v="0"/>
    <n v="3994"/>
    <n v="0"/>
    <n v="2066"/>
    <s v="Stable"/>
    <n v="2650.99"/>
    <n v="2304.4299999999998"/>
    <n v="13.07"/>
    <n v="0"/>
    <m/>
    <m/>
    <m/>
    <m/>
    <m/>
    <m/>
    <m/>
    <m/>
    <m/>
    <m/>
    <m/>
    <m/>
  </r>
  <r>
    <x v="27"/>
    <s v="Chain 5_Depot 7_SKU 8_45170"/>
    <x v="37"/>
    <x v="1"/>
    <x v="4"/>
    <x v="3"/>
    <x v="5"/>
    <x v="23"/>
    <s v="History"/>
    <n v="19426.29"/>
    <m/>
    <n v="19176.353176321401"/>
    <n v="573.39952346190705"/>
    <m/>
    <m/>
    <n v="0"/>
    <n v="0"/>
    <n v="0"/>
    <m/>
    <m/>
    <b v="0"/>
    <n v="4046"/>
    <n v="1"/>
    <n v="1206"/>
    <s v="Stable"/>
    <n v="2647.88"/>
    <n v="2346.62"/>
    <n v="11.38"/>
    <n v="0"/>
    <m/>
    <m/>
    <m/>
    <m/>
    <m/>
    <m/>
    <m/>
    <m/>
    <m/>
    <m/>
    <m/>
    <m/>
  </r>
  <r>
    <x v="34"/>
    <s v="Chain 5_Depot 7_SKU 8_45200"/>
    <x v="37"/>
    <x v="1"/>
    <x v="4"/>
    <x v="3"/>
    <x v="5"/>
    <x v="23"/>
    <s v="History"/>
    <n v="19379.55"/>
    <m/>
    <n v="19245.948730332198"/>
    <n v="-196.96559949576101"/>
    <m/>
    <m/>
    <n v="0"/>
    <n v="0"/>
    <n v="0"/>
    <m/>
    <m/>
    <b v="0"/>
    <n v="2507"/>
    <n v="0"/>
    <n v="1779"/>
    <s v="Stable"/>
    <n v="2632.77"/>
    <n v="2313.42"/>
    <n v="12.13"/>
    <n v="0"/>
    <m/>
    <m/>
    <m/>
    <m/>
    <m/>
    <m/>
    <m/>
    <m/>
    <m/>
    <m/>
    <m/>
    <m/>
  </r>
  <r>
    <x v="28"/>
    <s v="Chain 5_Depot 7_SKU 8_45231"/>
    <x v="37"/>
    <x v="1"/>
    <x v="4"/>
    <x v="3"/>
    <x v="5"/>
    <x v="23"/>
    <s v="History"/>
    <n v="19641.5"/>
    <m/>
    <n v="19317.864135886899"/>
    <n v="201.91667417523101"/>
    <m/>
    <m/>
    <n v="0"/>
    <n v="0"/>
    <n v="0"/>
    <m/>
    <m/>
    <b v="0"/>
    <n v="3327"/>
    <n v="1"/>
    <n v="2319"/>
    <s v="Stable"/>
    <n v="2674.15"/>
    <n v="2396.54"/>
    <n v="10.38"/>
    <n v="0"/>
    <m/>
    <m/>
    <m/>
    <m/>
    <m/>
    <m/>
    <m/>
    <m/>
    <m/>
    <m/>
    <m/>
    <m/>
  </r>
  <r>
    <x v="29"/>
    <s v="Chain 5_Depot 7_SKU 8_45261"/>
    <x v="37"/>
    <x v="1"/>
    <x v="4"/>
    <x v="3"/>
    <x v="5"/>
    <x v="23"/>
    <s v="History"/>
    <n v="15936.61"/>
    <m/>
    <n v="19387.459689896099"/>
    <n v="-2210.8478665643502"/>
    <m/>
    <m/>
    <n v="0"/>
    <n v="0"/>
    <n v="1"/>
    <m/>
    <m/>
    <b v="0"/>
    <n v="4548"/>
    <n v="1"/>
    <n v="2141"/>
    <s v="Stable"/>
    <n v="2672.42"/>
    <n v="2355.84"/>
    <n v="11.85"/>
    <n v="0"/>
    <m/>
    <m/>
    <m/>
    <m/>
    <m/>
    <m/>
    <m/>
    <m/>
    <m/>
    <m/>
    <m/>
    <m/>
  </r>
  <r>
    <x v="17"/>
    <s v="Chain 5_Depot 7_SKU 8_45292"/>
    <x v="37"/>
    <x v="1"/>
    <x v="4"/>
    <x v="3"/>
    <x v="5"/>
    <x v="23"/>
    <s v="History"/>
    <n v="19531.259999999998"/>
    <m/>
    <n v="19459.375096032301"/>
    <n v="226.99858825512001"/>
    <m/>
    <m/>
    <n v="0"/>
    <n v="0"/>
    <n v="0"/>
    <m/>
    <m/>
    <b v="0"/>
    <n v="4850"/>
    <n v="0"/>
    <n v="1531"/>
    <s v="Stable"/>
    <n v="2623.69"/>
    <n v="2324.23"/>
    <n v="11.41"/>
    <n v="0"/>
    <m/>
    <m/>
    <m/>
    <m/>
    <m/>
    <m/>
    <m/>
    <m/>
    <m/>
    <m/>
    <m/>
    <m/>
  </r>
  <r>
    <x v="18"/>
    <s v="Chain 5_Depot 7_SKU 8_45323"/>
    <x v="37"/>
    <x v="1"/>
    <x v="4"/>
    <x v="3"/>
    <x v="5"/>
    <x v="23"/>
    <s v="History"/>
    <n v="19767.45"/>
    <m/>
    <n v="19531.290502169901"/>
    <n v="-208.801234340131"/>
    <m/>
    <m/>
    <n v="0"/>
    <n v="0"/>
    <n v="0"/>
    <m/>
    <m/>
    <b v="0"/>
    <n v="4645"/>
    <n v="1"/>
    <n v="2245"/>
    <s v="Stable"/>
    <n v="2648.12"/>
    <n v="2332.13"/>
    <n v="11.93"/>
    <n v="0"/>
    <m/>
    <m/>
    <m/>
    <m/>
    <m/>
    <m/>
    <m/>
    <m/>
    <m/>
    <m/>
    <m/>
    <m/>
  </r>
  <r>
    <x v="19"/>
    <s v="Chain 5_Depot 7_SKU 8_45352"/>
    <x v="37"/>
    <x v="1"/>
    <x v="4"/>
    <x v="3"/>
    <x v="5"/>
    <x v="23"/>
    <s v="History"/>
    <n v="19790.45"/>
    <m/>
    <n v="19598.566204696799"/>
    <n v="-496.66559083890297"/>
    <m/>
    <m/>
    <n v="0"/>
    <n v="0"/>
    <n v="0"/>
    <m/>
    <m/>
    <b v="0"/>
    <n v="2165"/>
    <n v="0"/>
    <n v="1165"/>
    <s v="Stable"/>
    <n v="2624.02"/>
    <n v="2373.2199999999998"/>
    <n v="9.56"/>
    <n v="0"/>
    <m/>
    <m/>
    <m/>
    <m/>
    <m/>
    <m/>
    <m/>
    <m/>
    <m/>
    <m/>
    <m/>
    <m/>
  </r>
  <r>
    <x v="20"/>
    <s v="Chain 5_Depot 7_SKU 8_45383"/>
    <x v="37"/>
    <x v="1"/>
    <x v="4"/>
    <x v="3"/>
    <x v="5"/>
    <x v="23"/>
    <s v="History"/>
    <n v="27174.07"/>
    <m/>
    <n v="19670.4816108462"/>
    <n v="3577.9552257854298"/>
    <m/>
    <m/>
    <n v="0"/>
    <n v="0"/>
    <n v="1"/>
    <m/>
    <m/>
    <b v="0"/>
    <n v="4509"/>
    <n v="1"/>
    <n v="1642"/>
    <s v="Stable"/>
    <n v="2621.76"/>
    <n v="2317.16"/>
    <n v="11.62"/>
    <n v="0"/>
    <m/>
    <m/>
    <m/>
    <m/>
    <m/>
    <m/>
    <m/>
    <m/>
    <m/>
    <m/>
    <m/>
    <m/>
  </r>
  <r>
    <x v="21"/>
    <s v="Chain 5_Depot 7_SKU 8_45413"/>
    <x v="37"/>
    <x v="1"/>
    <x v="4"/>
    <x v="3"/>
    <x v="5"/>
    <x v="23"/>
    <s v="History"/>
    <n v="19442.66"/>
    <m/>
    <n v="19740.077165184401"/>
    <n v="-487.76950909658501"/>
    <m/>
    <m/>
    <n v="0"/>
    <n v="0"/>
    <n v="0"/>
    <m/>
    <m/>
    <b v="0"/>
    <n v="2919"/>
    <n v="0"/>
    <n v="2179"/>
    <s v="Stable"/>
    <n v="2570.5100000000002"/>
    <n v="2327.23"/>
    <n v="9.4600000000000009"/>
    <n v="0"/>
    <m/>
    <m/>
    <m/>
    <m/>
    <m/>
    <m/>
    <m/>
    <m/>
    <m/>
    <m/>
    <m/>
    <m/>
  </r>
  <r>
    <x v="22"/>
    <s v="Chain 5_Depot 7_SKU 8_45444"/>
    <x v="37"/>
    <x v="1"/>
    <x v="4"/>
    <x v="3"/>
    <x v="5"/>
    <x v="23"/>
    <s v="History"/>
    <n v="19429.54"/>
    <m/>
    <n v="19811.992571333802"/>
    <n v="723.55949802447503"/>
    <m/>
    <m/>
    <n v="0"/>
    <n v="0"/>
    <n v="0"/>
    <m/>
    <m/>
    <b v="1"/>
    <n v="2113"/>
    <n v="0"/>
    <n v="2207"/>
    <s v="Stable"/>
    <n v="2645.45"/>
    <n v="2368.14"/>
    <n v="10.48"/>
    <n v="0"/>
    <m/>
    <m/>
    <m/>
    <m/>
    <m/>
    <m/>
    <m/>
    <m/>
    <m/>
    <m/>
    <m/>
    <m/>
  </r>
  <r>
    <x v="30"/>
    <s v="Chain 5_Depot 7_SKU 8_45474"/>
    <x v="37"/>
    <x v="1"/>
    <x v="4"/>
    <x v="3"/>
    <x v="5"/>
    <x v="23"/>
    <s v="History"/>
    <n v="19363.05"/>
    <n v="19319.11"/>
    <n v="19881.588125671999"/>
    <n v="-484.21414838094199"/>
    <n v="19519.11"/>
    <n v="19119.11"/>
    <n v="0"/>
    <n v="0"/>
    <n v="0"/>
    <m/>
    <m/>
    <b v="0"/>
    <n v="2991"/>
    <n v="0"/>
    <n v="1089"/>
    <s v="Stable"/>
    <n v="2571.89"/>
    <n v="2293.75"/>
    <n v="10.81"/>
    <n v="0"/>
    <m/>
    <m/>
    <m/>
    <m/>
    <m/>
    <m/>
    <m/>
    <m/>
    <m/>
    <m/>
    <m/>
    <m/>
  </r>
  <r>
    <x v="23"/>
    <s v="Chain 5_Depot 7_SKU 8_45505"/>
    <x v="37"/>
    <x v="1"/>
    <x v="4"/>
    <x v="3"/>
    <x v="5"/>
    <x v="23"/>
    <s v="History"/>
    <n v="19659.96"/>
    <n v="19823.240000000002"/>
    <n v="19953.5035318214"/>
    <n v="821.26828994083303"/>
    <n v="20023.240000000002"/>
    <n v="19623.240000000002"/>
    <n v="0"/>
    <n v="0"/>
    <n v="0"/>
    <m/>
    <m/>
    <b v="0"/>
    <n v="3951"/>
    <n v="2"/>
    <n v="2117"/>
    <s v="Stable"/>
    <n v="2633.86"/>
    <n v="2346.0300000000002"/>
    <n v="10.93"/>
    <n v="0"/>
    <m/>
    <m/>
    <m/>
    <m/>
    <m/>
    <m/>
    <m/>
    <m/>
    <m/>
    <m/>
    <m/>
    <m/>
  </r>
  <r>
    <x v="24"/>
    <s v="Chain 5_Depot 7_SKU 8_45536"/>
    <x v="37"/>
    <x v="1"/>
    <x v="4"/>
    <x v="3"/>
    <x v="5"/>
    <x v="23"/>
    <s v="History"/>
    <n v="19244.22"/>
    <n v="19177.27"/>
    <n v="20025.4189379708"/>
    <n v="-688.65256737249001"/>
    <n v="19377.27"/>
    <n v="18977.27"/>
    <n v="0"/>
    <n v="0"/>
    <n v="0"/>
    <m/>
    <m/>
    <b v="0"/>
    <n v="4254"/>
    <n v="0"/>
    <n v="1012"/>
    <s v="Stable"/>
    <n v="2626.37"/>
    <n v="2340.0100000000002"/>
    <n v="10.9"/>
    <n v="0"/>
    <m/>
    <m/>
    <m/>
    <m/>
    <m/>
    <m/>
    <m/>
    <m/>
    <m/>
    <m/>
    <m/>
    <m/>
  </r>
  <r>
    <x v="31"/>
    <s v="Chain 5_Depot 7_SKU 8_45566"/>
    <x v="37"/>
    <x v="1"/>
    <x v="4"/>
    <x v="3"/>
    <x v="5"/>
    <x v="23"/>
    <s v="Forecast"/>
    <m/>
    <n v="19698.169999999998"/>
    <n v="20095.014492309001"/>
    <n v="1058.4253632013299"/>
    <n v="19898.169999999998"/>
    <n v="19498.169999999998"/>
    <m/>
    <m/>
    <m/>
    <m/>
    <m/>
    <m/>
    <m/>
    <m/>
    <n v="1972"/>
    <n v="0"/>
    <n v="2709.59"/>
    <n v="2351.27"/>
    <n v="13.22"/>
    <n v="0"/>
    <m/>
    <m/>
    <m/>
    <m/>
    <m/>
    <m/>
    <m/>
    <m/>
    <m/>
    <m/>
    <m/>
    <m/>
  </r>
  <r>
    <x v="25"/>
    <s v="Chain 5_Depot 7_SKU 8_45597"/>
    <x v="37"/>
    <x v="1"/>
    <x v="4"/>
    <x v="3"/>
    <x v="5"/>
    <x v="23"/>
    <s v="Forecast"/>
    <m/>
    <n v="19545.54"/>
    <n v="20166.929898458398"/>
    <n v="-1074.15584891906"/>
    <n v="19745.54"/>
    <n v="19345.54"/>
    <m/>
    <m/>
    <m/>
    <m/>
    <m/>
    <m/>
    <m/>
    <m/>
    <n v="2857"/>
    <n v="0"/>
    <n v="2606.25"/>
    <n v="2304.56"/>
    <n v="11.58"/>
    <n v="0"/>
    <m/>
    <m/>
    <m/>
    <m/>
    <m/>
    <m/>
    <m/>
    <m/>
    <m/>
    <m/>
    <m/>
    <m/>
  </r>
  <r>
    <x v="32"/>
    <s v="Chain 5_Depot 7_SKU 8_45627"/>
    <x v="37"/>
    <x v="1"/>
    <x v="4"/>
    <x v="3"/>
    <x v="5"/>
    <x v="23"/>
    <s v="Forecast"/>
    <m/>
    <n v="19713.68"/>
    <n v="20236.525452796599"/>
    <n v="-992.93196357676004"/>
    <n v="19913.68"/>
    <n v="19513.68"/>
    <m/>
    <m/>
    <m/>
    <m/>
    <m/>
    <m/>
    <m/>
    <m/>
    <n v="1804"/>
    <n v="0"/>
    <n v="2618.94"/>
    <n v="1571.36"/>
    <n v="40"/>
    <n v="1"/>
    <m/>
    <m/>
    <m/>
    <m/>
    <m/>
    <m/>
    <m/>
    <m/>
    <m/>
    <m/>
    <m/>
    <m/>
  </r>
  <r>
    <x v="1"/>
    <s v="Chain 5_Depot 8_SKU 11_44593"/>
    <x v="38"/>
    <x v="1"/>
    <x v="4"/>
    <x v="4"/>
    <x v="5"/>
    <x v="7"/>
    <s v="History"/>
    <n v="10887.88"/>
    <m/>
    <n v="7504.6824761199996"/>
    <n v="1290.71952478353"/>
    <m/>
    <m/>
    <n v="0"/>
    <n v="0"/>
    <n v="0"/>
    <m/>
    <m/>
    <b v="1"/>
    <n v="2105"/>
    <n v="0"/>
    <n v="2925"/>
    <s v="Stable"/>
    <n v="2866.03"/>
    <n v="2563.6799999999998"/>
    <n v="10.55"/>
    <n v="0"/>
    <m/>
    <m/>
    <m/>
    <m/>
    <m/>
    <m/>
    <m/>
    <m/>
    <m/>
    <m/>
    <m/>
    <m/>
  </r>
  <r>
    <x v="8"/>
    <s v="Chain 5_Depot 8_SKU 11_44866"/>
    <x v="38"/>
    <x v="1"/>
    <x v="4"/>
    <x v="4"/>
    <x v="5"/>
    <x v="7"/>
    <s v="History"/>
    <n v="11011.05"/>
    <m/>
    <n v="10384.305244536999"/>
    <n v="1241.5111708301099"/>
    <m/>
    <m/>
    <n v="0"/>
    <n v="0"/>
    <n v="0"/>
    <m/>
    <m/>
    <b v="1"/>
    <n v="2109"/>
    <n v="0"/>
    <n v="2842"/>
    <s v="Stable"/>
    <n v="2864.25"/>
    <n v="2579.7399999999998"/>
    <n v="9.93"/>
    <n v="0"/>
    <m/>
    <m/>
    <m/>
    <m/>
    <m/>
    <m/>
    <m/>
    <m/>
    <m/>
    <m/>
    <m/>
    <m/>
  </r>
  <r>
    <x v="9"/>
    <s v="Chain 5_Depot 8_SKU 11_44896"/>
    <x v="38"/>
    <x v="1"/>
    <x v="4"/>
    <x v="4"/>
    <x v="5"/>
    <x v="7"/>
    <s v="History"/>
    <n v="11140.34"/>
    <m/>
    <n v="10700.8698711585"/>
    <n v="1100.36719389838"/>
    <m/>
    <m/>
    <n v="0"/>
    <n v="0"/>
    <n v="0"/>
    <m/>
    <m/>
    <b v="0"/>
    <n v="3664"/>
    <n v="0"/>
    <n v="1699"/>
    <s v="Stable"/>
    <n v="2904.41"/>
    <n v="2548.84"/>
    <n v="12.24"/>
    <n v="0"/>
    <m/>
    <m/>
    <m/>
    <m/>
    <m/>
    <m/>
    <m/>
    <m/>
    <m/>
    <m/>
    <m/>
    <m/>
  </r>
  <r>
    <x v="10"/>
    <s v="Chain 5_Depot 8_SKU 11_44927"/>
    <x v="38"/>
    <x v="1"/>
    <x v="4"/>
    <x v="4"/>
    <x v="5"/>
    <x v="7"/>
    <s v="History"/>
    <n v="9286.7000000000007"/>
    <m/>
    <n v="11028.295542129599"/>
    <n v="-72.904840274427599"/>
    <m/>
    <m/>
    <n v="0"/>
    <n v="0"/>
    <n v="1"/>
    <m/>
    <m/>
    <b v="0"/>
    <n v="4632"/>
    <n v="1"/>
    <n v="1581"/>
    <s v="Stable"/>
    <n v="2895.72"/>
    <n v="2634.92"/>
    <n v="9.01"/>
    <n v="0"/>
    <m/>
    <m/>
    <m/>
    <m/>
    <m/>
    <m/>
    <m/>
    <m/>
    <m/>
    <m/>
    <m/>
    <m/>
  </r>
  <r>
    <x v="11"/>
    <s v="Chain 5_Depot 8_SKU 11_44958"/>
    <x v="38"/>
    <x v="1"/>
    <x v="4"/>
    <x v="4"/>
    <x v="5"/>
    <x v="7"/>
    <s v="History"/>
    <n v="10836.4"/>
    <m/>
    <n v="11355.748087296701"/>
    <n v="1136.2824374522199"/>
    <m/>
    <m/>
    <n v="0"/>
    <n v="0"/>
    <n v="0"/>
    <m/>
    <m/>
    <b v="1"/>
    <n v="2339"/>
    <n v="0"/>
    <n v="2828"/>
    <s v="Stable"/>
    <n v="2994.35"/>
    <n v="2696.85"/>
    <n v="9.94"/>
    <n v="0"/>
    <m/>
    <m/>
    <m/>
    <m/>
    <m/>
    <m/>
    <m/>
    <m/>
    <m/>
    <m/>
    <m/>
    <m/>
  </r>
  <r>
    <x v="12"/>
    <s v="Chain 5_Depot 8_SKU 11_44986"/>
    <x v="38"/>
    <x v="1"/>
    <x v="4"/>
    <x v="4"/>
    <x v="5"/>
    <x v="7"/>
    <s v="History"/>
    <n v="11555.43"/>
    <m/>
    <n v="11651.803737787901"/>
    <n v="329.19085484544797"/>
    <m/>
    <m/>
    <n v="0"/>
    <n v="0"/>
    <n v="0"/>
    <m/>
    <m/>
    <b v="0"/>
    <n v="3588"/>
    <n v="0"/>
    <n v="2310"/>
    <s v="Stable"/>
    <n v="2932.51"/>
    <n v="2624.59"/>
    <n v="10.5"/>
    <n v="0"/>
    <m/>
    <m/>
    <m/>
    <m/>
    <m/>
    <m/>
    <m/>
    <m/>
    <m/>
    <m/>
    <m/>
    <m/>
  </r>
  <r>
    <x v="13"/>
    <s v="Chain 5_Depot 8_SKU 11_45017"/>
    <x v="38"/>
    <x v="1"/>
    <x v="4"/>
    <x v="4"/>
    <x v="5"/>
    <x v="7"/>
    <s v="History"/>
    <n v="11606.58"/>
    <m/>
    <n v="11979.781989193099"/>
    <n v="-660.85003059998598"/>
    <m/>
    <m/>
    <n v="0"/>
    <n v="0"/>
    <n v="0"/>
    <m/>
    <m/>
    <b v="0"/>
    <n v="2978"/>
    <n v="0"/>
    <n v="1993"/>
    <s v="Stable"/>
    <n v="2934.6"/>
    <n v="2672.95"/>
    <n v="8.92"/>
    <n v="0"/>
    <m/>
    <m/>
    <m/>
    <m/>
    <m/>
    <m/>
    <m/>
    <m/>
    <m/>
    <m/>
    <m/>
    <m/>
  </r>
  <r>
    <x v="14"/>
    <s v="Chain 5_Depot 8_SKU 11_45047"/>
    <x v="38"/>
    <x v="1"/>
    <x v="4"/>
    <x v="4"/>
    <x v="5"/>
    <x v="7"/>
    <s v="History"/>
    <n v="11613.64"/>
    <m/>
    <n v="12297.180739473901"/>
    <n v="-487.862651049242"/>
    <m/>
    <m/>
    <n v="0"/>
    <n v="0"/>
    <n v="0"/>
    <m/>
    <m/>
    <b v="0"/>
    <n v="4403"/>
    <n v="1"/>
    <n v="1168"/>
    <s v="Stable"/>
    <n v="2959.73"/>
    <n v="2674.09"/>
    <n v="9.65"/>
    <n v="0"/>
    <m/>
    <m/>
    <m/>
    <m/>
    <m/>
    <m/>
    <m/>
    <m/>
    <m/>
    <m/>
    <m/>
    <m/>
  </r>
  <r>
    <x v="15"/>
    <s v="Chain 5_Depot 8_SKU 11_45078"/>
    <x v="38"/>
    <x v="1"/>
    <x v="4"/>
    <x v="4"/>
    <x v="5"/>
    <x v="7"/>
    <s v="History"/>
    <n v="11892.05"/>
    <m/>
    <n v="12625.1662166076"/>
    <n v="-972.97070330720396"/>
    <m/>
    <m/>
    <n v="0"/>
    <n v="0"/>
    <n v="0"/>
    <m/>
    <m/>
    <b v="0"/>
    <n v="3915"/>
    <n v="0"/>
    <n v="2085"/>
    <s v="Stable"/>
    <n v="2907.09"/>
    <n v="2585.15"/>
    <n v="11.07"/>
    <n v="0"/>
    <m/>
    <m/>
    <m/>
    <m/>
    <m/>
    <m/>
    <m/>
    <m/>
    <m/>
    <m/>
    <m/>
    <m/>
  </r>
  <r>
    <x v="16"/>
    <s v="Chain 5_Depot 8_SKU 11_45108"/>
    <x v="38"/>
    <x v="1"/>
    <x v="4"/>
    <x v="4"/>
    <x v="5"/>
    <x v="7"/>
    <s v="History"/>
    <n v="12432.52"/>
    <m/>
    <n v="12942.5715164256"/>
    <n v="-420.26998508071898"/>
    <m/>
    <m/>
    <n v="0"/>
    <n v="0"/>
    <n v="0"/>
    <m/>
    <m/>
    <b v="1"/>
    <n v="2167"/>
    <n v="0"/>
    <n v="2372"/>
    <s v="Stable"/>
    <n v="2878.82"/>
    <n v="2575.92"/>
    <n v="10.52"/>
    <n v="0"/>
    <m/>
    <m/>
    <m/>
    <m/>
    <m/>
    <m/>
    <m/>
    <m/>
    <m/>
    <m/>
    <m/>
    <m/>
  </r>
  <r>
    <x v="26"/>
    <s v="Chain 5_Depot 8_SKU 11_45139"/>
    <x v="38"/>
    <x v="1"/>
    <x v="4"/>
    <x v="4"/>
    <x v="5"/>
    <x v="7"/>
    <s v="History"/>
    <n v="12264.3"/>
    <m/>
    <n v="13270.5569931793"/>
    <n v="-1358.4728718823701"/>
    <m/>
    <m/>
    <n v="0"/>
    <n v="0"/>
    <n v="0"/>
    <m/>
    <m/>
    <b v="0"/>
    <n v="2556"/>
    <n v="1"/>
    <n v="2465"/>
    <s v="Stable"/>
    <n v="3019.48"/>
    <n v="2928.9"/>
    <n v="3"/>
    <n v="1"/>
    <m/>
    <m/>
    <m/>
    <m/>
    <m/>
    <m/>
    <m/>
    <m/>
    <m/>
    <m/>
    <m/>
    <m/>
  </r>
  <r>
    <x v="27"/>
    <s v="Chain 5_Depot 8_SKU 11_45170"/>
    <x v="38"/>
    <x v="1"/>
    <x v="4"/>
    <x v="4"/>
    <x v="5"/>
    <x v="7"/>
    <s v="History"/>
    <n v="12891.16"/>
    <m/>
    <n v="13598.5424687091"/>
    <n v="-963.50152564171697"/>
    <m/>
    <m/>
    <n v="0"/>
    <n v="0"/>
    <n v="0"/>
    <m/>
    <m/>
    <b v="0"/>
    <n v="2904"/>
    <n v="0"/>
    <n v="1013"/>
    <s v="Stable"/>
    <n v="3024.12"/>
    <n v="2735.77"/>
    <n v="9.5399999999999991"/>
    <n v="0"/>
    <m/>
    <m/>
    <m/>
    <m/>
    <m/>
    <m/>
    <m/>
    <m/>
    <m/>
    <m/>
    <m/>
    <m/>
  </r>
  <r>
    <x v="34"/>
    <s v="Chain 5_Depot 8_SKU 11_45200"/>
    <x v="38"/>
    <x v="1"/>
    <x v="4"/>
    <x v="4"/>
    <x v="5"/>
    <x v="7"/>
    <s v="History"/>
    <n v="15903.01"/>
    <m/>
    <n v="13915.9477688884"/>
    <n v="1991.9734470298699"/>
    <m/>
    <m/>
    <n v="1"/>
    <n v="0"/>
    <n v="0"/>
    <m/>
    <m/>
    <b v="0"/>
    <n v="2104"/>
    <n v="0"/>
    <n v="1163"/>
    <s v="Stable"/>
    <n v="2959.98"/>
    <n v="2637.48"/>
    <n v="10.9"/>
    <n v="0"/>
    <m/>
    <m/>
    <m/>
    <m/>
    <m/>
    <m/>
    <m/>
    <m/>
    <m/>
    <m/>
    <m/>
    <m/>
  </r>
  <r>
    <x v="28"/>
    <s v="Chain 5_Depot 8_SKU 11_45231"/>
    <x v="38"/>
    <x v="1"/>
    <x v="4"/>
    <x v="4"/>
    <x v="5"/>
    <x v="7"/>
    <s v="History"/>
    <n v="16277.52"/>
    <m/>
    <n v="14243.933246312899"/>
    <n v="1413.5051818508"/>
    <m/>
    <m/>
    <n v="1"/>
    <n v="0"/>
    <n v="0"/>
    <m/>
    <m/>
    <b v="0"/>
    <n v="4047"/>
    <n v="0"/>
    <n v="2443"/>
    <s v="Stable"/>
    <n v="2963.61"/>
    <n v="2590.89"/>
    <n v="12.58"/>
    <n v="0"/>
    <m/>
    <m/>
    <m/>
    <m/>
    <m/>
    <m/>
    <m/>
    <m/>
    <m/>
    <m/>
    <m/>
    <m/>
  </r>
  <r>
    <x v="29"/>
    <s v="Chain 5_Depot 8_SKU 11_45261"/>
    <x v="38"/>
    <x v="1"/>
    <x v="4"/>
    <x v="4"/>
    <x v="5"/>
    <x v="7"/>
    <s v="History"/>
    <n v="16153.82"/>
    <m/>
    <n v="14561.3385475663"/>
    <n v="942.72108860090498"/>
    <m/>
    <m/>
    <n v="1"/>
    <n v="0"/>
    <n v="0"/>
    <m/>
    <m/>
    <b v="0"/>
    <n v="4197"/>
    <n v="1"/>
    <n v="1756"/>
    <s v="Stable"/>
    <n v="3014.05"/>
    <n v="2658.96"/>
    <n v="11.78"/>
    <n v="0"/>
    <m/>
    <m/>
    <m/>
    <m/>
    <m/>
    <m/>
    <m/>
    <m/>
    <m/>
    <m/>
    <m/>
    <m/>
  </r>
  <r>
    <x v="17"/>
    <s v="Chain 5_Depot 8_SKU 11_45292"/>
    <x v="38"/>
    <x v="1"/>
    <x v="4"/>
    <x v="4"/>
    <x v="5"/>
    <x v="7"/>
    <s v="History"/>
    <n v="16659.82"/>
    <m/>
    <n v="14889.3240263072"/>
    <n v="89.964151364350599"/>
    <m/>
    <m/>
    <n v="1"/>
    <n v="0"/>
    <n v="0"/>
    <m/>
    <m/>
    <b v="1"/>
    <n v="2145"/>
    <n v="0"/>
    <n v="2870"/>
    <s v="Stable"/>
    <n v="2958.83"/>
    <n v="2670.99"/>
    <n v="9.73"/>
    <n v="0"/>
    <m/>
    <m/>
    <m/>
    <m/>
    <m/>
    <m/>
    <m/>
    <m/>
    <m/>
    <m/>
    <m/>
    <m/>
  </r>
  <r>
    <x v="18"/>
    <s v="Chain 5_Depot 8_SKU 11_45323"/>
    <x v="38"/>
    <x v="1"/>
    <x v="4"/>
    <x v="4"/>
    <x v="5"/>
    <x v="7"/>
    <s v="History"/>
    <n v="15793.45"/>
    <m/>
    <n v="15217.309503462"/>
    <n v="981.17788736013995"/>
    <m/>
    <m/>
    <n v="1"/>
    <n v="0"/>
    <n v="0"/>
    <m/>
    <m/>
    <b v="0"/>
    <n v="4763"/>
    <n v="2"/>
    <n v="2543"/>
    <s v="Stable"/>
    <n v="2930.05"/>
    <n v="2666.77"/>
    <n v="8.99"/>
    <n v="0"/>
    <m/>
    <m/>
    <m/>
    <m/>
    <m/>
    <m/>
    <m/>
    <m/>
    <m/>
    <m/>
    <m/>
    <m/>
  </r>
  <r>
    <x v="19"/>
    <s v="Chain 5_Depot 8_SKU 11_45352"/>
    <x v="38"/>
    <x v="1"/>
    <x v="4"/>
    <x v="4"/>
    <x v="5"/>
    <x v="7"/>
    <s v="History"/>
    <n v="15749.98"/>
    <m/>
    <n v="15524.1346279597"/>
    <n v="-158.37047537422799"/>
    <m/>
    <m/>
    <n v="1"/>
    <n v="0"/>
    <n v="0"/>
    <m/>
    <m/>
    <b v="0"/>
    <n v="2873"/>
    <n v="0"/>
    <n v="2689"/>
    <s v="Stable"/>
    <n v="2952.97"/>
    <n v="2640.58"/>
    <n v="10.58"/>
    <n v="0"/>
    <m/>
    <m/>
    <m/>
    <m/>
    <m/>
    <m/>
    <m/>
    <m/>
    <m/>
    <m/>
    <m/>
    <m/>
  </r>
  <r>
    <x v="20"/>
    <s v="Chain 5_Depot 8_SKU 11_45383"/>
    <x v="38"/>
    <x v="1"/>
    <x v="4"/>
    <x v="4"/>
    <x v="5"/>
    <x v="7"/>
    <s v="History"/>
    <n v="15388.09"/>
    <m/>
    <n v="15852.120104919901"/>
    <n v="-188.90118447598601"/>
    <m/>
    <m/>
    <n v="1"/>
    <n v="0"/>
    <n v="0"/>
    <m/>
    <m/>
    <b v="1"/>
    <n v="2298"/>
    <n v="0"/>
    <n v="2571"/>
    <s v="Stable"/>
    <n v="3020.66"/>
    <n v="2670.83"/>
    <n v="11.58"/>
    <n v="0"/>
    <m/>
    <m/>
    <m/>
    <m/>
    <m/>
    <m/>
    <m/>
    <m/>
    <m/>
    <m/>
    <m/>
    <m/>
  </r>
  <r>
    <x v="21"/>
    <s v="Chain 5_Depot 8_SKU 11_45413"/>
    <x v="38"/>
    <x v="1"/>
    <x v="4"/>
    <x v="4"/>
    <x v="5"/>
    <x v="7"/>
    <s v="History"/>
    <n v="15382.43"/>
    <m/>
    <n v="16169.525404697701"/>
    <n v="-977.36662277951098"/>
    <m/>
    <m/>
    <n v="1"/>
    <n v="0"/>
    <n v="0"/>
    <m/>
    <m/>
    <b v="0"/>
    <n v="3736"/>
    <n v="2"/>
    <n v="2583"/>
    <s v="Stable"/>
    <n v="2953.67"/>
    <n v="2598.64"/>
    <n v="12.02"/>
    <n v="0"/>
    <m/>
    <m/>
    <m/>
    <m/>
    <m/>
    <m/>
    <m/>
    <m/>
    <m/>
    <m/>
    <m/>
    <m/>
  </r>
  <r>
    <x v="22"/>
    <s v="Chain 5_Depot 8_SKU 11_45444"/>
    <x v="38"/>
    <x v="1"/>
    <x v="4"/>
    <x v="4"/>
    <x v="5"/>
    <x v="7"/>
    <s v="History"/>
    <n v="15773.18"/>
    <m/>
    <n v="16497.510881134702"/>
    <n v="-483.338363807669"/>
    <m/>
    <m/>
    <n v="1"/>
    <n v="0"/>
    <n v="0"/>
    <m/>
    <m/>
    <b v="0"/>
    <n v="2645"/>
    <n v="0"/>
    <n v="2620"/>
    <s v="Stable"/>
    <n v="2917.53"/>
    <n v="2649.57"/>
    <n v="9.18"/>
    <n v="0"/>
    <m/>
    <m/>
    <m/>
    <m/>
    <m/>
    <m/>
    <m/>
    <m/>
    <m/>
    <m/>
    <m/>
    <m/>
  </r>
  <r>
    <x v="30"/>
    <s v="Chain 5_Depot 8_SKU 11_45474"/>
    <x v="38"/>
    <x v="1"/>
    <x v="4"/>
    <x v="4"/>
    <x v="5"/>
    <x v="7"/>
    <s v="History"/>
    <n v="15999.97"/>
    <n v="12714.86"/>
    <n v="16814.9161809125"/>
    <n v="-909.58718333459603"/>
    <n v="12914.86"/>
    <n v="12514.86"/>
    <n v="1"/>
    <n v="0"/>
    <n v="0"/>
    <m/>
    <m/>
    <b v="0"/>
    <n v="4770"/>
    <n v="0"/>
    <n v="2051"/>
    <s v="Stable"/>
    <n v="2958.35"/>
    <n v="2658.08"/>
    <n v="10.15"/>
    <n v="0"/>
    <m/>
    <m/>
    <m/>
    <m/>
    <m/>
    <m/>
    <m/>
    <m/>
    <m/>
    <m/>
    <m/>
    <m/>
  </r>
  <r>
    <x v="23"/>
    <s v="Chain 5_Depot 8_SKU 11_45505"/>
    <x v="38"/>
    <x v="1"/>
    <x v="4"/>
    <x v="4"/>
    <x v="5"/>
    <x v="7"/>
    <s v="History"/>
    <n v="15889.79"/>
    <n v="12794.96"/>
    <n v="17142.901657349601"/>
    <n v="-887.40647046168306"/>
    <n v="12994.96"/>
    <n v="12594.96"/>
    <n v="1"/>
    <n v="0"/>
    <n v="0"/>
    <m/>
    <m/>
    <b v="1"/>
    <n v="2637"/>
    <n v="0"/>
    <n v="2731"/>
    <s v="Stable"/>
    <n v="2983.81"/>
    <n v="2657.7"/>
    <n v="10.93"/>
    <n v="0"/>
    <m/>
    <m/>
    <m/>
    <m/>
    <m/>
    <m/>
    <m/>
    <m/>
    <m/>
    <m/>
    <m/>
    <m/>
  </r>
  <r>
    <x v="24"/>
    <s v="Chain 5_Depot 8_SKU 11_45536"/>
    <x v="38"/>
    <x v="1"/>
    <x v="4"/>
    <x v="4"/>
    <x v="5"/>
    <x v="7"/>
    <s v="History"/>
    <n v="15843.95"/>
    <n v="12750.79"/>
    <n v="17470.8871337866"/>
    <n v="-1388.4488278410399"/>
    <n v="12950.79"/>
    <n v="12550.79"/>
    <n v="1"/>
    <n v="0"/>
    <n v="0"/>
    <m/>
    <m/>
    <b v="0"/>
    <n v="4286"/>
    <n v="0"/>
    <n v="1445"/>
    <s v="Stable"/>
    <n v="2977.81"/>
    <n v="2645.26"/>
    <n v="11.17"/>
    <n v="0"/>
    <m/>
    <m/>
    <m/>
    <m/>
    <m/>
    <m/>
    <m/>
    <m/>
    <m/>
    <m/>
    <m/>
    <m/>
  </r>
  <r>
    <x v="31"/>
    <s v="Chain 5_Depot 8_SKU 11_45566"/>
    <x v="38"/>
    <x v="1"/>
    <x v="4"/>
    <x v="4"/>
    <x v="5"/>
    <x v="7"/>
    <s v="Forecast"/>
    <m/>
    <n v="12758.17"/>
    <n v="17788.292433564398"/>
    <n v="2517.36843102586"/>
    <n v="12958.17"/>
    <n v="12558.17"/>
    <m/>
    <m/>
    <m/>
    <m/>
    <m/>
    <m/>
    <m/>
    <m/>
    <n v="2231"/>
    <n v="0"/>
    <n v="2978.64"/>
    <n v="2682.94"/>
    <n v="9.93"/>
    <n v="0"/>
    <m/>
    <m/>
    <m/>
    <m/>
    <m/>
    <m/>
    <m/>
    <m/>
    <m/>
    <m/>
    <m/>
    <m/>
  </r>
  <r>
    <x v="25"/>
    <s v="Chain 5_Depot 8_SKU 11_45597"/>
    <x v="38"/>
    <x v="1"/>
    <x v="4"/>
    <x v="4"/>
    <x v="5"/>
    <x v="7"/>
    <s v="Forecast"/>
    <m/>
    <n v="13125"/>
    <n v="18116.2779100015"/>
    <n v="898.67041107723196"/>
    <n v="13325"/>
    <n v="12925"/>
    <m/>
    <m/>
    <m/>
    <m/>
    <m/>
    <m/>
    <m/>
    <m/>
    <n v="2493"/>
    <n v="0"/>
    <n v="2909.67"/>
    <n v="2620.0100000000002"/>
    <n v="9.9499999999999993"/>
    <n v="0"/>
    <m/>
    <m/>
    <m/>
    <m/>
    <m/>
    <m/>
    <m/>
    <m/>
    <m/>
    <m/>
    <m/>
    <m/>
  </r>
  <r>
    <x v="32"/>
    <s v="Chain 5_Depot 8_SKU 11_45627"/>
    <x v="38"/>
    <x v="1"/>
    <x v="4"/>
    <x v="4"/>
    <x v="5"/>
    <x v="7"/>
    <s v="Forecast"/>
    <m/>
    <n v="13104.93"/>
    <n v="18433.683209779301"/>
    <n v="1415.1805524251099"/>
    <n v="13304.93"/>
    <n v="12904.93"/>
    <m/>
    <m/>
    <m/>
    <m/>
    <m/>
    <m/>
    <m/>
    <m/>
    <n v="1715"/>
    <n v="0"/>
    <n v="2989.51"/>
    <n v="2645.84"/>
    <n v="11.5"/>
    <n v="0"/>
    <m/>
    <m/>
    <m/>
    <m/>
    <m/>
    <m/>
    <m/>
    <m/>
    <m/>
    <m/>
    <m/>
    <m/>
  </r>
  <r>
    <x v="13"/>
    <s v="Chain 5_Depot 8_SKU 9_45017"/>
    <x v="39"/>
    <x v="1"/>
    <x v="4"/>
    <x v="4"/>
    <x v="6"/>
    <x v="14"/>
    <s v="History"/>
    <n v="19874.25"/>
    <m/>
    <n v="19954.74742208"/>
    <n v="161.43293506989801"/>
    <m/>
    <m/>
    <n v="0"/>
    <n v="0"/>
    <n v="0"/>
    <m/>
    <m/>
    <b v="0"/>
    <n v="2894"/>
    <n v="0"/>
    <n v="1608"/>
    <s v="Stable"/>
    <n v="2656.41"/>
    <n v="2219.63"/>
    <n v="16.440000000000001"/>
    <n v="0"/>
    <m/>
    <m/>
    <m/>
    <m/>
    <m/>
    <m/>
    <m/>
    <m/>
    <m/>
    <m/>
    <m/>
    <m/>
  </r>
  <r>
    <x v="14"/>
    <s v="Chain 5_Depot 8_SKU 9_45047"/>
    <x v="39"/>
    <x v="1"/>
    <x v="4"/>
    <x v="4"/>
    <x v="6"/>
    <x v="14"/>
    <s v="History"/>
    <n v="19995.560000000001"/>
    <m/>
    <n v="19979.376877421499"/>
    <n v="-1007.43274848847"/>
    <m/>
    <m/>
    <n v="0"/>
    <n v="0"/>
    <n v="0"/>
    <m/>
    <m/>
    <b v="1"/>
    <n v="2470"/>
    <n v="0"/>
    <n v="2747"/>
    <s v="Stable"/>
    <n v="2688.79"/>
    <n v="2252.16"/>
    <n v="16.239999999999998"/>
    <n v="0"/>
    <m/>
    <m/>
    <m/>
    <m/>
    <m/>
    <m/>
    <m/>
    <m/>
    <m/>
    <m/>
    <m/>
    <m/>
  </r>
  <r>
    <x v="15"/>
    <s v="Chain 5_Depot 8_SKU 9_45078"/>
    <x v="39"/>
    <x v="1"/>
    <x v="4"/>
    <x v="4"/>
    <x v="6"/>
    <x v="14"/>
    <s v="History"/>
    <n v="20232.18"/>
    <m/>
    <n v="20004.827331475401"/>
    <n v="200.672737035918"/>
    <m/>
    <m/>
    <n v="0"/>
    <n v="0"/>
    <n v="0"/>
    <m/>
    <m/>
    <b v="0"/>
    <n v="4578"/>
    <n v="1"/>
    <n v="2309"/>
    <s v="Stable"/>
    <n v="2698.64"/>
    <n v="2316.1"/>
    <n v="14.18"/>
    <n v="0"/>
    <m/>
    <m/>
    <m/>
    <m/>
    <m/>
    <m/>
    <m/>
    <m/>
    <m/>
    <m/>
    <m/>
    <m/>
  </r>
  <r>
    <x v="26"/>
    <s v="Chain 5_Depot 8_SKU 9_45139"/>
    <x v="39"/>
    <x v="1"/>
    <x v="4"/>
    <x v="4"/>
    <x v="6"/>
    <x v="14"/>
    <s v="History"/>
    <n v="21069.88"/>
    <m/>
    <n v="20054.907306669102"/>
    <n v="792.21265890591701"/>
    <m/>
    <m/>
    <n v="0"/>
    <n v="0"/>
    <n v="0"/>
    <m/>
    <m/>
    <b v="0"/>
    <n v="4899"/>
    <n v="1"/>
    <n v="1007"/>
    <s v="Stable"/>
    <n v="2639.01"/>
    <n v="2267.9899999999998"/>
    <n v="14.06"/>
    <n v="0"/>
    <m/>
    <m/>
    <m/>
    <m/>
    <m/>
    <m/>
    <m/>
    <m/>
    <m/>
    <m/>
    <m/>
    <m/>
  </r>
  <r>
    <x v="27"/>
    <s v="Chain 5_Depot 8_SKU 9_45170"/>
    <x v="39"/>
    <x v="1"/>
    <x v="4"/>
    <x v="4"/>
    <x v="6"/>
    <x v="14"/>
    <s v="History"/>
    <n v="21410.22"/>
    <m/>
    <n v="20081.2399016659"/>
    <n v="2348.0303499142301"/>
    <m/>
    <m/>
    <n v="0"/>
    <n v="0"/>
    <n v="0"/>
    <m/>
    <m/>
    <b v="0"/>
    <n v="3446"/>
    <n v="1"/>
    <n v="1805"/>
    <s v="Stable"/>
    <n v="2674.39"/>
    <n v="2305.63"/>
    <n v="13.79"/>
    <n v="0"/>
    <m/>
    <m/>
    <m/>
    <m/>
    <m/>
    <m/>
    <m/>
    <m/>
    <m/>
    <m/>
    <m/>
    <m/>
  </r>
  <r>
    <x v="34"/>
    <s v="Chain 5_Depot 8_SKU 9_45200"/>
    <x v="39"/>
    <x v="1"/>
    <x v="4"/>
    <x v="4"/>
    <x v="6"/>
    <x v="14"/>
    <s v="History"/>
    <n v="21678.63"/>
    <m/>
    <n v="20106.8329960474"/>
    <n v="1598.17481200516"/>
    <m/>
    <m/>
    <n v="0"/>
    <n v="0"/>
    <n v="0"/>
    <m/>
    <m/>
    <b v="0"/>
    <n v="2347"/>
    <n v="1"/>
    <n v="1188"/>
    <s v="Stable"/>
    <n v="2616.66"/>
    <n v="2263.64"/>
    <n v="13.49"/>
    <n v="0"/>
    <m/>
    <m/>
    <m/>
    <m/>
    <m/>
    <m/>
    <m/>
    <m/>
    <m/>
    <m/>
    <m/>
    <m/>
  </r>
  <r>
    <x v="28"/>
    <s v="Chain 5_Depot 8_SKU 9_45231"/>
    <x v="39"/>
    <x v="1"/>
    <x v="4"/>
    <x v="4"/>
    <x v="6"/>
    <x v="14"/>
    <s v="History"/>
    <n v="19377.509999999998"/>
    <m/>
    <n v="20133.798578723799"/>
    <n v="-769.178430747726"/>
    <m/>
    <m/>
    <n v="0"/>
    <n v="1"/>
    <n v="0"/>
    <m/>
    <m/>
    <b v="0"/>
    <n v="2693"/>
    <n v="0"/>
    <n v="1080"/>
    <s v="Stable"/>
    <n v="2725.99"/>
    <n v="2326.1999999999998"/>
    <n v="14.67"/>
    <n v="0"/>
    <m/>
    <m/>
    <m/>
    <m/>
    <m/>
    <m/>
    <m/>
    <m/>
    <m/>
    <m/>
    <m/>
    <m/>
  </r>
  <r>
    <x v="29"/>
    <s v="Chain 5_Depot 8_SKU 9_45261"/>
    <x v="39"/>
    <x v="1"/>
    <x v="4"/>
    <x v="4"/>
    <x v="6"/>
    <x v="14"/>
    <s v="History"/>
    <n v="19601.060000000001"/>
    <m/>
    <n v="20160.164962396801"/>
    <n v="-548.77628253068099"/>
    <m/>
    <m/>
    <n v="0"/>
    <n v="1"/>
    <n v="0"/>
    <m/>
    <m/>
    <b v="0"/>
    <n v="2934"/>
    <n v="0"/>
    <n v="1107"/>
    <s v="Stable"/>
    <n v="2764.43"/>
    <n v="2347.54"/>
    <n v="15.08"/>
    <n v="0"/>
    <m/>
    <m/>
    <m/>
    <m/>
    <m/>
    <m/>
    <m/>
    <m/>
    <m/>
    <m/>
    <m/>
    <m/>
  </r>
  <r>
    <x v="17"/>
    <s v="Chain 5_Depot 8_SKU 9_45292"/>
    <x v="39"/>
    <x v="1"/>
    <x v="4"/>
    <x v="4"/>
    <x v="6"/>
    <x v="14"/>
    <s v="History"/>
    <n v="19754.07"/>
    <m/>
    <n v="20188.420767506101"/>
    <n v="-443.43877437291297"/>
    <m/>
    <m/>
    <n v="0"/>
    <n v="1"/>
    <n v="0"/>
    <m/>
    <m/>
    <b v="0"/>
    <n v="2912"/>
    <n v="0"/>
    <n v="2344"/>
    <s v="Stable"/>
    <n v="2690.73"/>
    <n v="2253.86"/>
    <n v="16.239999999999998"/>
    <n v="0"/>
    <m/>
    <m/>
    <m/>
    <m/>
    <m/>
    <m/>
    <m/>
    <m/>
    <m/>
    <m/>
    <m/>
    <m/>
  </r>
  <r>
    <x v="18"/>
    <s v="Chain 5_Depot 8_SKU 9_45323"/>
    <x v="39"/>
    <x v="1"/>
    <x v="4"/>
    <x v="4"/>
    <x v="6"/>
    <x v="14"/>
    <s v="History"/>
    <n v="19780.21"/>
    <m/>
    <n v="20216.932615841899"/>
    <n v="-424.95863285018902"/>
    <m/>
    <m/>
    <n v="0"/>
    <n v="1"/>
    <n v="0"/>
    <m/>
    <m/>
    <b v="1"/>
    <n v="2146"/>
    <n v="0"/>
    <n v="2602"/>
    <s v="Stable"/>
    <n v="2659.38"/>
    <n v="1595.63"/>
    <n v="40"/>
    <n v="1"/>
    <m/>
    <m/>
    <m/>
    <m/>
    <m/>
    <m/>
    <m/>
    <m/>
    <m/>
    <m/>
    <m/>
    <m/>
  </r>
  <r>
    <x v="19"/>
    <s v="Chain 5_Depot 8_SKU 9_45352"/>
    <x v="39"/>
    <x v="1"/>
    <x v="4"/>
    <x v="4"/>
    <x v="6"/>
    <x v="14"/>
    <s v="History"/>
    <n v="19524.96"/>
    <m/>
    <n v="20244.496297837301"/>
    <n v="-736.86858697973696"/>
    <m/>
    <m/>
    <n v="0"/>
    <n v="1"/>
    <n v="0"/>
    <m/>
    <m/>
    <b v="0"/>
    <n v="3711"/>
    <n v="0"/>
    <n v="1685"/>
    <s v="Stable"/>
    <n v="2718.05"/>
    <n v="2309.9899999999998"/>
    <n v="15.01"/>
    <n v="0"/>
    <m/>
    <m/>
    <m/>
    <m/>
    <m/>
    <m/>
    <m/>
    <m/>
    <m/>
    <m/>
    <m/>
    <m/>
  </r>
  <r>
    <x v="20"/>
    <s v="Chain 5_Depot 8_SKU 9_45383"/>
    <x v="39"/>
    <x v="1"/>
    <x v="4"/>
    <x v="4"/>
    <x v="6"/>
    <x v="14"/>
    <s v="History"/>
    <n v="19455.47"/>
    <m/>
    <n v="20274.694297759899"/>
    <n v="-1037.9297485622501"/>
    <m/>
    <m/>
    <n v="0"/>
    <n v="1"/>
    <n v="0"/>
    <m/>
    <m/>
    <b v="0"/>
    <n v="2674"/>
    <n v="0"/>
    <n v="1345"/>
    <s v="Stable"/>
    <n v="2709.6"/>
    <n v="2281"/>
    <n v="15.82"/>
    <n v="0"/>
    <m/>
    <m/>
    <m/>
    <m/>
    <m/>
    <m/>
    <m/>
    <m/>
    <m/>
    <m/>
    <m/>
    <m/>
  </r>
  <r>
    <x v="21"/>
    <s v="Chain 5_Depot 8_SKU 9_45413"/>
    <x v="39"/>
    <x v="1"/>
    <x v="4"/>
    <x v="4"/>
    <x v="6"/>
    <x v="14"/>
    <s v="History"/>
    <n v="19504.41"/>
    <m/>
    <n v="20305.218441081699"/>
    <n v="232.115819803823"/>
    <m/>
    <m/>
    <n v="0"/>
    <n v="1"/>
    <n v="0"/>
    <m/>
    <m/>
    <b v="0"/>
    <n v="3439"/>
    <n v="0"/>
    <n v="2886"/>
    <s v="Stable"/>
    <n v="2657.22"/>
    <n v="2261.13"/>
    <n v="14.91"/>
    <n v="0"/>
    <m/>
    <m/>
    <m/>
    <m/>
    <m/>
    <m/>
    <m/>
    <m/>
    <m/>
    <m/>
    <m/>
    <m/>
  </r>
  <r>
    <x v="22"/>
    <s v="Chain 5_Depot 8_SKU 9_45444"/>
    <x v="39"/>
    <x v="1"/>
    <x v="4"/>
    <x v="4"/>
    <x v="6"/>
    <x v="14"/>
    <s v="History"/>
    <n v="19272.02"/>
    <m/>
    <n v="20337.308169778302"/>
    <n v="-1073.5009025501799"/>
    <m/>
    <m/>
    <n v="0"/>
    <n v="1"/>
    <n v="0"/>
    <m/>
    <m/>
    <b v="0"/>
    <n v="4734"/>
    <n v="0"/>
    <n v="1327"/>
    <s v="Stable"/>
    <n v="2668.61"/>
    <n v="2243.4899999999998"/>
    <n v="15.93"/>
    <n v="0"/>
    <m/>
    <m/>
    <m/>
    <m/>
    <m/>
    <m/>
    <m/>
    <m/>
    <m/>
    <m/>
    <m/>
    <m/>
  </r>
  <r>
    <x v="30"/>
    <s v="Chain 5_Depot 8_SKU 9_45474"/>
    <x v="39"/>
    <x v="1"/>
    <x v="4"/>
    <x v="4"/>
    <x v="6"/>
    <x v="14"/>
    <s v="History"/>
    <n v="19500.21"/>
    <n v="21788.59"/>
    <n v="20368.3627459362"/>
    <n v="-840.06967028473196"/>
    <n v="21988.59"/>
    <n v="21588.59"/>
    <n v="0"/>
    <n v="1"/>
    <n v="0"/>
    <m/>
    <m/>
    <b v="0"/>
    <n v="3517"/>
    <n v="0"/>
    <n v="1554"/>
    <s v="Stable"/>
    <n v="2640.52"/>
    <n v="2277.33"/>
    <n v="13.75"/>
    <n v="0"/>
    <m/>
    <m/>
    <m/>
    <m/>
    <m/>
    <m/>
    <m/>
    <m/>
    <m/>
    <m/>
    <m/>
    <m/>
  </r>
  <r>
    <x v="23"/>
    <s v="Chain 5_Depot 8_SKU 9_45505"/>
    <x v="39"/>
    <x v="1"/>
    <x v="4"/>
    <x v="4"/>
    <x v="6"/>
    <x v="14"/>
    <s v="History"/>
    <n v="19781.05"/>
    <n v="22096.15"/>
    <n v="20400.452474632799"/>
    <n v="-427.21391241068898"/>
    <n v="22296.15"/>
    <n v="21896.15"/>
    <n v="0"/>
    <n v="1"/>
    <n v="0"/>
    <m/>
    <m/>
    <b v="0"/>
    <n v="3279"/>
    <n v="1"/>
    <n v="2722"/>
    <s v="Stable"/>
    <n v="2679.23"/>
    <n v="2292.29"/>
    <n v="14.44"/>
    <n v="0"/>
    <m/>
    <m/>
    <m/>
    <m/>
    <m/>
    <m/>
    <m/>
    <m/>
    <m/>
    <m/>
    <m/>
    <m/>
  </r>
  <r>
    <x v="24"/>
    <s v="Chain 5_Depot 8_SKU 9_45536"/>
    <x v="39"/>
    <x v="1"/>
    <x v="4"/>
    <x v="4"/>
    <x v="6"/>
    <x v="14"/>
    <s v="History"/>
    <n v="25086.080000000002"/>
    <n v="22067.16"/>
    <n v="20432.5422033293"/>
    <n v="3631.6019104787802"/>
    <n v="22267.16"/>
    <n v="21867.16"/>
    <n v="0"/>
    <n v="1"/>
    <n v="1"/>
    <m/>
    <m/>
    <b v="0"/>
    <n v="2685"/>
    <n v="0"/>
    <n v="1301"/>
    <s v="Stable"/>
    <n v="2685.95"/>
    <n v="2274.25"/>
    <n v="15.33"/>
    <n v="0"/>
    <m/>
    <m/>
    <m/>
    <m/>
    <m/>
    <m/>
    <m/>
    <m/>
    <m/>
    <m/>
    <m/>
    <m/>
  </r>
  <r>
    <x v="31"/>
    <s v="Chain 5_Depot 8_SKU 9_45566"/>
    <x v="39"/>
    <x v="1"/>
    <x v="4"/>
    <x v="4"/>
    <x v="6"/>
    <x v="14"/>
    <s v="Forecast"/>
    <m/>
    <n v="22317.02"/>
    <n v="20463.596779487201"/>
    <n v="271.08532447326502"/>
    <n v="22517.02"/>
    <n v="22117.02"/>
    <m/>
    <m/>
    <m/>
    <m/>
    <m/>
    <m/>
    <m/>
    <m/>
    <n v="1199"/>
    <n v="0"/>
    <n v="2631.99"/>
    <n v="2245.64"/>
    <n v="14.68"/>
    <n v="0"/>
    <m/>
    <m/>
    <m/>
    <m/>
    <m/>
    <m/>
    <m/>
    <m/>
    <m/>
    <m/>
    <m/>
    <m/>
  </r>
  <r>
    <x v="25"/>
    <s v="Chain 5_Depot 8_SKU 9_45597"/>
    <x v="39"/>
    <x v="1"/>
    <x v="4"/>
    <x v="4"/>
    <x v="6"/>
    <x v="14"/>
    <s v="Forecast"/>
    <m/>
    <n v="22781"/>
    <n v="20495.6865081838"/>
    <n v="469.73909397065199"/>
    <n v="22981"/>
    <n v="22581"/>
    <m/>
    <m/>
    <m/>
    <m/>
    <m/>
    <m/>
    <m/>
    <m/>
    <n v="1892"/>
    <n v="0"/>
    <n v="2617.27"/>
    <n v="2199.21"/>
    <n v="15.97"/>
    <n v="0"/>
    <m/>
    <m/>
    <m/>
    <m/>
    <m/>
    <m/>
    <m/>
    <m/>
    <m/>
    <m/>
    <m/>
    <m/>
  </r>
  <r>
    <x v="32"/>
    <s v="Chain 5_Depot 8_SKU 9_45627"/>
    <x v="39"/>
    <x v="1"/>
    <x v="4"/>
    <x v="4"/>
    <x v="6"/>
    <x v="14"/>
    <s v="Forecast"/>
    <m/>
    <n v="22918.71"/>
    <n v="20526.741084341698"/>
    <n v="-1799.44985614862"/>
    <n v="23118.71"/>
    <n v="22718.71"/>
    <m/>
    <m/>
    <m/>
    <m/>
    <m/>
    <m/>
    <m/>
    <m/>
    <n v="2442"/>
    <n v="0"/>
    <n v="2604.6999999999998"/>
    <n v="2191.29"/>
    <n v="15.87"/>
    <n v="0"/>
    <m/>
    <m/>
    <m/>
    <m/>
    <m/>
    <m/>
    <m/>
    <m/>
    <m/>
    <m/>
    <m/>
    <m/>
  </r>
  <r>
    <x v="13"/>
    <s v="Chain 5_Depot 9_SKU 2_45017"/>
    <x v="40"/>
    <x v="1"/>
    <x v="4"/>
    <x v="5"/>
    <x v="6"/>
    <x v="5"/>
    <s v="History"/>
    <n v="19795.669999999998"/>
    <m/>
    <n v="16176.34198236"/>
    <n v="3619.4941979119999"/>
    <m/>
    <m/>
    <n v="0"/>
    <n v="0"/>
    <n v="0"/>
    <m/>
    <m/>
    <b v="0"/>
    <n v="2992"/>
    <n v="2"/>
    <n v="2881"/>
    <s v="Strong"/>
    <n v="870.54"/>
    <n v="772.53"/>
    <n v="11.26"/>
    <n v="0"/>
    <m/>
    <m/>
    <m/>
    <m/>
    <m/>
    <m/>
    <m/>
    <m/>
    <m/>
    <m/>
    <m/>
    <m/>
  </r>
  <r>
    <x v="14"/>
    <s v="Chain 5_Depot 9_SKU 2_45047"/>
    <x v="40"/>
    <x v="1"/>
    <x v="4"/>
    <x v="5"/>
    <x v="6"/>
    <x v="5"/>
    <s v="History"/>
    <n v="20638.95"/>
    <m/>
    <n v="22001.066998294398"/>
    <n v="-1362.29857304394"/>
    <m/>
    <m/>
    <n v="0"/>
    <n v="0"/>
    <n v="0"/>
    <m/>
    <m/>
    <b v="0"/>
    <n v="4292"/>
    <n v="0"/>
    <n v="1491"/>
    <s v="Strong"/>
    <n v="847.8"/>
    <n v="757.96"/>
    <n v="10.6"/>
    <n v="0"/>
    <m/>
    <m/>
    <m/>
    <m/>
    <m/>
    <m/>
    <m/>
    <m/>
    <m/>
    <m/>
    <m/>
    <m/>
  </r>
  <r>
    <x v="15"/>
    <s v="Chain 5_Depot 9_SKU 2_45078"/>
    <x v="40"/>
    <x v="1"/>
    <x v="4"/>
    <x v="5"/>
    <x v="6"/>
    <x v="5"/>
    <s v="History"/>
    <n v="20960.84"/>
    <m/>
    <n v="28019.949521824601"/>
    <n v="-7058.9339760187604"/>
    <m/>
    <m/>
    <n v="0"/>
    <n v="0"/>
    <n v="0"/>
    <m/>
    <m/>
    <b v="0"/>
    <n v="3323"/>
    <n v="1"/>
    <n v="2931"/>
    <s v="Strong"/>
    <n v="835.33"/>
    <n v="741.04"/>
    <n v="11.29"/>
    <n v="0"/>
    <m/>
    <m/>
    <m/>
    <m/>
    <m/>
    <m/>
    <m/>
    <m/>
    <m/>
    <m/>
    <m/>
    <m/>
  </r>
  <r>
    <x v="16"/>
    <s v="Chain 5_Depot 9_SKU 2_45108"/>
    <x v="40"/>
    <x v="1"/>
    <x v="4"/>
    <x v="5"/>
    <x v="6"/>
    <x v="5"/>
    <s v="History"/>
    <n v="21107.43"/>
    <m/>
    <n v="33844.674548959498"/>
    <n v="-12737.4243277393"/>
    <m/>
    <m/>
    <n v="0"/>
    <n v="0"/>
    <n v="0"/>
    <m/>
    <m/>
    <b v="0"/>
    <n v="3385"/>
    <n v="0"/>
    <n v="2617"/>
    <s v="Strong"/>
    <n v="777.01"/>
    <n v="753.7"/>
    <n v="3"/>
    <n v="1"/>
    <m/>
    <m/>
    <m/>
    <m/>
    <m/>
    <m/>
    <m/>
    <m/>
    <m/>
    <m/>
    <m/>
    <m/>
  </r>
  <r>
    <x v="26"/>
    <s v="Chain 5_Depot 9_SKU 2_45139"/>
    <x v="40"/>
    <x v="1"/>
    <x v="4"/>
    <x v="5"/>
    <x v="6"/>
    <x v="5"/>
    <s v="History"/>
    <n v="21279.53"/>
    <m/>
    <n v="39863.557080726998"/>
    <n v="-18583.9455002539"/>
    <m/>
    <m/>
    <n v="0"/>
    <n v="0"/>
    <n v="0"/>
    <m/>
    <m/>
    <b v="0"/>
    <n v="4433"/>
    <n v="2"/>
    <n v="1008"/>
    <s v="Strong"/>
    <n v="855.45"/>
    <n v="767.12"/>
    <n v="10.33"/>
    <n v="0"/>
    <m/>
    <m/>
    <m/>
    <m/>
    <m/>
    <m/>
    <m/>
    <m/>
    <m/>
    <m/>
    <m/>
    <m/>
  </r>
  <r>
    <x v="27"/>
    <s v="Chain 5_Depot 9_SKU 2_45170"/>
    <x v="40"/>
    <x v="1"/>
    <x v="4"/>
    <x v="5"/>
    <x v="6"/>
    <x v="5"/>
    <s v="History"/>
    <n v="22007.83"/>
    <m/>
    <n v="45882.439696039699"/>
    <n v="-23874.945718047002"/>
    <m/>
    <m/>
    <n v="0"/>
    <n v="0"/>
    <n v="0"/>
    <m/>
    <m/>
    <b v="0"/>
    <n v="4806"/>
    <n v="0"/>
    <n v="2520"/>
    <s v="Strong"/>
    <n v="895.92"/>
    <n v="782.38"/>
    <n v="12.67"/>
    <n v="0"/>
    <m/>
    <m/>
    <m/>
    <m/>
    <m/>
    <m/>
    <m/>
    <m/>
    <m/>
    <m/>
    <m/>
    <m/>
  </r>
  <r>
    <x v="34"/>
    <s v="Chain 5_Depot 9_SKU 2_45200"/>
    <x v="40"/>
    <x v="1"/>
    <x v="4"/>
    <x v="5"/>
    <x v="6"/>
    <x v="5"/>
    <s v="History"/>
    <n v="22515.08"/>
    <m/>
    <n v="51707.164794744"/>
    <n v="-29191.973276785298"/>
    <m/>
    <m/>
    <n v="0"/>
    <n v="0"/>
    <n v="0"/>
    <m/>
    <m/>
    <b v="0"/>
    <n v="4461"/>
    <n v="0"/>
    <n v="2748"/>
    <s v="Strong"/>
    <n v="809.09"/>
    <n v="703.03"/>
    <n v="13.11"/>
    <n v="0"/>
    <m/>
    <m/>
    <m/>
    <m/>
    <m/>
    <m/>
    <m/>
    <m/>
    <m/>
    <m/>
    <m/>
    <m/>
  </r>
  <r>
    <x v="28"/>
    <s v="Chain 5_Depot 9_SKU 2_45231"/>
    <x v="40"/>
    <x v="1"/>
    <x v="4"/>
    <x v="5"/>
    <x v="6"/>
    <x v="5"/>
    <s v="History"/>
    <n v="21997.96"/>
    <m/>
    <n v="57726.0474430381"/>
    <n v="-35728.179680361303"/>
    <m/>
    <m/>
    <n v="0"/>
    <n v="0"/>
    <n v="0"/>
    <m/>
    <m/>
    <b v="0"/>
    <n v="3301"/>
    <n v="1"/>
    <n v="2583"/>
    <s v="Strong"/>
    <n v="749.59"/>
    <n v="654.48"/>
    <n v="12.69"/>
    <n v="0"/>
    <m/>
    <m/>
    <m/>
    <m/>
    <m/>
    <m/>
    <m/>
    <m/>
    <m/>
    <m/>
    <m/>
    <m/>
  </r>
  <r>
    <x v="29"/>
    <s v="Chain 5_Depot 9_SKU 2_45261"/>
    <x v="40"/>
    <x v="1"/>
    <x v="4"/>
    <x v="5"/>
    <x v="6"/>
    <x v="5"/>
    <s v="History"/>
    <n v="22496.16"/>
    <m/>
    <n v="63550.772590432702"/>
    <n v="-41054.511101731601"/>
    <m/>
    <m/>
    <n v="0"/>
    <n v="0"/>
    <n v="0"/>
    <m/>
    <m/>
    <b v="0"/>
    <n v="4762"/>
    <n v="0"/>
    <n v="1560"/>
    <s v="Strong"/>
    <n v="832.02"/>
    <n v="745.56"/>
    <n v="10.39"/>
    <n v="0"/>
    <m/>
    <m/>
    <m/>
    <m/>
    <m/>
    <m/>
    <m/>
    <m/>
    <m/>
    <m/>
    <m/>
    <m/>
  </r>
  <r>
    <x v="22"/>
    <s v="Chain 5_Depot 9_SKU 2_45444"/>
    <x v="40"/>
    <x v="1"/>
    <x v="4"/>
    <x v="5"/>
    <x v="6"/>
    <x v="5"/>
    <s v="History"/>
    <n v="22510.720000000001"/>
    <m/>
    <n v="99081.595989539303"/>
    <n v="-76570.872445581204"/>
    <m/>
    <m/>
    <n v="0"/>
    <n v="0"/>
    <n v="0"/>
    <m/>
    <m/>
    <b v="1"/>
    <n v="2015"/>
    <n v="1"/>
    <n v="2761"/>
    <s v="Strong"/>
    <n v="922.52"/>
    <n v="815.12"/>
    <n v="11.64"/>
    <n v="0"/>
    <m/>
    <m/>
    <m/>
    <m/>
    <m/>
    <m/>
    <m/>
    <m/>
    <m/>
    <m/>
    <m/>
    <m/>
  </r>
  <r>
    <x v="9"/>
    <s v="Chain 6_Depot 2_SKU 21_44896"/>
    <x v="41"/>
    <x v="1"/>
    <x v="5"/>
    <x v="1"/>
    <x v="9"/>
    <x v="25"/>
    <s v="History"/>
    <n v="14768.46"/>
    <m/>
    <n v="15035.76444528"/>
    <n v="-326.46703245842099"/>
    <m/>
    <m/>
    <n v="0"/>
    <n v="0"/>
    <n v="0"/>
    <m/>
    <m/>
    <b v="1"/>
    <n v="2384"/>
    <n v="0"/>
    <n v="2566"/>
    <s v="Stable"/>
    <n v="2552.64"/>
    <n v="2221.7600000000002"/>
    <n v="12.96"/>
    <n v="0"/>
    <m/>
    <m/>
    <m/>
    <m/>
    <m/>
    <m/>
    <m/>
    <m/>
    <m/>
    <m/>
    <m/>
    <m/>
  </r>
  <r>
    <x v="10"/>
    <s v="Chain 6_Depot 2_SKU 21_44927"/>
    <x v="41"/>
    <x v="1"/>
    <x v="5"/>
    <x v="1"/>
    <x v="9"/>
    <x v="25"/>
    <s v="History"/>
    <n v="14878.76"/>
    <m/>
    <n v="15064.1956763773"/>
    <n v="-271.16645732045498"/>
    <m/>
    <m/>
    <n v="0"/>
    <n v="0"/>
    <n v="0"/>
    <m/>
    <m/>
    <b v="1"/>
    <n v="2059"/>
    <n v="0"/>
    <n v="2609"/>
    <s v="Stable"/>
    <n v="2465.62"/>
    <n v="2129.71"/>
    <n v="13.62"/>
    <n v="0"/>
    <m/>
    <m/>
    <m/>
    <m/>
    <m/>
    <m/>
    <m/>
    <m/>
    <m/>
    <m/>
    <m/>
    <m/>
  </r>
  <r>
    <x v="11"/>
    <s v="Chain 6_Depot 2_SKU 21_44958"/>
    <x v="41"/>
    <x v="1"/>
    <x v="5"/>
    <x v="1"/>
    <x v="9"/>
    <x v="25"/>
    <s v="History"/>
    <n v="14704.29"/>
    <m/>
    <n v="15092.626907149101"/>
    <n v="-114.46992447201001"/>
    <m/>
    <m/>
    <n v="0"/>
    <n v="0"/>
    <n v="0"/>
    <m/>
    <m/>
    <b v="0"/>
    <n v="3130"/>
    <n v="0"/>
    <n v="2554"/>
    <s v="Stable"/>
    <n v="2461.41"/>
    <n v="2206.86"/>
    <n v="10.34"/>
    <n v="0"/>
    <m/>
    <m/>
    <m/>
    <m/>
    <m/>
    <m/>
    <m/>
    <m/>
    <m/>
    <m/>
    <m/>
    <m/>
  </r>
  <r>
    <x v="12"/>
    <s v="Chain 6_Depot 2_SKU 21_44986"/>
    <x v="41"/>
    <x v="1"/>
    <x v="5"/>
    <x v="1"/>
    <x v="9"/>
    <x v="25"/>
    <s v="History"/>
    <n v="15184.54"/>
    <m/>
    <n v="15118.3067281289"/>
    <n v="122.38508806345"/>
    <m/>
    <m/>
    <n v="0"/>
    <n v="0"/>
    <n v="0"/>
    <m/>
    <m/>
    <b v="0"/>
    <n v="2219"/>
    <n v="0"/>
    <n v="2179"/>
    <s v="Stable"/>
    <n v="2589.67"/>
    <n v="2258.69"/>
    <n v="12.78"/>
    <n v="0"/>
    <m/>
    <m/>
    <m/>
    <m/>
    <m/>
    <m/>
    <m/>
    <m/>
    <m/>
    <m/>
    <m/>
    <m/>
  </r>
  <r>
    <x v="13"/>
    <s v="Chain 6_Depot 2_SKU 21_45017"/>
    <x v="41"/>
    <x v="1"/>
    <x v="5"/>
    <x v="1"/>
    <x v="9"/>
    <x v="25"/>
    <s v="History"/>
    <n v="15183.36"/>
    <m/>
    <n v="15146.737958036199"/>
    <n v="3.21677411164467"/>
    <m/>
    <m/>
    <n v="0"/>
    <n v="0"/>
    <n v="0"/>
    <m/>
    <m/>
    <b v="0"/>
    <n v="3464"/>
    <n v="0"/>
    <n v="2872"/>
    <s v="Stable"/>
    <n v="2506.5300000000002"/>
    <n v="2199.63"/>
    <n v="12.24"/>
    <n v="0"/>
    <m/>
    <m/>
    <m/>
    <m/>
    <m/>
    <m/>
    <m/>
    <m/>
    <m/>
    <m/>
    <m/>
    <m/>
  </r>
  <r>
    <x v="14"/>
    <s v="Chain 6_Depot 2_SKU 21_45047"/>
    <x v="41"/>
    <x v="1"/>
    <x v="5"/>
    <x v="1"/>
    <x v="9"/>
    <x v="25"/>
    <s v="History"/>
    <n v="15350.67"/>
    <m/>
    <n v="15174.2520513086"/>
    <n v="134.105938070593"/>
    <m/>
    <m/>
    <n v="0"/>
    <n v="0"/>
    <n v="0"/>
    <m/>
    <m/>
    <b v="0"/>
    <n v="4818"/>
    <n v="0"/>
    <n v="1667"/>
    <s v="Stable"/>
    <n v="2466.83"/>
    <n v="2192.11"/>
    <n v="11.14"/>
    <n v="0"/>
    <m/>
    <m/>
    <m/>
    <m/>
    <m/>
    <m/>
    <m/>
    <m/>
    <m/>
    <m/>
    <m/>
    <m/>
  </r>
  <r>
    <x v="15"/>
    <s v="Chain 6_Depot 2_SKU 21_45078"/>
    <x v="41"/>
    <x v="1"/>
    <x v="5"/>
    <x v="1"/>
    <x v="9"/>
    <x v="25"/>
    <s v="History"/>
    <n v="15712.62"/>
    <m/>
    <n v="15202.655515800599"/>
    <n v="374.578065311302"/>
    <m/>
    <m/>
    <n v="0"/>
    <n v="0"/>
    <n v="0"/>
    <m/>
    <m/>
    <b v="0"/>
    <n v="3906"/>
    <n v="0"/>
    <n v="1146"/>
    <s v="Stable"/>
    <n v="2505.2800000000002"/>
    <n v="2289.37"/>
    <n v="8.6199999999999992"/>
    <n v="0"/>
    <m/>
    <m/>
    <m/>
    <m/>
    <m/>
    <m/>
    <m/>
    <m/>
    <m/>
    <m/>
    <m/>
    <m/>
  </r>
  <r>
    <x v="16"/>
    <s v="Chain 6_Depot 2_SKU 21_45108"/>
    <x v="41"/>
    <x v="1"/>
    <x v="5"/>
    <x v="1"/>
    <x v="9"/>
    <x v="25"/>
    <s v="History"/>
    <n v="15831.72"/>
    <m/>
    <n v="15082.423144448199"/>
    <n v="610.21604896062399"/>
    <m/>
    <m/>
    <n v="0"/>
    <n v="0"/>
    <n v="0"/>
    <m/>
    <m/>
    <b v="0"/>
    <n v="4611"/>
    <n v="0"/>
    <n v="2508"/>
    <s v="Stable"/>
    <n v="2547.5100000000002"/>
    <n v="2206.35"/>
    <n v="13.39"/>
    <n v="0"/>
    <m/>
    <m/>
    <m/>
    <m/>
    <m/>
    <m/>
    <m/>
    <m/>
    <m/>
    <m/>
    <m/>
    <m/>
  </r>
  <r>
    <x v="26"/>
    <s v="Chain 6_Depot 2_SKU 21_45139"/>
    <x v="41"/>
    <x v="1"/>
    <x v="5"/>
    <x v="1"/>
    <x v="9"/>
    <x v="25"/>
    <s v="History"/>
    <n v="15524.81"/>
    <m/>
    <n v="14957.537883507701"/>
    <n v="716.50580588438402"/>
    <m/>
    <m/>
    <n v="0"/>
    <n v="0"/>
    <n v="0"/>
    <m/>
    <m/>
    <b v="0"/>
    <n v="3595"/>
    <n v="0"/>
    <n v="1598"/>
    <s v="Stable"/>
    <n v="2536.06"/>
    <n v="2239.4"/>
    <n v="11.7"/>
    <n v="0"/>
    <m/>
    <m/>
    <m/>
    <m/>
    <m/>
    <m/>
    <m/>
    <m/>
    <m/>
    <m/>
    <m/>
    <m/>
  </r>
  <r>
    <x v="27"/>
    <s v="Chain 6_Depot 2_SKU 21_45170"/>
    <x v="41"/>
    <x v="1"/>
    <x v="5"/>
    <x v="1"/>
    <x v="9"/>
    <x v="25"/>
    <s v="History"/>
    <n v="14562.64"/>
    <m/>
    <n v="14832.652622346999"/>
    <n v="-253.40544739844299"/>
    <m/>
    <m/>
    <n v="0"/>
    <n v="0"/>
    <n v="1"/>
    <m/>
    <m/>
    <b v="0"/>
    <n v="4593"/>
    <n v="0"/>
    <n v="1019"/>
    <s v="Stable"/>
    <n v="2553.71"/>
    <n v="2225.4299999999998"/>
    <n v="12.85"/>
    <n v="0"/>
    <m/>
    <m/>
    <m/>
    <m/>
    <m/>
    <m/>
    <m/>
    <m/>
    <m/>
    <m/>
    <m/>
    <m/>
  </r>
  <r>
    <x v="34"/>
    <s v="Chain 6_Depot 2_SKU 21_45200"/>
    <x v="41"/>
    <x v="1"/>
    <x v="5"/>
    <x v="1"/>
    <x v="9"/>
    <x v="25"/>
    <s v="History"/>
    <n v="14204.16"/>
    <m/>
    <n v="14711.742069469799"/>
    <n v="-509.80746302544202"/>
    <m/>
    <m/>
    <n v="0"/>
    <n v="1"/>
    <n v="0"/>
    <m/>
    <m/>
    <b v="1"/>
    <n v="2095"/>
    <n v="0"/>
    <n v="2292"/>
    <s v="Stable"/>
    <n v="2442.52"/>
    <n v="2132.66"/>
    <n v="12.69"/>
    <n v="0"/>
    <m/>
    <m/>
    <m/>
    <m/>
    <m/>
    <m/>
    <m/>
    <m/>
    <m/>
    <m/>
    <m/>
    <m/>
  </r>
  <r>
    <x v="28"/>
    <s v="Chain 6_Depot 2_SKU 21_45231"/>
    <x v="41"/>
    <x v="1"/>
    <x v="5"/>
    <x v="1"/>
    <x v="9"/>
    <x v="25"/>
    <s v="History"/>
    <n v="13960.52"/>
    <m/>
    <n v="14586.8011632424"/>
    <n v="-624.55234409213006"/>
    <m/>
    <m/>
    <n v="0"/>
    <n v="1"/>
    <n v="0"/>
    <m/>
    <m/>
    <b v="0"/>
    <n v="2988"/>
    <n v="0"/>
    <n v="1332"/>
    <s v="Stable"/>
    <n v="2552.46"/>
    <n v="2224.02"/>
    <n v="12.87"/>
    <n v="0"/>
    <m/>
    <m/>
    <m/>
    <m/>
    <m/>
    <m/>
    <m/>
    <m/>
    <m/>
    <m/>
    <m/>
    <m/>
  </r>
  <r>
    <x v="29"/>
    <s v="Chain 6_Depot 2_SKU 21_45261"/>
    <x v="41"/>
    <x v="1"/>
    <x v="5"/>
    <x v="1"/>
    <x v="9"/>
    <x v="25"/>
    <s v="History"/>
    <n v="14103.93"/>
    <m/>
    <n v="14465.819563713199"/>
    <n v="-305.49766442563902"/>
    <m/>
    <m/>
    <n v="0"/>
    <n v="1"/>
    <n v="0"/>
    <m/>
    <m/>
    <b v="0"/>
    <n v="3112"/>
    <n v="0"/>
    <n v="2578"/>
    <s v="Stable"/>
    <n v="2496.0500000000002"/>
    <n v="2164.7399999999998"/>
    <n v="13.27"/>
    <n v="0"/>
    <m/>
    <m/>
    <m/>
    <m/>
    <m/>
    <m/>
    <m/>
    <m/>
    <m/>
    <m/>
    <m/>
    <m/>
  </r>
  <r>
    <x v="17"/>
    <s v="Chain 6_Depot 2_SKU 21_45292"/>
    <x v="41"/>
    <x v="1"/>
    <x v="5"/>
    <x v="1"/>
    <x v="9"/>
    <x v="25"/>
    <s v="History"/>
    <n v="13957.76"/>
    <m/>
    <n v="14340.8052442516"/>
    <n v="-293.82199853161001"/>
    <m/>
    <m/>
    <n v="0"/>
    <n v="1"/>
    <n v="0"/>
    <m/>
    <m/>
    <b v="0"/>
    <n v="4875"/>
    <n v="0"/>
    <n v="1906"/>
    <s v="Stable"/>
    <n v="2509.46"/>
    <n v="2203.58"/>
    <n v="12.19"/>
    <n v="0"/>
    <m/>
    <m/>
    <m/>
    <m/>
    <m/>
    <m/>
    <m/>
    <m/>
    <m/>
    <m/>
    <m/>
    <m/>
  </r>
  <r>
    <x v="18"/>
    <s v="Chain 6_Depot 2_SKU 21_45323"/>
    <x v="41"/>
    <x v="1"/>
    <x v="5"/>
    <x v="1"/>
    <x v="9"/>
    <x v="25"/>
    <s v="History"/>
    <n v="14394.56"/>
    <m/>
    <n v="14215.790923074601"/>
    <n v="-96.196410234717405"/>
    <m/>
    <m/>
    <n v="0"/>
    <n v="1"/>
    <n v="0"/>
    <m/>
    <m/>
    <b v="0"/>
    <n v="3945"/>
    <n v="1"/>
    <n v="1943"/>
    <s v="Stable"/>
    <n v="2565.4699999999998"/>
    <n v="2216.0100000000002"/>
    <n v="13.62"/>
    <n v="0"/>
    <m/>
    <m/>
    <m/>
    <m/>
    <m/>
    <m/>
    <m/>
    <m/>
    <m/>
    <m/>
    <m/>
    <m/>
  </r>
  <r>
    <x v="19"/>
    <s v="Chain 6_Depot 2_SKU 21_45352"/>
    <x v="41"/>
    <x v="1"/>
    <x v="5"/>
    <x v="1"/>
    <x v="9"/>
    <x v="25"/>
    <s v="History"/>
    <n v="14308.09"/>
    <m/>
    <n v="14063.3248867442"/>
    <n v="186.57357763088601"/>
    <m/>
    <m/>
    <n v="0"/>
    <n v="1"/>
    <n v="0"/>
    <m/>
    <m/>
    <b v="0"/>
    <n v="4278"/>
    <n v="0"/>
    <n v="1910"/>
    <s v="Stable"/>
    <n v="2540.14"/>
    <n v="2255.62"/>
    <n v="11.2"/>
    <n v="0"/>
    <m/>
    <m/>
    <m/>
    <m/>
    <m/>
    <m/>
    <m/>
    <m/>
    <m/>
    <m/>
    <m/>
    <m/>
  </r>
  <r>
    <x v="20"/>
    <s v="Chain 6_Depot 2_SKU 21_45383"/>
    <x v="41"/>
    <x v="1"/>
    <x v="5"/>
    <x v="1"/>
    <x v="9"/>
    <x v="25"/>
    <s v="History"/>
    <n v="13796.87"/>
    <m/>
    <n v="13900.189678987799"/>
    <n v="-66.613166357075102"/>
    <m/>
    <m/>
    <n v="0"/>
    <n v="1"/>
    <n v="0"/>
    <m/>
    <m/>
    <b v="0"/>
    <n v="2967"/>
    <n v="0"/>
    <n v="1400"/>
    <s v="Stable"/>
    <n v="2522.5500000000002"/>
    <n v="2217.5100000000002"/>
    <n v="12.09"/>
    <n v="0"/>
    <m/>
    <m/>
    <m/>
    <m/>
    <m/>
    <m/>
    <m/>
    <m/>
    <m/>
    <m/>
    <m/>
    <m/>
  </r>
  <r>
    <x v="21"/>
    <s v="Chain 6_Depot 2_SKU 21_45413"/>
    <x v="41"/>
    <x v="1"/>
    <x v="5"/>
    <x v="1"/>
    <x v="9"/>
    <x v="25"/>
    <s v="History"/>
    <n v="13913.23"/>
    <m/>
    <n v="13742.3168979686"/>
    <n v="211.794493808949"/>
    <m/>
    <m/>
    <n v="0"/>
    <n v="1"/>
    <n v="0"/>
    <m/>
    <m/>
    <b v="0"/>
    <n v="4322"/>
    <n v="0"/>
    <n v="1949"/>
    <s v="Stable"/>
    <n v="2405.8000000000002"/>
    <n v="2123.7199999999998"/>
    <n v="11.73"/>
    <n v="0"/>
    <m/>
    <m/>
    <m/>
    <m/>
    <m/>
    <m/>
    <m/>
    <m/>
    <m/>
    <m/>
    <m/>
    <m/>
  </r>
  <r>
    <x v="22"/>
    <s v="Chain 6_Depot 2_SKU 21_45444"/>
    <x v="41"/>
    <x v="1"/>
    <x v="5"/>
    <x v="1"/>
    <x v="9"/>
    <x v="25"/>
    <s v="History"/>
    <n v="13744.63"/>
    <m/>
    <n v="13579.1816909155"/>
    <n v="305.95321285002001"/>
    <m/>
    <m/>
    <n v="0"/>
    <n v="1"/>
    <n v="0"/>
    <m/>
    <m/>
    <b v="1"/>
    <n v="2245"/>
    <n v="0"/>
    <n v="2329"/>
    <s v="Stable"/>
    <n v="2502.7199999999998"/>
    <n v="2427.64"/>
    <n v="3"/>
    <n v="1"/>
    <m/>
    <m/>
    <m/>
    <m/>
    <m/>
    <m/>
    <m/>
    <m/>
    <m/>
    <m/>
    <m/>
    <m/>
  </r>
  <r>
    <x v="30"/>
    <s v="Chain 6_Depot 2_SKU 21_45474"/>
    <x v="41"/>
    <x v="1"/>
    <x v="5"/>
    <x v="1"/>
    <x v="9"/>
    <x v="25"/>
    <s v="History"/>
    <n v="13983.35"/>
    <n v="16401.939999999999"/>
    <n v="13421.308909896299"/>
    <n v="693.885510097988"/>
    <n v="16601.939999999999"/>
    <n v="16201.94"/>
    <n v="0"/>
    <n v="1"/>
    <n v="0"/>
    <m/>
    <m/>
    <b v="0"/>
    <n v="4158"/>
    <n v="0"/>
    <n v="1027"/>
    <s v="Stable"/>
    <n v="2465.77"/>
    <n v="2157.1799999999998"/>
    <n v="12.51"/>
    <n v="0"/>
    <m/>
    <m/>
    <m/>
    <m/>
    <m/>
    <m/>
    <m/>
    <m/>
    <m/>
    <m/>
    <m/>
    <m/>
  </r>
  <r>
    <x v="23"/>
    <s v="Chain 6_Depot 2_SKU 21_45505"/>
    <x v="41"/>
    <x v="1"/>
    <x v="5"/>
    <x v="1"/>
    <x v="9"/>
    <x v="25"/>
    <s v="History"/>
    <n v="14036.27"/>
    <n v="16470.59"/>
    <n v="13258.1737028431"/>
    <n v="626.75007722734904"/>
    <n v="16670.59"/>
    <n v="16270.59"/>
    <n v="0"/>
    <n v="1"/>
    <n v="0"/>
    <m/>
    <m/>
    <b v="0"/>
    <n v="2233"/>
    <n v="0"/>
    <n v="1466"/>
    <s v="Stable"/>
    <n v="2540.5500000000002"/>
    <n v="2239.25"/>
    <n v="11.86"/>
    <n v="0"/>
    <m/>
    <m/>
    <m/>
    <m/>
    <m/>
    <m/>
    <m/>
    <m/>
    <m/>
    <m/>
    <m/>
    <m/>
  </r>
  <r>
    <x v="24"/>
    <s v="Chain 6_Depot 2_SKU 21_45536"/>
    <x v="41"/>
    <x v="1"/>
    <x v="5"/>
    <x v="1"/>
    <x v="9"/>
    <x v="25"/>
    <s v="History"/>
    <n v="12908.48"/>
    <n v="16452.21"/>
    <n v="13095.0384957899"/>
    <n v="-198.727295473238"/>
    <n v="16652.21"/>
    <n v="16252.21"/>
    <n v="0"/>
    <n v="1"/>
    <n v="1"/>
    <m/>
    <m/>
    <b v="0"/>
    <n v="4464"/>
    <n v="0"/>
    <n v="2283"/>
    <s v="Stable"/>
    <n v="2554.5500000000002"/>
    <n v="2214.5"/>
    <n v="13.31"/>
    <n v="0"/>
    <m/>
    <m/>
    <m/>
    <m/>
    <m/>
    <m/>
    <m/>
    <m/>
    <m/>
    <m/>
    <m/>
    <m/>
  </r>
  <r>
    <x v="31"/>
    <s v="Chain 6_Depot 2_SKU 21_45566"/>
    <x v="41"/>
    <x v="1"/>
    <x v="5"/>
    <x v="1"/>
    <x v="9"/>
    <x v="25"/>
    <s v="Forecast"/>
    <m/>
    <n v="16663.68"/>
    <n v="12937.165714770799"/>
    <n v="-583.58345963591603"/>
    <n v="16863.68"/>
    <n v="16463.68"/>
    <m/>
    <m/>
    <m/>
    <m/>
    <m/>
    <m/>
    <m/>
    <m/>
    <n v="2557"/>
    <n v="0"/>
    <n v="2489.9"/>
    <n v="2178.5300000000002"/>
    <n v="12.51"/>
    <n v="0"/>
    <m/>
    <m/>
    <m/>
    <m/>
    <m/>
    <m/>
    <m/>
    <m/>
    <m/>
    <m/>
    <m/>
    <m/>
  </r>
  <r>
    <x v="25"/>
    <s v="Chain 6_Depot 2_SKU 21_45597"/>
    <x v="41"/>
    <x v="1"/>
    <x v="5"/>
    <x v="1"/>
    <x v="9"/>
    <x v="25"/>
    <s v="Forecast"/>
    <m/>
    <n v="17435.939999999999"/>
    <n v="12774.0305077176"/>
    <n v="-551.63008194751296"/>
    <n v="17635.939999999999"/>
    <n v="17235.939999999999"/>
    <m/>
    <m/>
    <m/>
    <m/>
    <m/>
    <m/>
    <m/>
    <m/>
    <n v="1981"/>
    <n v="0"/>
    <n v="2471.65"/>
    <n v="2150.16"/>
    <n v="13.01"/>
    <n v="0"/>
    <m/>
    <m/>
    <m/>
    <m/>
    <m/>
    <m/>
    <m/>
    <m/>
    <m/>
    <m/>
    <m/>
    <m/>
  </r>
  <r>
    <x v="32"/>
    <s v="Chain 6_Depot 2_SKU 21_45627"/>
    <x v="41"/>
    <x v="1"/>
    <x v="5"/>
    <x v="1"/>
    <x v="9"/>
    <x v="25"/>
    <s v="Forecast"/>
    <m/>
    <n v="17102.009999999998"/>
    <n v="12616.1577266984"/>
    <n v="-368.508467603844"/>
    <n v="17302.009999999998"/>
    <n v="16902.009999999998"/>
    <m/>
    <m/>
    <m/>
    <m/>
    <m/>
    <m/>
    <m/>
    <m/>
    <n v="2910"/>
    <n v="0"/>
    <n v="2582.8200000000002"/>
    <n v="2246.0700000000002"/>
    <n v="13.04"/>
    <n v="0"/>
    <m/>
    <m/>
    <m/>
    <m/>
    <m/>
    <m/>
    <m/>
    <m/>
    <m/>
    <m/>
    <m/>
    <m/>
  </r>
  <r>
    <x v="20"/>
    <s v="Chain 6_Depot 4_SKU 14_45383"/>
    <x v="42"/>
    <x v="1"/>
    <x v="5"/>
    <x v="8"/>
    <x v="3"/>
    <x v="3"/>
    <s v="History"/>
    <n v="10356.790000000001"/>
    <m/>
    <n v="-7083.3706833599999"/>
    <n v="17440.227843135301"/>
    <m/>
    <m/>
    <n v="0"/>
    <n v="0"/>
    <n v="0"/>
    <m/>
    <m/>
    <b v="0"/>
    <n v="4467"/>
    <n v="1"/>
    <n v="1961"/>
    <s v="Stable"/>
    <n v="1144.42"/>
    <n v="974.14"/>
    <n v="14.88"/>
    <n v="0"/>
    <m/>
    <m/>
    <m/>
    <m/>
    <m/>
    <m/>
    <m/>
    <m/>
    <m/>
    <m/>
    <m/>
    <m/>
  </r>
  <r>
    <x v="21"/>
    <s v="Chain 6_Depot 4_SKU 14_45413"/>
    <x v="42"/>
    <x v="1"/>
    <x v="5"/>
    <x v="8"/>
    <x v="3"/>
    <x v="3"/>
    <s v="History"/>
    <n v="10295.25"/>
    <m/>
    <n v="-188.87804241882299"/>
    <n v="10484.1012853346"/>
    <m/>
    <m/>
    <n v="0"/>
    <n v="0"/>
    <n v="0"/>
    <m/>
    <m/>
    <b v="0"/>
    <n v="2663"/>
    <n v="2"/>
    <n v="2441"/>
    <s v="Stable"/>
    <n v="1060.72"/>
    <n v="919"/>
    <n v="13.36"/>
    <n v="0"/>
    <m/>
    <m/>
    <m/>
    <m/>
    <m/>
    <m/>
    <m/>
    <m/>
    <m/>
    <m/>
    <m/>
    <m/>
  </r>
  <r>
    <x v="22"/>
    <s v="Chain 6_Depot 4_SKU 14_45444"/>
    <x v="42"/>
    <x v="1"/>
    <x v="5"/>
    <x v="8"/>
    <x v="3"/>
    <x v="3"/>
    <s v="History"/>
    <n v="10384.56"/>
    <m/>
    <n v="6935.4310129973301"/>
    <n v="3449.1356925213199"/>
    <m/>
    <m/>
    <n v="0"/>
    <n v="0"/>
    <n v="0"/>
    <m/>
    <m/>
    <b v="0"/>
    <n v="4142"/>
    <n v="0"/>
    <n v="1985"/>
    <s v="Stable"/>
    <n v="1231.69"/>
    <n v="739.01"/>
    <n v="40"/>
    <n v="1"/>
    <m/>
    <m/>
    <m/>
    <m/>
    <m/>
    <m/>
    <m/>
    <m/>
    <m/>
    <m/>
    <m/>
    <m/>
  </r>
  <r>
    <x v="30"/>
    <s v="Chain 6_Depot 4_SKU 14_45474"/>
    <x v="42"/>
    <x v="1"/>
    <x v="5"/>
    <x v="8"/>
    <x v="3"/>
    <x v="3"/>
    <s v="History"/>
    <n v="10014.6"/>
    <n v="10041.870000000001"/>
    <n v="13829.9236452149"/>
    <n v="-3815.3024989247601"/>
    <n v="10241.870000000001"/>
    <n v="9841.8700000000008"/>
    <n v="0"/>
    <n v="0"/>
    <n v="0"/>
    <m/>
    <m/>
    <b v="0"/>
    <n v="3581"/>
    <n v="0"/>
    <n v="2374"/>
    <s v="Stable"/>
    <n v="1187.55"/>
    <n v="1001.42"/>
    <n v="15.67"/>
    <n v="0"/>
    <m/>
    <m/>
    <m/>
    <m/>
    <m/>
    <m/>
    <m/>
    <m/>
    <m/>
    <m/>
    <m/>
    <m/>
  </r>
  <r>
    <x v="23"/>
    <s v="Chain 6_Depot 4_SKU 14_45505"/>
    <x v="42"/>
    <x v="1"/>
    <x v="5"/>
    <x v="8"/>
    <x v="3"/>
    <x v="3"/>
    <s v="History"/>
    <n v="10066.66"/>
    <n v="10100.89"/>
    <n v="20954.2327070471"/>
    <n v="-10887.530904056501"/>
    <n v="10300.89"/>
    <n v="9900.89"/>
    <n v="0"/>
    <n v="0"/>
    <n v="0"/>
    <m/>
    <m/>
    <b v="0"/>
    <n v="2649"/>
    <n v="1"/>
    <n v="1008"/>
    <s v="Stable"/>
    <n v="1118.68"/>
    <n v="968.07"/>
    <n v="13.46"/>
    <n v="0"/>
    <m/>
    <m/>
    <m/>
    <m/>
    <m/>
    <m/>
    <m/>
    <m/>
    <m/>
    <m/>
    <m/>
    <m/>
  </r>
  <r>
    <x v="24"/>
    <s v="Chain 6_Depot 4_SKU 14_45536"/>
    <x v="42"/>
    <x v="1"/>
    <x v="5"/>
    <x v="8"/>
    <x v="3"/>
    <x v="3"/>
    <s v="History"/>
    <n v="9816.5300000000007"/>
    <n v="9706.67"/>
    <n v="28078.5417688794"/>
    <n v="-18261.972966216399"/>
    <n v="9906.67"/>
    <n v="9506.67"/>
    <n v="0"/>
    <n v="0"/>
    <n v="0"/>
    <m/>
    <m/>
    <b v="0"/>
    <n v="3489"/>
    <n v="2"/>
    <n v="1349"/>
    <s v="Stable"/>
    <n v="1110.3399999999999"/>
    <n v="968.57"/>
    <n v="12.77"/>
    <n v="0"/>
    <m/>
    <m/>
    <m/>
    <m/>
    <m/>
    <m/>
    <m/>
    <m/>
    <m/>
    <m/>
    <m/>
    <m/>
  </r>
  <r>
    <x v="31"/>
    <s v="Chain 6_Depot 4_SKU 14_45566"/>
    <x v="42"/>
    <x v="1"/>
    <x v="5"/>
    <x v="8"/>
    <x v="3"/>
    <x v="3"/>
    <s v="Forecast"/>
    <m/>
    <n v="10184.780000000001"/>
    <n v="34973.034409362197"/>
    <n v="-1417.29512725579"/>
    <n v="10384.780000000001"/>
    <n v="9984.7800000000007"/>
    <m/>
    <m/>
    <m/>
    <m/>
    <m/>
    <m/>
    <m/>
    <m/>
    <n v="1083"/>
    <n v="0"/>
    <n v="1190.67"/>
    <n v="1023.99"/>
    <n v="14"/>
    <n v="0"/>
    <m/>
    <m/>
    <m/>
    <m/>
    <m/>
    <m/>
    <m/>
    <m/>
    <m/>
    <m/>
    <m/>
    <m/>
  </r>
  <r>
    <x v="25"/>
    <s v="Chain 6_Depot 4_SKU 14_45597"/>
    <x v="42"/>
    <x v="1"/>
    <x v="5"/>
    <x v="8"/>
    <x v="3"/>
    <x v="3"/>
    <s v="Forecast"/>
    <m/>
    <n v="10518.5"/>
    <n v="42097.343471194501"/>
    <n v="112173.846535982"/>
    <n v="10718.5"/>
    <n v="10318.5"/>
    <m/>
    <m/>
    <m/>
    <m/>
    <m/>
    <m/>
    <m/>
    <m/>
    <n v="1532"/>
    <n v="0"/>
    <n v="1144.6500000000001"/>
    <n v="988.96"/>
    <n v="13.6"/>
    <n v="0"/>
    <m/>
    <m/>
    <m/>
    <m/>
    <m/>
    <m/>
    <m/>
    <m/>
    <m/>
    <m/>
    <m/>
    <m/>
  </r>
  <r>
    <x v="32"/>
    <s v="Chain 6_Depot 4_SKU 14_45627"/>
    <x v="42"/>
    <x v="1"/>
    <x v="5"/>
    <x v="8"/>
    <x v="3"/>
    <x v="3"/>
    <s v="Forecast"/>
    <m/>
    <n v="10818.73"/>
    <n v="48991.836111677301"/>
    <n v="-82308.243890729893"/>
    <n v="11018.73"/>
    <n v="10618.73"/>
    <m/>
    <m/>
    <m/>
    <m/>
    <m/>
    <m/>
    <m/>
    <m/>
    <n v="1988"/>
    <n v="0"/>
    <n v="1060.7"/>
    <n v="919.92"/>
    <n v="13.27"/>
    <n v="0"/>
    <m/>
    <m/>
    <m/>
    <m/>
    <m/>
    <m/>
    <m/>
    <m/>
    <m/>
    <m/>
    <m/>
    <m/>
  </r>
  <r>
    <x v="32"/>
    <s v="Chain 6_Depot 4_SKU 25_45627"/>
    <x v="43"/>
    <x v="1"/>
    <x v="5"/>
    <x v="8"/>
    <x v="3"/>
    <x v="11"/>
    <s v="Forecast"/>
    <m/>
    <n v="7025.41"/>
    <n v="0"/>
    <n v="0"/>
    <n v="7225.41"/>
    <n v="6825.41"/>
    <m/>
    <m/>
    <m/>
    <m/>
    <m/>
    <m/>
    <m/>
    <m/>
    <n v="1557"/>
    <n v="0"/>
    <n v="2475.5500000000002"/>
    <n v="2127.25"/>
    <n v="14.07"/>
    <n v="0"/>
    <m/>
    <m/>
    <m/>
    <m/>
    <m/>
    <m/>
    <m/>
    <m/>
    <m/>
    <m/>
    <m/>
    <m/>
  </r>
  <r>
    <x v="18"/>
    <s v="Chain 6_Depot 4_SKU 8_45323"/>
    <x v="44"/>
    <x v="1"/>
    <x v="5"/>
    <x v="8"/>
    <x v="5"/>
    <x v="23"/>
    <s v="History"/>
    <n v="21505.74"/>
    <m/>
    <n v="-16438.688525699999"/>
    <n v="37944.3283022084"/>
    <m/>
    <m/>
    <n v="0"/>
    <n v="0"/>
    <n v="0"/>
    <m/>
    <m/>
    <b v="1"/>
    <n v="2386"/>
    <n v="0"/>
    <n v="2803"/>
    <s v="Stable"/>
    <n v="1385.23"/>
    <n v="1150.79"/>
    <n v="16.920000000000002"/>
    <n v="0"/>
    <m/>
    <m/>
    <m/>
    <m/>
    <m/>
    <m/>
    <m/>
    <m/>
    <m/>
    <m/>
    <m/>
    <m/>
  </r>
  <r>
    <x v="19"/>
    <s v="Chain 6_Depot 4_SKU 8_45352"/>
    <x v="44"/>
    <x v="1"/>
    <x v="5"/>
    <x v="8"/>
    <x v="5"/>
    <x v="23"/>
    <s v="History"/>
    <n v="21430.1"/>
    <m/>
    <n v="-15765.426762450899"/>
    <n v="37195.639590434599"/>
    <m/>
    <m/>
    <n v="0"/>
    <n v="0"/>
    <n v="0"/>
    <m/>
    <m/>
    <b v="0"/>
    <n v="4894"/>
    <n v="1"/>
    <n v="2364"/>
    <s v="Stable"/>
    <n v="1366.52"/>
    <n v="1122.77"/>
    <n v="17.84"/>
    <n v="0"/>
    <m/>
    <m/>
    <m/>
    <m/>
    <m/>
    <m/>
    <m/>
    <m/>
    <m/>
    <m/>
    <m/>
    <m/>
  </r>
  <r>
    <x v="20"/>
    <s v="Chain 6_Depot 4_SKU 8_45383"/>
    <x v="44"/>
    <x v="1"/>
    <x v="5"/>
    <x v="8"/>
    <x v="5"/>
    <x v="23"/>
    <s v="History"/>
    <n v="21553"/>
    <m/>
    <n v="-15045.7332026567"/>
    <n v="36598.6829756683"/>
    <m/>
    <m/>
    <n v="0"/>
    <n v="0"/>
    <n v="0"/>
    <m/>
    <m/>
    <b v="0"/>
    <n v="3634"/>
    <n v="0"/>
    <n v="1258"/>
    <s v="Stable"/>
    <n v="1398.03"/>
    <n v="1162.32"/>
    <n v="16.86"/>
    <n v="0"/>
    <m/>
    <m/>
    <m/>
    <m/>
    <m/>
    <m/>
    <m/>
    <m/>
    <m/>
    <m/>
    <m/>
    <m/>
  </r>
  <r>
    <x v="21"/>
    <s v="Chain 6_Depot 4_SKU 8_45413"/>
    <x v="44"/>
    <x v="1"/>
    <x v="5"/>
    <x v="8"/>
    <x v="5"/>
    <x v="23"/>
    <s v="History"/>
    <n v="21841.46"/>
    <m/>
    <n v="-14349.2556025506"/>
    <n v="36190.684543062504"/>
    <m/>
    <m/>
    <n v="0"/>
    <n v="0"/>
    <n v="0"/>
    <m/>
    <m/>
    <b v="1"/>
    <n v="2037"/>
    <n v="0"/>
    <n v="2358"/>
    <s v="Stable"/>
    <n v="1556.56"/>
    <n v="1323.6"/>
    <n v="14.97"/>
    <n v="0"/>
    <m/>
    <m/>
    <m/>
    <m/>
    <m/>
    <m/>
    <m/>
    <m/>
    <m/>
    <m/>
    <m/>
    <m/>
  </r>
  <r>
    <x v="22"/>
    <s v="Chain 6_Depot 4_SKU 8_45444"/>
    <x v="44"/>
    <x v="1"/>
    <x v="5"/>
    <x v="8"/>
    <x v="5"/>
    <x v="23"/>
    <s v="History"/>
    <n v="21447.39"/>
    <m/>
    <n v="-13629.562082398201"/>
    <n v="35077.055840398098"/>
    <m/>
    <m/>
    <n v="0"/>
    <n v="0"/>
    <n v="0"/>
    <m/>
    <m/>
    <b v="0"/>
    <n v="3184"/>
    <n v="0"/>
    <n v="1084"/>
    <s v="Stable"/>
    <n v="1367.31"/>
    <n v="1131.79"/>
    <n v="17.23"/>
    <n v="0"/>
    <m/>
    <m/>
    <m/>
    <m/>
    <m/>
    <m/>
    <m/>
    <m/>
    <m/>
    <m/>
    <m/>
    <m/>
  </r>
  <r>
    <x v="30"/>
    <s v="Chain 6_Depot 4_SKU 8_45474"/>
    <x v="44"/>
    <x v="1"/>
    <x v="5"/>
    <x v="8"/>
    <x v="5"/>
    <x v="23"/>
    <s v="History"/>
    <n v="21319.17"/>
    <n v="21290.95"/>
    <n v="-12933.0842792556"/>
    <n v="34252.053441730102"/>
    <n v="21490.95"/>
    <n v="21090.95"/>
    <n v="0"/>
    <n v="0"/>
    <n v="0"/>
    <m/>
    <m/>
    <b v="0"/>
    <n v="3485"/>
    <n v="0"/>
    <n v="2545"/>
    <s v="Stable"/>
    <n v="1438.91"/>
    <n v="1211.76"/>
    <n v="15.79"/>
    <n v="0"/>
    <m/>
    <m/>
    <m/>
    <m/>
    <m/>
    <m/>
    <m/>
    <m/>
    <m/>
    <m/>
    <m/>
    <m/>
  </r>
  <r>
    <x v="24"/>
    <s v="Chain 6_Depot 4_SKU 8_45536"/>
    <x v="44"/>
    <x v="1"/>
    <x v="5"/>
    <x v="8"/>
    <x v="5"/>
    <x v="23"/>
    <s v="History"/>
    <n v="22412.95"/>
    <n v="22296.66"/>
    <n v="-11493.6968194276"/>
    <n v="33906.738020976903"/>
    <n v="22496.66"/>
    <n v="22096.66"/>
    <n v="0"/>
    <n v="0"/>
    <n v="0"/>
    <m/>
    <m/>
    <b v="0"/>
    <n v="3472"/>
    <n v="1"/>
    <n v="2837"/>
    <s v="Stable"/>
    <n v="1382.41"/>
    <n v="1138.6400000000001"/>
    <n v="17.63"/>
    <n v="0"/>
    <m/>
    <m/>
    <m/>
    <m/>
    <m/>
    <m/>
    <m/>
    <m/>
    <m/>
    <m/>
    <m/>
    <m/>
  </r>
  <r>
    <x v="31"/>
    <s v="Chain 6_Depot 4_SKU 8_45566"/>
    <x v="44"/>
    <x v="1"/>
    <x v="5"/>
    <x v="8"/>
    <x v="5"/>
    <x v="23"/>
    <s v="Forecast"/>
    <m/>
    <n v="22413.88"/>
    <n v="-10797.2190162851"/>
    <n v="128442.598745162"/>
    <n v="22613.88"/>
    <n v="22213.88"/>
    <m/>
    <m/>
    <m/>
    <m/>
    <m/>
    <m/>
    <m/>
    <m/>
    <n v="2594"/>
    <n v="0"/>
    <n v="1350.03"/>
    <n v="1118.77"/>
    <n v="17.13"/>
    <n v="0"/>
    <m/>
    <m/>
    <m/>
    <m/>
    <m/>
    <m/>
    <m/>
    <m/>
    <m/>
    <m/>
    <m/>
    <m/>
  </r>
  <r>
    <x v="25"/>
    <s v="Chain 6_Depot 4_SKU 8_45597"/>
    <x v="44"/>
    <x v="1"/>
    <x v="5"/>
    <x v="8"/>
    <x v="5"/>
    <x v="23"/>
    <s v="Forecast"/>
    <m/>
    <n v="22585.56"/>
    <n v="-10077.525286371099"/>
    <n v="-84881.595137149998"/>
    <n v="22785.56"/>
    <n v="22385.56"/>
    <m/>
    <m/>
    <m/>
    <m/>
    <m/>
    <m/>
    <m/>
    <m/>
    <n v="1307"/>
    <n v="0"/>
    <n v="1445.76"/>
    <n v="1202.1400000000001"/>
    <n v="16.850000000000001"/>
    <n v="0"/>
    <m/>
    <m/>
    <m/>
    <m/>
    <m/>
    <m/>
    <m/>
    <m/>
    <m/>
    <m/>
    <m/>
    <m/>
  </r>
  <r>
    <x v="32"/>
    <s v="Chain 6_Depot 4_SKU 8_45627"/>
    <x v="44"/>
    <x v="1"/>
    <x v="5"/>
    <x v="8"/>
    <x v="5"/>
    <x v="23"/>
    <s v="Forecast"/>
    <m/>
    <n v="23012.18"/>
    <n v="-9381.0474832285709"/>
    <n v="-363636.22912332602"/>
    <n v="23212.18"/>
    <n v="22812.18"/>
    <m/>
    <m/>
    <m/>
    <m/>
    <m/>
    <m/>
    <m/>
    <m/>
    <n v="1261"/>
    <n v="0"/>
    <n v="1421.94"/>
    <n v="1191.9000000000001"/>
    <n v="16.18"/>
    <n v="0"/>
    <m/>
    <m/>
    <m/>
    <m/>
    <m/>
    <m/>
    <m/>
    <m/>
    <m/>
    <m/>
    <m/>
    <m/>
  </r>
  <r>
    <x v="3"/>
    <s v="Chain 6_Depot 4_SKU 9_44652"/>
    <x v="45"/>
    <x v="1"/>
    <x v="5"/>
    <x v="8"/>
    <x v="6"/>
    <x v="14"/>
    <s v="History"/>
    <n v="14684.49"/>
    <m/>
    <n v="15912.404425799999"/>
    <n v="-933.01216115615102"/>
    <m/>
    <m/>
    <n v="0"/>
    <n v="0"/>
    <n v="0"/>
    <m/>
    <m/>
    <b v="0"/>
    <n v="3312"/>
    <n v="0"/>
    <n v="2425"/>
    <s v="Stable"/>
    <n v="1041.25"/>
    <n v="949.7"/>
    <n v="8.7899999999999991"/>
    <n v="0"/>
    <m/>
    <m/>
    <m/>
    <m/>
    <m/>
    <m/>
    <m/>
    <m/>
    <m/>
    <m/>
    <m/>
    <m/>
  </r>
  <r>
    <x v="16"/>
    <s v="Chain 6_Depot 4_SKU 9_45108"/>
    <x v="45"/>
    <x v="1"/>
    <x v="5"/>
    <x v="8"/>
    <x v="6"/>
    <x v="14"/>
    <s v="History"/>
    <n v="14816.63"/>
    <m/>
    <n v="15216.6891139412"/>
    <n v="527.28817912288105"/>
    <m/>
    <m/>
    <n v="0"/>
    <n v="0"/>
    <n v="0"/>
    <m/>
    <m/>
    <b v="0"/>
    <n v="4111"/>
    <n v="1"/>
    <n v="2443"/>
    <s v="Stable"/>
    <n v="1166.68"/>
    <n v="1049.26"/>
    <n v="10.07"/>
    <n v="0"/>
    <m/>
    <m/>
    <m/>
    <m/>
    <m/>
    <m/>
    <m/>
    <m/>
    <m/>
    <m/>
    <m/>
    <m/>
  </r>
  <r>
    <x v="26"/>
    <s v="Chain 6_Depot 4_SKU 9_45139"/>
    <x v="45"/>
    <x v="1"/>
    <x v="5"/>
    <x v="8"/>
    <x v="6"/>
    <x v="14"/>
    <s v="History"/>
    <n v="15200"/>
    <m/>
    <n v="15169.3266332232"/>
    <n v="-334.827934972376"/>
    <m/>
    <m/>
    <n v="0"/>
    <n v="0"/>
    <n v="0"/>
    <m/>
    <m/>
    <b v="0"/>
    <n v="2941"/>
    <n v="1"/>
    <n v="2778"/>
    <s v="Stable"/>
    <n v="1019.75"/>
    <n v="907.18"/>
    <n v="11.04"/>
    <n v="0"/>
    <m/>
    <m/>
    <m/>
    <m/>
    <m/>
    <m/>
    <m/>
    <m/>
    <m/>
    <m/>
    <m/>
    <m/>
  </r>
  <r>
    <x v="27"/>
    <s v="Chain 6_Depot 4_SKU 9_45170"/>
    <x v="45"/>
    <x v="1"/>
    <x v="5"/>
    <x v="8"/>
    <x v="6"/>
    <x v="14"/>
    <s v="History"/>
    <n v="15445.56"/>
    <m/>
    <n v="15121.964152591099"/>
    <n v="-818.15135119428498"/>
    <m/>
    <m/>
    <n v="0"/>
    <n v="0"/>
    <n v="0"/>
    <m/>
    <m/>
    <b v="0"/>
    <n v="4296"/>
    <n v="0"/>
    <n v="2663"/>
    <s v="Stable"/>
    <n v="967.65"/>
    <n v="871.41"/>
    <n v="9.9499999999999993"/>
    <n v="0"/>
    <m/>
    <m/>
    <m/>
    <m/>
    <m/>
    <m/>
    <m/>
    <m/>
    <m/>
    <m/>
    <m/>
    <m/>
  </r>
  <r>
    <x v="34"/>
    <s v="Chain 6_Depot 4_SKU 9_45200"/>
    <x v="45"/>
    <x v="1"/>
    <x v="5"/>
    <x v="8"/>
    <x v="6"/>
    <x v="14"/>
    <s v="History"/>
    <n v="15382.86"/>
    <m/>
    <n v="15076.0494340364"/>
    <n v="288.873196009129"/>
    <m/>
    <m/>
    <n v="0"/>
    <n v="0"/>
    <n v="0"/>
    <m/>
    <m/>
    <b v="0"/>
    <n v="3269"/>
    <n v="0"/>
    <n v="2640"/>
    <s v="Stable"/>
    <n v="1036.4000000000001"/>
    <n v="923.5"/>
    <n v="10.89"/>
    <n v="0"/>
    <m/>
    <m/>
    <m/>
    <m/>
    <m/>
    <m/>
    <m/>
    <m/>
    <m/>
    <m/>
    <m/>
    <m/>
  </r>
  <r>
    <x v="28"/>
    <s v="Chain 6_Depot 4_SKU 9_45231"/>
    <x v="45"/>
    <x v="1"/>
    <x v="5"/>
    <x v="8"/>
    <x v="6"/>
    <x v="14"/>
    <s v="History"/>
    <n v="15306.1"/>
    <m/>
    <n v="15028.604224896"/>
    <n v="283.74254361429598"/>
    <m/>
    <m/>
    <n v="0"/>
    <n v="0"/>
    <n v="0"/>
    <m/>
    <m/>
    <b v="0"/>
    <n v="2939"/>
    <n v="0"/>
    <n v="2545"/>
    <s v="Stable"/>
    <n v="997.36"/>
    <n v="882.82"/>
    <n v="11.48"/>
    <n v="0"/>
    <m/>
    <m/>
    <m/>
    <m/>
    <m/>
    <m/>
    <m/>
    <m/>
    <m/>
    <m/>
    <m/>
    <m/>
  </r>
  <r>
    <x v="29"/>
    <s v="Chain 6_Depot 4_SKU 9_45261"/>
    <x v="45"/>
    <x v="1"/>
    <x v="5"/>
    <x v="8"/>
    <x v="6"/>
    <x v="14"/>
    <s v="History"/>
    <n v="15115.31"/>
    <m/>
    <n v="14982.6895060934"/>
    <n v="128.924779011841"/>
    <m/>
    <m/>
    <n v="0"/>
    <n v="0"/>
    <n v="0"/>
    <m/>
    <m/>
    <b v="0"/>
    <n v="3610"/>
    <n v="0"/>
    <n v="2379"/>
    <s v="Stable"/>
    <n v="1036.76"/>
    <n v="916.65"/>
    <n v="11.59"/>
    <n v="0"/>
    <m/>
    <m/>
    <m/>
    <m/>
    <m/>
    <m/>
    <m/>
    <m/>
    <m/>
    <m/>
    <m/>
    <m/>
  </r>
  <r>
    <x v="17"/>
    <s v="Chain 6_Depot 4_SKU 9_45292"/>
    <x v="45"/>
    <x v="1"/>
    <x v="5"/>
    <x v="8"/>
    <x v="6"/>
    <x v="14"/>
    <s v="History"/>
    <n v="15284.02"/>
    <m/>
    <n v="14935.2442964702"/>
    <n v="351.00146612544597"/>
    <m/>
    <m/>
    <n v="0"/>
    <n v="0"/>
    <n v="0"/>
    <m/>
    <m/>
    <b v="0"/>
    <n v="4204"/>
    <n v="0"/>
    <n v="1147"/>
    <s v="Stable"/>
    <n v="1069.06"/>
    <n v="960.98"/>
    <n v="10.11"/>
    <n v="0"/>
    <m/>
    <m/>
    <m/>
    <m/>
    <m/>
    <m/>
    <m/>
    <m/>
    <m/>
    <m/>
    <m/>
    <m/>
  </r>
  <r>
    <x v="18"/>
    <s v="Chain 6_Depot 4_SKU 9_45323"/>
    <x v="45"/>
    <x v="1"/>
    <x v="5"/>
    <x v="8"/>
    <x v="6"/>
    <x v="14"/>
    <s v="History"/>
    <n v="15946.53"/>
    <m/>
    <n v="14887.799086840199"/>
    <n v="1057.22839233435"/>
    <m/>
    <m/>
    <n v="0"/>
    <n v="0"/>
    <n v="1"/>
    <m/>
    <m/>
    <b v="0"/>
    <n v="4782"/>
    <n v="0"/>
    <n v="2000"/>
    <s v="Stable"/>
    <n v="1107.25"/>
    <n v="988.08"/>
    <n v="10.76"/>
    <n v="0"/>
    <m/>
    <m/>
    <m/>
    <m/>
    <m/>
    <m/>
    <m/>
    <m/>
    <m/>
    <m/>
    <m/>
    <m/>
  </r>
  <r>
    <x v="19"/>
    <s v="Chain 6_Depot 4_SKU 9_45352"/>
    <x v="45"/>
    <x v="1"/>
    <x v="5"/>
    <x v="8"/>
    <x v="6"/>
    <x v="14"/>
    <s v="History"/>
    <n v="15225.05"/>
    <m/>
    <n v="14843.4148583141"/>
    <n v="381.19629361928799"/>
    <m/>
    <m/>
    <n v="0"/>
    <n v="0"/>
    <n v="0"/>
    <m/>
    <m/>
    <b v="0"/>
    <n v="3725"/>
    <n v="0"/>
    <n v="2388"/>
    <s v="Stable"/>
    <n v="1058.27"/>
    <n v="964.31"/>
    <n v="8.8800000000000008"/>
    <n v="0"/>
    <m/>
    <m/>
    <m/>
    <m/>
    <m/>
    <m/>
    <m/>
    <m/>
    <m/>
    <m/>
    <m/>
    <m/>
  </r>
  <r>
    <x v="20"/>
    <s v="Chain 6_Depot 4_SKU 9_45383"/>
    <x v="45"/>
    <x v="1"/>
    <x v="5"/>
    <x v="8"/>
    <x v="6"/>
    <x v="14"/>
    <s v="History"/>
    <n v="15006.26"/>
    <m/>
    <n v="14795.969648574301"/>
    <n v="-90.3359815518304"/>
    <m/>
    <m/>
    <n v="0"/>
    <n v="0"/>
    <n v="0"/>
    <m/>
    <m/>
    <b v="0"/>
    <n v="2984"/>
    <n v="1"/>
    <n v="1363"/>
    <s v="Stable"/>
    <n v="1068.26"/>
    <n v="640.96"/>
    <n v="40"/>
    <n v="1"/>
    <m/>
    <m/>
    <m/>
    <m/>
    <m/>
    <m/>
    <m/>
    <m/>
    <m/>
    <m/>
    <m/>
    <m/>
  </r>
  <r>
    <x v="21"/>
    <s v="Chain 6_Depot 4_SKU 9_45413"/>
    <x v="45"/>
    <x v="1"/>
    <x v="5"/>
    <x v="8"/>
    <x v="6"/>
    <x v="14"/>
    <s v="History"/>
    <n v="15101.5"/>
    <m/>
    <n v="14750.0549292656"/>
    <n v="365.134597439988"/>
    <m/>
    <m/>
    <n v="0"/>
    <n v="0"/>
    <n v="0"/>
    <m/>
    <m/>
    <b v="0"/>
    <n v="3587"/>
    <n v="0"/>
    <n v="2994"/>
    <s v="Stable"/>
    <n v="1037.92"/>
    <n v="922.04"/>
    <n v="11.16"/>
    <n v="0"/>
    <m/>
    <m/>
    <m/>
    <m/>
    <m/>
    <m/>
    <m/>
    <m/>
    <m/>
    <m/>
    <m/>
    <m/>
  </r>
  <r>
    <x v="22"/>
    <s v="Chain 6_Depot 4_SKU 9_45444"/>
    <x v="45"/>
    <x v="1"/>
    <x v="5"/>
    <x v="8"/>
    <x v="6"/>
    <x v="14"/>
    <s v="History"/>
    <n v="14767.42"/>
    <m/>
    <n v="14702.6097184919"/>
    <n v="42.428038580490401"/>
    <m/>
    <m/>
    <n v="0"/>
    <n v="0"/>
    <n v="0"/>
    <m/>
    <m/>
    <b v="0"/>
    <n v="3336"/>
    <n v="0"/>
    <n v="2675"/>
    <s v="Stable"/>
    <n v="991.42"/>
    <n v="890.07"/>
    <n v="10.220000000000001"/>
    <n v="0"/>
    <m/>
    <m/>
    <m/>
    <m/>
    <m/>
    <m/>
    <m/>
    <m/>
    <m/>
    <m/>
    <m/>
    <m/>
  </r>
  <r>
    <x v="30"/>
    <s v="Chain 6_Depot 4_SKU 9_45474"/>
    <x v="45"/>
    <x v="1"/>
    <x v="5"/>
    <x v="8"/>
    <x v="6"/>
    <x v="14"/>
    <s v="History"/>
    <n v="14857.92"/>
    <n v="14820.58"/>
    <n v="14656.694998388401"/>
    <n v="-726.14375240970105"/>
    <n v="15020.58"/>
    <n v="14620.58"/>
    <n v="0"/>
    <n v="0"/>
    <n v="0"/>
    <m/>
    <m/>
    <b v="0"/>
    <n v="3874"/>
    <n v="0"/>
    <n v="2725"/>
    <s v="Stable"/>
    <n v="974.67"/>
    <n v="860.89"/>
    <n v="11.67"/>
    <n v="0"/>
    <m/>
    <m/>
    <m/>
    <m/>
    <m/>
    <m/>
    <m/>
    <m/>
    <m/>
    <m/>
    <m/>
    <m/>
  </r>
  <r>
    <x v="23"/>
    <s v="Chain 6_Depot 4_SKU 9_45505"/>
    <x v="45"/>
    <x v="1"/>
    <x v="5"/>
    <x v="8"/>
    <x v="6"/>
    <x v="14"/>
    <s v="History"/>
    <n v="15147.61"/>
    <n v="15097.59"/>
    <n v="14609.249787614701"/>
    <n v="950.42918579065599"/>
    <n v="15297.59"/>
    <n v="14897.59"/>
    <n v="0"/>
    <n v="0"/>
    <n v="0"/>
    <m/>
    <m/>
    <b v="0"/>
    <n v="2661"/>
    <n v="1"/>
    <n v="1401"/>
    <s v="Stable"/>
    <n v="1048.78"/>
    <n v="939.03"/>
    <n v="10.46"/>
    <n v="0"/>
    <m/>
    <m/>
    <m/>
    <m/>
    <m/>
    <m/>
    <m/>
    <m/>
    <m/>
    <m/>
    <m/>
    <m/>
  </r>
  <r>
    <x v="24"/>
    <s v="Chain 6_Depot 4_SKU 9_45536"/>
    <x v="45"/>
    <x v="1"/>
    <x v="5"/>
    <x v="8"/>
    <x v="6"/>
    <x v="14"/>
    <s v="History"/>
    <n v="11333.63"/>
    <n v="15066.86"/>
    <n v="14561.804576841099"/>
    <n v="-2103.64772961982"/>
    <n v="15266.86"/>
    <n v="14866.86"/>
    <n v="0"/>
    <n v="0"/>
    <n v="1"/>
    <m/>
    <m/>
    <b v="0"/>
    <n v="2032"/>
    <n v="0"/>
    <n v="1605"/>
    <s v="Stable"/>
    <n v="1071.23"/>
    <n v="963.46"/>
    <n v="10.06"/>
    <n v="0"/>
    <m/>
    <m/>
    <m/>
    <m/>
    <m/>
    <m/>
    <m/>
    <m/>
    <m/>
    <m/>
    <m/>
    <m/>
  </r>
  <r>
    <x v="31"/>
    <s v="Chain 6_Depot 4_SKU 9_45566"/>
    <x v="45"/>
    <x v="1"/>
    <x v="5"/>
    <x v="8"/>
    <x v="6"/>
    <x v="14"/>
    <s v="Forecast"/>
    <m/>
    <n v="15327.97"/>
    <n v="14515.8898567375"/>
    <n v="1612.44818984688"/>
    <n v="15527.97"/>
    <n v="15127.97"/>
    <m/>
    <m/>
    <m/>
    <m/>
    <m/>
    <m/>
    <m/>
    <m/>
    <n v="2515"/>
    <n v="0"/>
    <n v="1045.07"/>
    <n v="938.64"/>
    <n v="10.18"/>
    <n v="0"/>
    <m/>
    <m/>
    <m/>
    <m/>
    <m/>
    <m/>
    <m/>
    <m/>
    <m/>
    <m/>
    <m/>
    <m/>
  </r>
  <r>
    <x v="25"/>
    <s v="Chain 6_Depot 4_SKU 9_45597"/>
    <x v="45"/>
    <x v="1"/>
    <x v="5"/>
    <x v="8"/>
    <x v="6"/>
    <x v="14"/>
    <s v="Forecast"/>
    <m/>
    <n v="15240.36"/>
    <n v="14468.4446459639"/>
    <n v="-1026.8899613010001"/>
    <n v="15440.36"/>
    <n v="15040.36"/>
    <m/>
    <m/>
    <m/>
    <m/>
    <m/>
    <m/>
    <m/>
    <m/>
    <n v="1228"/>
    <n v="0"/>
    <n v="976.53"/>
    <n v="887.89"/>
    <n v="9.08"/>
    <n v="0"/>
    <m/>
    <m/>
    <m/>
    <m/>
    <m/>
    <m/>
    <m/>
    <m/>
    <m/>
    <m/>
    <m/>
    <m/>
  </r>
  <r>
    <x v="32"/>
    <s v="Chain 6_Depot 4_SKU 9_45627"/>
    <x v="45"/>
    <x v="1"/>
    <x v="5"/>
    <x v="8"/>
    <x v="6"/>
    <x v="14"/>
    <s v="Forecast"/>
    <m/>
    <n v="15475.63"/>
    <n v="14422.529925860301"/>
    <n v="1433.2511070619501"/>
    <n v="15675.63"/>
    <n v="15275.63"/>
    <m/>
    <m/>
    <m/>
    <m/>
    <m/>
    <m/>
    <m/>
    <m/>
    <n v="2598"/>
    <n v="0"/>
    <n v="1077.07"/>
    <n v="993.25"/>
    <n v="7.78"/>
    <n v="0"/>
    <m/>
    <m/>
    <m/>
    <m/>
    <m/>
    <m/>
    <m/>
    <m/>
    <m/>
    <m/>
    <m/>
    <m/>
  </r>
  <r>
    <x v="20"/>
    <s v="Chain 6_Depot 5_SKU 14_45383"/>
    <x v="46"/>
    <x v="1"/>
    <x v="5"/>
    <x v="2"/>
    <x v="3"/>
    <x v="3"/>
    <s v="History"/>
    <n v="17603.650000000001"/>
    <m/>
    <n v="-61041.126473999997"/>
    <n v="78644.867340741403"/>
    <m/>
    <m/>
    <n v="1"/>
    <n v="0"/>
    <n v="0"/>
    <m/>
    <m/>
    <b v="0"/>
    <n v="3048"/>
    <n v="1"/>
    <n v="2860"/>
    <s v="Weak"/>
    <n v="2194.21"/>
    <n v="1316.52"/>
    <n v="40"/>
    <n v="1"/>
    <m/>
    <m/>
    <m/>
    <m/>
    <m/>
    <m/>
    <m/>
    <m/>
    <m/>
    <m/>
    <m/>
    <m/>
  </r>
  <r>
    <x v="21"/>
    <s v="Chain 6_Depot 5_SKU 14_45413"/>
    <x v="46"/>
    <x v="1"/>
    <x v="5"/>
    <x v="2"/>
    <x v="3"/>
    <x v="3"/>
    <s v="History"/>
    <n v="17837.34"/>
    <m/>
    <n v="-42251.292231176398"/>
    <n v="60088.578669074799"/>
    <m/>
    <m/>
    <n v="1"/>
    <n v="0"/>
    <n v="0"/>
    <m/>
    <m/>
    <b v="0"/>
    <n v="4269"/>
    <n v="0"/>
    <n v="2107"/>
    <s v="Weak"/>
    <n v="2214.9699999999998"/>
    <n v="1805.95"/>
    <n v="18.47"/>
    <n v="0"/>
    <m/>
    <m/>
    <m/>
    <m/>
    <m/>
    <m/>
    <m/>
    <m/>
    <m/>
    <m/>
    <m/>
    <m/>
  </r>
  <r>
    <x v="22"/>
    <s v="Chain 6_Depot 5_SKU 14_45444"/>
    <x v="46"/>
    <x v="1"/>
    <x v="5"/>
    <x v="2"/>
    <x v="3"/>
    <x v="3"/>
    <s v="History"/>
    <n v="17841.240000000002"/>
    <m/>
    <n v="-22835.130179648"/>
    <n v="40676.368136186597"/>
    <m/>
    <m/>
    <n v="1"/>
    <n v="0"/>
    <n v="0"/>
    <m/>
    <m/>
    <b v="0"/>
    <n v="2989"/>
    <n v="0"/>
    <n v="1668"/>
    <s v="Weak"/>
    <n v="2223.59"/>
    <n v="1835.66"/>
    <n v="17.45"/>
    <n v="0"/>
    <m/>
    <m/>
    <m/>
    <m/>
    <m/>
    <m/>
    <m/>
    <m/>
    <m/>
    <m/>
    <m/>
    <m/>
  </r>
  <r>
    <x v="30"/>
    <s v="Chain 6_Depot 5_SKU 14_45474"/>
    <x v="46"/>
    <x v="1"/>
    <x v="5"/>
    <x v="2"/>
    <x v="3"/>
    <x v="3"/>
    <s v="History"/>
    <n v="14384.53"/>
    <n v="14182.91"/>
    <n v="-4045.2959365066899"/>
    <n v="18429.8571367123"/>
    <n v="14382.91"/>
    <n v="13982.91"/>
    <n v="1"/>
    <n v="1"/>
    <n v="0"/>
    <m/>
    <m/>
    <b v="0"/>
    <n v="2396"/>
    <n v="0"/>
    <n v="2108"/>
    <s v="Weak"/>
    <n v="2133.37"/>
    <n v="1789.23"/>
    <n v="16.13"/>
    <n v="0"/>
    <m/>
    <m/>
    <m/>
    <m/>
    <m/>
    <m/>
    <m/>
    <m/>
    <m/>
    <m/>
    <m/>
    <m/>
  </r>
  <r>
    <x v="23"/>
    <s v="Chain 6_Depot 5_SKU 14_45505"/>
    <x v="46"/>
    <x v="1"/>
    <x v="5"/>
    <x v="2"/>
    <x v="3"/>
    <x v="3"/>
    <s v="History"/>
    <n v="14642.01"/>
    <n v="14651.27"/>
    <n v="15370.8661141871"/>
    <n v="-728.81029203395303"/>
    <n v="14851.27"/>
    <n v="14451.27"/>
    <n v="1"/>
    <n v="1"/>
    <n v="0"/>
    <m/>
    <m/>
    <b v="0"/>
    <n v="2937"/>
    <n v="0"/>
    <n v="1456"/>
    <s v="Weak"/>
    <n v="2210.14"/>
    <n v="1834.31"/>
    <n v="17"/>
    <n v="0"/>
    <m/>
    <m/>
    <m/>
    <m/>
    <m/>
    <m/>
    <m/>
    <m/>
    <m/>
    <m/>
    <m/>
    <m/>
  </r>
  <r>
    <x v="24"/>
    <s v="Chain 6_Depot 5_SKU 14_45536"/>
    <x v="46"/>
    <x v="1"/>
    <x v="5"/>
    <x v="2"/>
    <x v="3"/>
    <x v="3"/>
    <s v="History"/>
    <n v="14683.51"/>
    <n v="14656.08"/>
    <n v="34787.028164880998"/>
    <n v="-20103.6635673007"/>
    <n v="14856.08"/>
    <n v="14456.08"/>
    <n v="1"/>
    <n v="1"/>
    <n v="0"/>
    <m/>
    <m/>
    <b v="0"/>
    <n v="4558"/>
    <n v="0"/>
    <n v="2499"/>
    <s v="Weak"/>
    <n v="2268.25"/>
    <n v="1904.04"/>
    <n v="16.059999999999999"/>
    <n v="0"/>
    <m/>
    <m/>
    <m/>
    <m/>
    <m/>
    <m/>
    <m/>
    <m/>
    <m/>
    <m/>
    <m/>
    <m/>
  </r>
  <r>
    <x v="31"/>
    <s v="Chain 6_Depot 5_SKU 14_45566"/>
    <x v="46"/>
    <x v="1"/>
    <x v="5"/>
    <x v="2"/>
    <x v="3"/>
    <x v="3"/>
    <s v="Forecast"/>
    <m/>
    <n v="14687.59"/>
    <n v="53576.862407487897"/>
    <n v="42277.291858363402"/>
    <n v="14887.59"/>
    <n v="14487.59"/>
    <m/>
    <m/>
    <m/>
    <m/>
    <m/>
    <m/>
    <m/>
    <m/>
    <n v="2276"/>
    <n v="0"/>
    <n v="2170.3000000000002"/>
    <n v="1829.33"/>
    <n v="15.71"/>
    <n v="0"/>
    <m/>
    <m/>
    <m/>
    <m/>
    <m/>
    <m/>
    <m/>
    <m/>
    <m/>
    <m/>
    <m/>
    <m/>
  </r>
  <r>
    <x v="25"/>
    <s v="Chain 6_Depot 5_SKU 14_45597"/>
    <x v="46"/>
    <x v="1"/>
    <x v="5"/>
    <x v="2"/>
    <x v="3"/>
    <x v="3"/>
    <s v="Forecast"/>
    <m/>
    <n v="15137.84"/>
    <n v="72993.024458181797"/>
    <n v="-230063.56736329"/>
    <n v="15337.84"/>
    <n v="14937.84"/>
    <m/>
    <m/>
    <m/>
    <m/>
    <m/>
    <m/>
    <m/>
    <m/>
    <n v="2910"/>
    <n v="0"/>
    <n v="2160.33"/>
    <n v="1835.17"/>
    <n v="15.05"/>
    <n v="0"/>
    <m/>
    <m/>
    <m/>
    <m/>
    <m/>
    <m/>
    <m/>
    <m/>
    <m/>
    <m/>
    <m/>
    <m/>
  </r>
  <r>
    <x v="32"/>
    <s v="Chain 6_Depot 5_SKU 14_45627"/>
    <x v="46"/>
    <x v="1"/>
    <x v="5"/>
    <x v="2"/>
    <x v="3"/>
    <x v="3"/>
    <s v="Forecast"/>
    <m/>
    <n v="15526.79"/>
    <n v="91782.858700788798"/>
    <n v="97358.340038717302"/>
    <n v="15726.79"/>
    <n v="15326.79"/>
    <m/>
    <m/>
    <m/>
    <m/>
    <m/>
    <m/>
    <m/>
    <m/>
    <n v="1071"/>
    <n v="0"/>
    <n v="2149.91"/>
    <n v="1771.23"/>
    <n v="17.61"/>
    <n v="0"/>
    <m/>
    <m/>
    <m/>
    <m/>
    <m/>
    <m/>
    <m/>
    <m/>
    <m/>
    <m/>
    <m/>
    <m/>
  </r>
  <r>
    <x v="13"/>
    <s v="Chain 6_Depot 5_SKU 20_45017"/>
    <x v="47"/>
    <x v="1"/>
    <x v="5"/>
    <x v="2"/>
    <x v="3"/>
    <x v="8"/>
    <s v="History"/>
    <n v="7033.63"/>
    <m/>
    <n v="7944.5359545600004"/>
    <n v="-741.37353962999305"/>
    <m/>
    <m/>
    <n v="0"/>
    <n v="0"/>
    <n v="0"/>
    <m/>
    <m/>
    <b v="0"/>
    <n v="4241"/>
    <n v="1"/>
    <n v="1209"/>
    <s v="Stable"/>
    <n v="2384.96"/>
    <n v="2029.28"/>
    <n v="14.91"/>
    <n v="0"/>
    <m/>
    <m/>
    <m/>
    <m/>
    <m/>
    <m/>
    <m/>
    <m/>
    <m/>
    <m/>
    <m/>
    <m/>
  </r>
  <r>
    <x v="14"/>
    <s v="Chain 6_Depot 5_SKU 20_45047"/>
    <x v="47"/>
    <x v="1"/>
    <x v="5"/>
    <x v="2"/>
    <x v="3"/>
    <x v="8"/>
    <s v="History"/>
    <n v="8958.08"/>
    <m/>
    <n v="7917.2015385082004"/>
    <n v="647.99043795103398"/>
    <m/>
    <m/>
    <n v="0"/>
    <n v="0"/>
    <n v="1"/>
    <m/>
    <m/>
    <b v="0"/>
    <n v="4355"/>
    <n v="0"/>
    <n v="1498"/>
    <s v="Stable"/>
    <n v="2464.37"/>
    <n v="2111.34"/>
    <n v="14.33"/>
    <n v="0"/>
    <m/>
    <m/>
    <m/>
    <m/>
    <m/>
    <m/>
    <m/>
    <m/>
    <m/>
    <m/>
    <m/>
    <m/>
  </r>
  <r>
    <x v="15"/>
    <s v="Chain 6_Depot 5_SKU 20_45078"/>
    <x v="47"/>
    <x v="1"/>
    <x v="5"/>
    <x v="2"/>
    <x v="3"/>
    <x v="8"/>
    <s v="History"/>
    <n v="7242.79"/>
    <m/>
    <n v="7888.9559750198296"/>
    <n v="-705.98501586495797"/>
    <m/>
    <m/>
    <n v="0"/>
    <n v="0"/>
    <n v="0"/>
    <m/>
    <m/>
    <b v="0"/>
    <n v="3668"/>
    <n v="0"/>
    <n v="2425"/>
    <s v="Stable"/>
    <n v="2370.61"/>
    <n v="1983.88"/>
    <n v="16.309999999999999"/>
    <n v="0"/>
    <m/>
    <m/>
    <m/>
    <m/>
    <m/>
    <m/>
    <m/>
    <m/>
    <m/>
    <m/>
    <m/>
    <m/>
  </r>
  <r>
    <x v="16"/>
    <s v="Chain 6_Depot 5_SKU 20_45108"/>
    <x v="47"/>
    <x v="1"/>
    <x v="5"/>
    <x v="2"/>
    <x v="3"/>
    <x v="8"/>
    <s v="History"/>
    <n v="7345.37"/>
    <m/>
    <n v="7861.6215588435698"/>
    <n v="-215.98196409599299"/>
    <m/>
    <m/>
    <n v="0"/>
    <n v="0"/>
    <n v="0"/>
    <m/>
    <m/>
    <b v="0"/>
    <n v="3930"/>
    <n v="1"/>
    <n v="1428"/>
    <s v="Stable"/>
    <n v="2496.83"/>
    <n v="2123.14"/>
    <n v="14.97"/>
    <n v="0"/>
    <m/>
    <m/>
    <m/>
    <m/>
    <m/>
    <m/>
    <m/>
    <m/>
    <m/>
    <m/>
    <m/>
    <m/>
  </r>
  <r>
    <x v="26"/>
    <s v="Chain 6_Depot 5_SKU 20_45139"/>
    <x v="47"/>
    <x v="1"/>
    <x v="5"/>
    <x v="2"/>
    <x v="3"/>
    <x v="8"/>
    <s v="History"/>
    <n v="7616.21"/>
    <m/>
    <n v="7833.3759956436297"/>
    <n v="-323.140015886208"/>
    <m/>
    <m/>
    <n v="0"/>
    <n v="0"/>
    <n v="0"/>
    <m/>
    <m/>
    <b v="0"/>
    <n v="4553"/>
    <n v="0"/>
    <n v="2101"/>
    <s v="Stable"/>
    <n v="2520.34"/>
    <n v="2122.0100000000002"/>
    <n v="15.8"/>
    <n v="0"/>
    <m/>
    <m/>
    <m/>
    <m/>
    <m/>
    <m/>
    <m/>
    <m/>
    <m/>
    <m/>
    <m/>
    <m/>
  </r>
  <r>
    <x v="27"/>
    <s v="Chain 6_Depot 5_SKU 20_45170"/>
    <x v="47"/>
    <x v="1"/>
    <x v="5"/>
    <x v="2"/>
    <x v="3"/>
    <x v="8"/>
    <s v="History"/>
    <n v="7785.59"/>
    <m/>
    <n v="7805.1304323957602"/>
    <n v="65.536234461691507"/>
    <m/>
    <m/>
    <n v="0"/>
    <n v="0"/>
    <n v="0"/>
    <m/>
    <m/>
    <b v="1"/>
    <n v="2280"/>
    <n v="1"/>
    <n v="2591"/>
    <s v="Stable"/>
    <n v="2539.11"/>
    <n v="2179.39"/>
    <n v="14.17"/>
    <n v="0"/>
    <m/>
    <m/>
    <m/>
    <m/>
    <m/>
    <m/>
    <m/>
    <m/>
    <m/>
    <m/>
    <m/>
    <m/>
  </r>
  <r>
    <x v="34"/>
    <s v="Chain 6_Depot 5_SKU 20_45200"/>
    <x v="47"/>
    <x v="1"/>
    <x v="5"/>
    <x v="2"/>
    <x v="3"/>
    <x v="8"/>
    <s v="History"/>
    <n v="7996.12"/>
    <m/>
    <n v="7777.7960164669803"/>
    <n v="223.239443445398"/>
    <m/>
    <m/>
    <n v="0"/>
    <n v="0"/>
    <n v="0"/>
    <m/>
    <m/>
    <b v="0"/>
    <n v="4722"/>
    <n v="0"/>
    <n v="2103"/>
    <s v="Stable"/>
    <n v="2476.4299999999998"/>
    <n v="2138.25"/>
    <n v="13.66"/>
    <n v="0"/>
    <m/>
    <m/>
    <m/>
    <m/>
    <m/>
    <m/>
    <m/>
    <m/>
    <m/>
    <m/>
    <m/>
    <m/>
  </r>
  <r>
    <x v="28"/>
    <s v="Chain 6_Depot 5_SKU 20_45231"/>
    <x v="47"/>
    <x v="1"/>
    <x v="5"/>
    <x v="2"/>
    <x v="3"/>
    <x v="8"/>
    <s v="History"/>
    <n v="8033.63"/>
    <m/>
    <n v="7749.5504535908103"/>
    <n v="280.934377949419"/>
    <m/>
    <m/>
    <n v="0"/>
    <n v="0"/>
    <n v="0"/>
    <m/>
    <m/>
    <b v="0"/>
    <n v="3813"/>
    <n v="0"/>
    <n v="2329"/>
    <s v="Stable"/>
    <n v="2371.33"/>
    <n v="2058.52"/>
    <n v="13.19"/>
    <n v="0"/>
    <m/>
    <m/>
    <m/>
    <m/>
    <m/>
    <m/>
    <m/>
    <m/>
    <m/>
    <m/>
    <m/>
    <m/>
  </r>
  <r>
    <x v="29"/>
    <s v="Chain 6_Depot 5_SKU 20_45261"/>
    <x v="47"/>
    <x v="1"/>
    <x v="5"/>
    <x v="2"/>
    <x v="3"/>
    <x v="8"/>
    <s v="History"/>
    <n v="8332.36"/>
    <m/>
    <n v="7722.2160378718099"/>
    <n v="612.93732694199798"/>
    <m/>
    <m/>
    <n v="0"/>
    <n v="0"/>
    <n v="0"/>
    <m/>
    <m/>
    <b v="0"/>
    <n v="2932"/>
    <n v="1"/>
    <n v="1057"/>
    <s v="Stable"/>
    <n v="2464.4899999999998"/>
    <n v="2087.91"/>
    <n v="15.28"/>
    <n v="0"/>
    <m/>
    <m/>
    <m/>
    <m/>
    <m/>
    <m/>
    <m/>
    <m/>
    <m/>
    <m/>
    <m/>
    <m/>
  </r>
  <r>
    <x v="17"/>
    <s v="Chain 6_Depot 5_SKU 20_45292"/>
    <x v="47"/>
    <x v="1"/>
    <x v="5"/>
    <x v="2"/>
    <x v="3"/>
    <x v="8"/>
    <s v="History"/>
    <n v="7921.26"/>
    <m/>
    <n v="7693.97047520671"/>
    <n v="224.396602181059"/>
    <m/>
    <m/>
    <n v="0"/>
    <n v="0"/>
    <n v="0"/>
    <m/>
    <m/>
    <b v="0"/>
    <n v="4762"/>
    <n v="0"/>
    <n v="2553"/>
    <s v="Stable"/>
    <n v="2488.84"/>
    <n v="2096.12"/>
    <n v="15.78"/>
    <n v="0"/>
    <m/>
    <m/>
    <m/>
    <m/>
    <m/>
    <m/>
    <m/>
    <m/>
    <m/>
    <m/>
    <m/>
    <m/>
  </r>
  <r>
    <x v="18"/>
    <s v="Chain 6_Depot 5_SKU 20_45323"/>
    <x v="47"/>
    <x v="1"/>
    <x v="5"/>
    <x v="2"/>
    <x v="3"/>
    <x v="8"/>
    <s v="History"/>
    <n v="7868.33"/>
    <m/>
    <n v="7665.7249124989303"/>
    <n v="206.66677103851299"/>
    <m/>
    <m/>
    <n v="0"/>
    <n v="0"/>
    <n v="0"/>
    <m/>
    <m/>
    <b v="0"/>
    <n v="2607"/>
    <n v="1"/>
    <n v="2231"/>
    <s v="Stable"/>
    <n v="2416.7399999999998"/>
    <n v="2052.54"/>
    <n v="15.07"/>
    <n v="0"/>
    <m/>
    <m/>
    <m/>
    <m/>
    <m/>
    <m/>
    <m/>
    <m/>
    <m/>
    <m/>
    <m/>
    <m/>
  </r>
  <r>
    <x v="19"/>
    <s v="Chain 6_Depot 5_SKU 20_45352"/>
    <x v="47"/>
    <x v="1"/>
    <x v="5"/>
    <x v="2"/>
    <x v="3"/>
    <x v="8"/>
    <s v="History"/>
    <n v="7665.63"/>
    <m/>
    <n v="7639.3016442210501"/>
    <n v="19.2994213702355"/>
    <m/>
    <m/>
    <n v="0"/>
    <n v="0"/>
    <n v="0"/>
    <m/>
    <m/>
    <b v="1"/>
    <n v="2482"/>
    <n v="1"/>
    <n v="2534"/>
    <s v="Stable"/>
    <n v="2453.75"/>
    <n v="2077.09"/>
    <n v="15.35"/>
    <n v="0"/>
    <m/>
    <m/>
    <m/>
    <m/>
    <m/>
    <m/>
    <m/>
    <m/>
    <m/>
    <m/>
    <m/>
    <m/>
  </r>
  <r>
    <x v="20"/>
    <s v="Chain 6_Depot 5_SKU 20_45383"/>
    <x v="47"/>
    <x v="1"/>
    <x v="5"/>
    <x v="2"/>
    <x v="3"/>
    <x v="8"/>
    <s v="History"/>
    <n v="7435.44"/>
    <m/>
    <n v="7611.0560815526596"/>
    <n v="-338.31134375038903"/>
    <m/>
    <m/>
    <n v="0"/>
    <n v="0"/>
    <n v="0"/>
    <m/>
    <m/>
    <b v="0"/>
    <n v="3246"/>
    <n v="0"/>
    <n v="2158"/>
    <s v="Stable"/>
    <n v="2403.15"/>
    <n v="2061.42"/>
    <n v="14.22"/>
    <n v="0"/>
    <m/>
    <m/>
    <m/>
    <m/>
    <m/>
    <m/>
    <m/>
    <m/>
    <m/>
    <m/>
    <m/>
    <m/>
  </r>
  <r>
    <x v="21"/>
    <s v="Chain 6_Depot 5_SKU 20_45413"/>
    <x v="47"/>
    <x v="1"/>
    <x v="5"/>
    <x v="2"/>
    <x v="3"/>
    <x v="8"/>
    <s v="History"/>
    <n v="7438.02"/>
    <m/>
    <n v="7583.7421969508596"/>
    <n v="256.42624147283698"/>
    <m/>
    <m/>
    <n v="0"/>
    <n v="0"/>
    <n v="0"/>
    <m/>
    <m/>
    <b v="0"/>
    <n v="3772"/>
    <n v="0"/>
    <n v="2867"/>
    <s v="Stable"/>
    <n v="2436.36"/>
    <n v="2045.23"/>
    <n v="16.05"/>
    <n v="0"/>
    <m/>
    <m/>
    <m/>
    <m/>
    <m/>
    <m/>
    <m/>
    <m/>
    <m/>
    <m/>
    <m/>
    <m/>
  </r>
  <r>
    <x v="22"/>
    <s v="Chain 6_Depot 5_SKU 20_45444"/>
    <x v="47"/>
    <x v="1"/>
    <x v="5"/>
    <x v="2"/>
    <x v="3"/>
    <x v="8"/>
    <s v="History"/>
    <n v="7186.96"/>
    <m/>
    <n v="7555.5757332244202"/>
    <n v="-328.87183647010102"/>
    <m/>
    <m/>
    <n v="0"/>
    <n v="0"/>
    <n v="0"/>
    <m/>
    <m/>
    <b v="0"/>
    <n v="4164"/>
    <n v="0"/>
    <n v="1993"/>
    <s v="Stable"/>
    <n v="2512.62"/>
    <n v="1507.57"/>
    <n v="40"/>
    <n v="1"/>
    <m/>
    <m/>
    <m/>
    <m/>
    <m/>
    <m/>
    <m/>
    <m/>
    <m/>
    <m/>
    <m/>
    <m/>
  </r>
  <r>
    <x v="30"/>
    <s v="Chain 6_Depot 5_SKU 20_45474"/>
    <x v="47"/>
    <x v="1"/>
    <x v="5"/>
    <x v="2"/>
    <x v="3"/>
    <x v="8"/>
    <s v="History"/>
    <n v="7216.56"/>
    <n v="7329.82"/>
    <n v="7528.3178651020698"/>
    <n v="-603.89726918058898"/>
    <n v="7529.82"/>
    <n v="7129.82"/>
    <n v="0"/>
    <n v="0"/>
    <n v="0"/>
    <m/>
    <m/>
    <b v="0"/>
    <n v="2191"/>
    <n v="0"/>
    <n v="1521"/>
    <s v="Stable"/>
    <n v="2501.0100000000002"/>
    <n v="2125.91"/>
    <n v="15"/>
    <n v="0"/>
    <m/>
    <m/>
    <m/>
    <m/>
    <m/>
    <m/>
    <m/>
    <m/>
    <m/>
    <m/>
    <m/>
    <m/>
  </r>
  <r>
    <x v="23"/>
    <s v="Chain 6_Depot 5_SKU 20_45505"/>
    <x v="47"/>
    <x v="1"/>
    <x v="5"/>
    <x v="2"/>
    <x v="3"/>
    <x v="8"/>
    <s v="History"/>
    <n v="7479.34"/>
    <n v="7623.98"/>
    <n v="7500.1514013756396"/>
    <n v="87.676162095888699"/>
    <n v="7823.98"/>
    <n v="7423.98"/>
    <n v="0"/>
    <n v="0"/>
    <n v="0"/>
    <m/>
    <m/>
    <b v="0"/>
    <n v="4835"/>
    <n v="1"/>
    <n v="1580"/>
    <s v="Stable"/>
    <n v="2397.2399999999998"/>
    <n v="2063.4299999999998"/>
    <n v="13.92"/>
    <n v="0"/>
    <m/>
    <m/>
    <m/>
    <m/>
    <m/>
    <m/>
    <m/>
    <m/>
    <m/>
    <m/>
    <m/>
    <m/>
  </r>
  <r>
    <x v="24"/>
    <s v="Chain 6_Depot 5_SKU 20_45536"/>
    <x v="47"/>
    <x v="1"/>
    <x v="5"/>
    <x v="2"/>
    <x v="3"/>
    <x v="8"/>
    <s v="History"/>
    <n v="7232.88"/>
    <n v="7267.04"/>
    <n v="7471.9849376492102"/>
    <n v="-328.75263828303702"/>
    <n v="7467.04"/>
    <n v="7067.04"/>
    <n v="0"/>
    <n v="0"/>
    <n v="0"/>
    <m/>
    <m/>
    <b v="0"/>
    <n v="4665"/>
    <n v="0"/>
    <n v="2876"/>
    <s v="Stable"/>
    <n v="2431.75"/>
    <n v="2050.48"/>
    <n v="15.68"/>
    <n v="0"/>
    <m/>
    <m/>
    <m/>
    <m/>
    <m/>
    <m/>
    <m/>
    <m/>
    <m/>
    <m/>
    <m/>
    <m/>
  </r>
  <r>
    <x v="31"/>
    <s v="Chain 6_Depot 5_SKU 20_45566"/>
    <x v="47"/>
    <x v="1"/>
    <x v="5"/>
    <x v="2"/>
    <x v="3"/>
    <x v="8"/>
    <s v="Forecast"/>
    <m/>
    <n v="7523.03"/>
    <n v="7444.7270695268498"/>
    <n v="627.23478304387095"/>
    <n v="7723.03"/>
    <n v="7323.03"/>
    <m/>
    <m/>
    <m/>
    <m/>
    <m/>
    <m/>
    <m/>
    <m/>
    <n v="1898"/>
    <n v="0"/>
    <n v="2469.85"/>
    <n v="2128.96"/>
    <n v="13.8"/>
    <n v="0"/>
    <m/>
    <m/>
    <m/>
    <m/>
    <m/>
    <m/>
    <m/>
    <m/>
    <m/>
    <m/>
    <m/>
    <m/>
  </r>
  <r>
    <x v="25"/>
    <s v="Chain 6_Depot 5_SKU 20_45597"/>
    <x v="47"/>
    <x v="1"/>
    <x v="5"/>
    <x v="2"/>
    <x v="3"/>
    <x v="8"/>
    <s v="Forecast"/>
    <m/>
    <n v="7155.71"/>
    <n v="7416.5606058004196"/>
    <n v="-116.255875111853"/>
    <n v="7355.71"/>
    <n v="6955.71"/>
    <m/>
    <m/>
    <m/>
    <m/>
    <m/>
    <m/>
    <m/>
    <m/>
    <n v="2106"/>
    <n v="0"/>
    <n v="2478.33"/>
    <n v="2124.2800000000002"/>
    <n v="14.29"/>
    <n v="0"/>
    <m/>
    <m/>
    <m/>
    <m/>
    <m/>
    <m/>
    <m/>
    <m/>
    <m/>
    <m/>
    <m/>
    <m/>
  </r>
  <r>
    <x v="32"/>
    <s v="Chain 6_Depot 5_SKU 20_45627"/>
    <x v="47"/>
    <x v="1"/>
    <x v="5"/>
    <x v="2"/>
    <x v="3"/>
    <x v="8"/>
    <s v="Forecast"/>
    <m/>
    <n v="7928.23"/>
    <n v="7389.3027376780701"/>
    <n v="1020.5005556761701"/>
    <n v="8128.23"/>
    <n v="7728.23"/>
    <m/>
    <m/>
    <m/>
    <m/>
    <m/>
    <m/>
    <m/>
    <m/>
    <n v="1620"/>
    <n v="0"/>
    <n v="2433.86"/>
    <n v="2114.91"/>
    <n v="13.1"/>
    <n v="0"/>
    <m/>
    <m/>
    <m/>
    <m/>
    <m/>
    <m/>
    <m/>
    <m/>
    <m/>
    <m/>
    <m/>
    <m/>
  </r>
  <r>
    <x v="25"/>
    <s v="Chain 6_Depot 5_SKU 26_45597"/>
    <x v="48"/>
    <x v="1"/>
    <x v="5"/>
    <x v="2"/>
    <x v="3"/>
    <x v="6"/>
    <s v="Forecast"/>
    <m/>
    <n v="20007.509999999998"/>
    <n v="0"/>
    <n v="0"/>
    <n v="20207.509999999998"/>
    <n v="19807.509999999998"/>
    <m/>
    <m/>
    <m/>
    <m/>
    <m/>
    <m/>
    <m/>
    <m/>
    <n v="1869"/>
    <n v="0"/>
    <n v="1201.0899999999999"/>
    <n v="1067.17"/>
    <n v="11.15"/>
    <n v="0"/>
    <m/>
    <m/>
    <m/>
    <m/>
    <m/>
    <m/>
    <m/>
    <m/>
    <m/>
    <m/>
    <m/>
    <m/>
  </r>
  <r>
    <x v="9"/>
    <s v="Chain 6_Depot 9_SKU 21_44896"/>
    <x v="49"/>
    <x v="1"/>
    <x v="5"/>
    <x v="5"/>
    <x v="9"/>
    <x v="25"/>
    <s v="History"/>
    <n v="14052.39"/>
    <m/>
    <n v="12736.86539597"/>
    <n v="1235.31474221026"/>
    <m/>
    <m/>
    <n v="0"/>
    <n v="0"/>
    <n v="0"/>
    <m/>
    <m/>
    <b v="0"/>
    <n v="3510"/>
    <n v="0"/>
    <n v="2891"/>
    <s v="Stable"/>
    <n v="2029.68"/>
    <n v="1669.43"/>
    <n v="17.75"/>
    <n v="0"/>
    <m/>
    <m/>
    <m/>
    <m/>
    <m/>
    <m/>
    <m/>
    <m/>
    <m/>
    <m/>
    <m/>
    <m/>
  </r>
  <r>
    <x v="10"/>
    <s v="Chain 6_Depot 9_SKU 21_44927"/>
    <x v="49"/>
    <x v="1"/>
    <x v="5"/>
    <x v="5"/>
    <x v="9"/>
    <x v="25"/>
    <s v="History"/>
    <n v="14185.42"/>
    <m/>
    <n v="13257.0203717566"/>
    <n v="952.08752025009096"/>
    <m/>
    <m/>
    <n v="0"/>
    <n v="0"/>
    <n v="0"/>
    <m/>
    <m/>
    <b v="0"/>
    <n v="2570"/>
    <n v="0"/>
    <n v="2126"/>
    <s v="Stable"/>
    <n v="1856.73"/>
    <n v="1468.92"/>
    <n v="20.89"/>
    <n v="0"/>
    <m/>
    <m/>
    <m/>
    <m/>
    <m/>
    <m/>
    <m/>
    <m/>
    <m/>
    <m/>
    <m/>
    <m/>
  </r>
  <r>
    <x v="11"/>
    <s v="Chain 6_Depot 9_SKU 21_44958"/>
    <x v="49"/>
    <x v="1"/>
    <x v="5"/>
    <x v="5"/>
    <x v="9"/>
    <x v="25"/>
    <s v="History"/>
    <n v="14323.99"/>
    <m/>
    <n v="13777.175350350901"/>
    <n v="3365.9364291330899"/>
    <m/>
    <m/>
    <n v="0"/>
    <n v="0"/>
    <n v="0"/>
    <m/>
    <m/>
    <b v="0"/>
    <n v="2714"/>
    <n v="0"/>
    <n v="2249"/>
    <s v="Stable"/>
    <n v="2050.91"/>
    <n v="1676.93"/>
    <n v="18.23"/>
    <n v="0"/>
    <m/>
    <m/>
    <m/>
    <m/>
    <m/>
    <m/>
    <m/>
    <m/>
    <m/>
    <m/>
    <m/>
    <m/>
  </r>
  <r>
    <x v="12"/>
    <s v="Chain 6_Depot 9_SKU 21_44986"/>
    <x v="49"/>
    <x v="1"/>
    <x v="5"/>
    <x v="5"/>
    <x v="9"/>
    <x v="25"/>
    <s v="History"/>
    <n v="14019.5"/>
    <m/>
    <n v="14246.992752111501"/>
    <n v="-137.330041986895"/>
    <m/>
    <m/>
    <n v="0"/>
    <n v="0"/>
    <n v="0"/>
    <m/>
    <m/>
    <b v="0"/>
    <n v="3338"/>
    <n v="0"/>
    <n v="2925"/>
    <s v="Stable"/>
    <n v="1997.5"/>
    <n v="1622.95"/>
    <n v="18.75"/>
    <n v="0"/>
    <m/>
    <m/>
    <m/>
    <m/>
    <m/>
    <m/>
    <m/>
    <m/>
    <m/>
    <m/>
    <m/>
    <m/>
  </r>
  <r>
    <x v="13"/>
    <s v="Chain 6_Depot 9_SKU 21_45017"/>
    <x v="49"/>
    <x v="1"/>
    <x v="5"/>
    <x v="5"/>
    <x v="9"/>
    <x v="25"/>
    <s v="History"/>
    <n v="14728.7"/>
    <m/>
    <n v="14767.1477288971"/>
    <n v="-390.29194685427598"/>
    <m/>
    <m/>
    <n v="0"/>
    <n v="0"/>
    <n v="0"/>
    <m/>
    <m/>
    <b v="0"/>
    <n v="4286"/>
    <n v="0"/>
    <n v="1574"/>
    <s v="Stable"/>
    <n v="1983.11"/>
    <n v="1563.84"/>
    <n v="21.14"/>
    <n v="0"/>
    <m/>
    <m/>
    <m/>
    <m/>
    <m/>
    <m/>
    <m/>
    <m/>
    <m/>
    <m/>
    <m/>
    <m/>
  </r>
  <r>
    <x v="14"/>
    <s v="Chain 6_Depot 9_SKU 21_45047"/>
    <x v="49"/>
    <x v="1"/>
    <x v="5"/>
    <x v="5"/>
    <x v="9"/>
    <x v="25"/>
    <s v="History"/>
    <n v="13936.28"/>
    <m/>
    <n v="15270.523508391299"/>
    <n v="-1232.86805898898"/>
    <m/>
    <m/>
    <n v="0"/>
    <n v="0"/>
    <n v="0"/>
    <m/>
    <m/>
    <b v="0"/>
    <n v="4350"/>
    <n v="1"/>
    <n v="1293"/>
    <s v="Stable"/>
    <n v="2045.2"/>
    <n v="1703.34"/>
    <n v="16.72"/>
    <n v="0"/>
    <m/>
    <m/>
    <m/>
    <m/>
    <m/>
    <m/>
    <m/>
    <m/>
    <m/>
    <m/>
    <m/>
    <m/>
  </r>
  <r>
    <x v="15"/>
    <s v="Chain 6_Depot 9_SKU 21_45078"/>
    <x v="49"/>
    <x v="1"/>
    <x v="5"/>
    <x v="5"/>
    <x v="9"/>
    <x v="25"/>
    <s v="History"/>
    <n v="14930.08"/>
    <m/>
    <n v="15790.678058125901"/>
    <n v="-1211.4953508179301"/>
    <m/>
    <m/>
    <n v="0"/>
    <n v="0"/>
    <n v="0"/>
    <m/>
    <m/>
    <b v="0"/>
    <n v="4654"/>
    <n v="0"/>
    <n v="1895"/>
    <s v="Stable"/>
    <n v="2082.46"/>
    <n v="1676.6"/>
    <n v="19.489999999999998"/>
    <n v="0"/>
    <m/>
    <m/>
    <m/>
    <m/>
    <m/>
    <m/>
    <m/>
    <m/>
    <m/>
    <m/>
    <m/>
    <m/>
  </r>
  <r>
    <x v="16"/>
    <s v="Chain 6_Depot 9_SKU 21_45108"/>
    <x v="49"/>
    <x v="1"/>
    <x v="5"/>
    <x v="5"/>
    <x v="9"/>
    <x v="25"/>
    <s v="History"/>
    <n v="15259.06"/>
    <m/>
    <n v="16293.767304741001"/>
    <n v="-1716.0206970537099"/>
    <m/>
    <m/>
    <n v="0"/>
    <n v="0"/>
    <n v="0"/>
    <m/>
    <m/>
    <b v="0"/>
    <n v="2990"/>
    <n v="0"/>
    <n v="2329"/>
    <s v="Stable"/>
    <n v="2020.29"/>
    <n v="1610.1"/>
    <n v="20.3"/>
    <n v="0"/>
    <m/>
    <m/>
    <m/>
    <m/>
    <m/>
    <m/>
    <m/>
    <m/>
    <m/>
    <m/>
    <m/>
    <m/>
  </r>
  <r>
    <x v="26"/>
    <s v="Chain 6_Depot 9_SKU 21_45139"/>
    <x v="49"/>
    <x v="1"/>
    <x v="5"/>
    <x v="5"/>
    <x v="9"/>
    <x v="25"/>
    <s v="History"/>
    <n v="15284.59"/>
    <m/>
    <n v="16813.575745511502"/>
    <n v="-1754.73824798033"/>
    <m/>
    <m/>
    <n v="0"/>
    <n v="0"/>
    <n v="0"/>
    <m/>
    <m/>
    <b v="0"/>
    <n v="2333"/>
    <n v="0"/>
    <n v="2277"/>
    <s v="Stable"/>
    <n v="2076.44"/>
    <n v="1643.85"/>
    <n v="20.83"/>
    <n v="0"/>
    <m/>
    <m/>
    <m/>
    <m/>
    <m/>
    <m/>
    <m/>
    <m/>
    <m/>
    <m/>
    <m/>
    <m/>
  </r>
  <r>
    <x v="27"/>
    <s v="Chain 6_Depot 9_SKU 21_45170"/>
    <x v="49"/>
    <x v="1"/>
    <x v="5"/>
    <x v="5"/>
    <x v="9"/>
    <x v="25"/>
    <s v="History"/>
    <n v="15186.81"/>
    <m/>
    <n v="17332.835591541399"/>
    <n v="-3464.90540957646"/>
    <m/>
    <m/>
    <n v="0"/>
    <n v="0"/>
    <n v="0"/>
    <m/>
    <m/>
    <b v="0"/>
    <n v="4160"/>
    <n v="0"/>
    <n v="2203"/>
    <s v="Stable"/>
    <n v="1918.34"/>
    <n v="1541.46"/>
    <n v="19.649999999999999"/>
    <n v="0"/>
    <m/>
    <m/>
    <m/>
    <m/>
    <m/>
    <m/>
    <m/>
    <m/>
    <m/>
    <m/>
    <m/>
    <m/>
  </r>
  <r>
    <x v="34"/>
    <s v="Chain 6_Depot 9_SKU 21_45200"/>
    <x v="49"/>
    <x v="1"/>
    <x v="5"/>
    <x v="5"/>
    <x v="9"/>
    <x v="25"/>
    <s v="History"/>
    <n v="20036.55"/>
    <m/>
    <n v="17834.466344793302"/>
    <n v="2166.2338105287999"/>
    <m/>
    <m/>
    <n v="1"/>
    <n v="0"/>
    <n v="0"/>
    <m/>
    <m/>
    <b v="0"/>
    <n v="3644"/>
    <n v="0"/>
    <n v="1039"/>
    <s v="Stable"/>
    <n v="2029.3"/>
    <n v="1632.5"/>
    <n v="19.55"/>
    <n v="0"/>
    <m/>
    <m/>
    <m/>
    <m/>
    <m/>
    <m/>
    <m/>
    <m/>
    <m/>
    <m/>
    <m/>
    <m/>
  </r>
  <r>
    <x v="28"/>
    <s v="Chain 6_Depot 9_SKU 21_45231"/>
    <x v="49"/>
    <x v="1"/>
    <x v="5"/>
    <x v="5"/>
    <x v="9"/>
    <x v="25"/>
    <s v="History"/>
    <n v="20226.75"/>
    <m/>
    <n v="18267.489454360799"/>
    <n v="1980.4486041238499"/>
    <m/>
    <m/>
    <n v="1"/>
    <n v="0"/>
    <n v="0"/>
    <m/>
    <m/>
    <b v="0"/>
    <n v="2361"/>
    <n v="0"/>
    <n v="1775"/>
    <s v="Stable"/>
    <n v="1989.4"/>
    <n v="1604.98"/>
    <n v="19.32"/>
    <n v="0"/>
    <m/>
    <m/>
    <m/>
    <m/>
    <m/>
    <m/>
    <m/>
    <m/>
    <m/>
    <m/>
    <m/>
    <m/>
  </r>
  <r>
    <x v="29"/>
    <s v="Chain 6_Depot 9_SKU 21_45261"/>
    <x v="49"/>
    <x v="1"/>
    <x v="5"/>
    <x v="5"/>
    <x v="9"/>
    <x v="25"/>
    <s v="History"/>
    <n v="19932.66"/>
    <m/>
    <n v="18685.543061905199"/>
    <n v="1307.06135765626"/>
    <m/>
    <m/>
    <n v="1"/>
    <n v="0"/>
    <n v="0"/>
    <m/>
    <m/>
    <b v="0"/>
    <n v="3880"/>
    <n v="1"/>
    <n v="2724"/>
    <s v="Stable"/>
    <n v="1956.59"/>
    <n v="1570.67"/>
    <n v="19.72"/>
    <n v="0"/>
    <m/>
    <m/>
    <m/>
    <m/>
    <m/>
    <m/>
    <m/>
    <m/>
    <m/>
    <m/>
    <m/>
    <m/>
  </r>
  <r>
    <x v="17"/>
    <s v="Chain 6_Depot 9_SKU 21_45292"/>
    <x v="49"/>
    <x v="1"/>
    <x v="5"/>
    <x v="5"/>
    <x v="9"/>
    <x v="25"/>
    <s v="History"/>
    <n v="19980.5"/>
    <m/>
    <n v="19116.364920670901"/>
    <n v="870.481883761478"/>
    <m/>
    <m/>
    <n v="1"/>
    <n v="0"/>
    <n v="0"/>
    <m/>
    <m/>
    <b v="0"/>
    <n v="4848"/>
    <n v="0"/>
    <n v="1519"/>
    <s v="Stable"/>
    <n v="1899.57"/>
    <n v="1542.58"/>
    <n v="18.79"/>
    <n v="0"/>
    <m/>
    <m/>
    <m/>
    <m/>
    <m/>
    <m/>
    <m/>
    <m/>
    <m/>
    <m/>
    <m/>
    <m/>
  </r>
  <r>
    <x v="18"/>
    <s v="Chain 6_Depot 9_SKU 21_45323"/>
    <x v="49"/>
    <x v="1"/>
    <x v="5"/>
    <x v="5"/>
    <x v="9"/>
    <x v="25"/>
    <s v="History"/>
    <n v="25803.97"/>
    <m/>
    <n v="19546.0632037428"/>
    <n v="3431.50348147463"/>
    <m/>
    <m/>
    <n v="1"/>
    <n v="0"/>
    <n v="1"/>
    <m/>
    <m/>
    <b v="0"/>
    <n v="4144"/>
    <n v="1"/>
    <n v="2639"/>
    <s v="Stable"/>
    <n v="2026.59"/>
    <n v="1625.05"/>
    <n v="19.809999999999999"/>
    <n v="0"/>
    <m/>
    <m/>
    <m/>
    <m/>
    <m/>
    <m/>
    <m/>
    <m/>
    <m/>
    <m/>
    <m/>
    <m/>
  </r>
  <r>
    <x v="19"/>
    <s v="Chain 6_Depot 9_SKU 21_45352"/>
    <x v="49"/>
    <x v="1"/>
    <x v="5"/>
    <x v="5"/>
    <x v="9"/>
    <x v="25"/>
    <s v="History"/>
    <n v="20002.75"/>
    <m/>
    <n v="19947.197877994298"/>
    <n v="-48.135337660919703"/>
    <m/>
    <m/>
    <n v="1"/>
    <n v="0"/>
    <n v="0"/>
    <m/>
    <m/>
    <b v="0"/>
    <n v="3981"/>
    <n v="0"/>
    <n v="2760"/>
    <s v="Stable"/>
    <n v="2039.76"/>
    <n v="1604.05"/>
    <n v="21.36"/>
    <n v="0"/>
    <m/>
    <m/>
    <m/>
    <m/>
    <m/>
    <m/>
    <m/>
    <m/>
    <m/>
    <m/>
    <m/>
    <m/>
  </r>
  <r>
    <x v="20"/>
    <s v="Chain 6_Depot 9_SKU 21_45383"/>
    <x v="49"/>
    <x v="1"/>
    <x v="5"/>
    <x v="5"/>
    <x v="9"/>
    <x v="25"/>
    <s v="History"/>
    <n v="19454.62"/>
    <m/>
    <n v="20375.257784881702"/>
    <n v="-557.34890410184801"/>
    <m/>
    <m/>
    <n v="1"/>
    <n v="0"/>
    <n v="0"/>
    <m/>
    <m/>
    <b v="0"/>
    <n v="4063"/>
    <n v="2"/>
    <n v="1545"/>
    <s v="Stable"/>
    <n v="2063.1"/>
    <n v="1237.8599999999999"/>
    <n v="40"/>
    <n v="1"/>
    <m/>
    <m/>
    <m/>
    <m/>
    <m/>
    <m/>
    <m/>
    <m/>
    <m/>
    <m/>
    <m/>
    <m/>
  </r>
  <r>
    <x v="21"/>
    <s v="Chain 6_Depot 9_SKU 21_45413"/>
    <x v="49"/>
    <x v="1"/>
    <x v="5"/>
    <x v="5"/>
    <x v="9"/>
    <x v="25"/>
    <s v="History"/>
    <n v="19840.2"/>
    <m/>
    <n v="20789.509192367699"/>
    <n v="-1068.22990270684"/>
    <m/>
    <m/>
    <n v="1"/>
    <n v="0"/>
    <n v="0"/>
    <m/>
    <m/>
    <b v="0"/>
    <n v="4603"/>
    <n v="0"/>
    <n v="1235"/>
    <s v="Stable"/>
    <n v="2054.8200000000002"/>
    <n v="1607"/>
    <n v="21.79"/>
    <n v="0"/>
    <m/>
    <m/>
    <m/>
    <m/>
    <m/>
    <m/>
    <m/>
    <m/>
    <m/>
    <m/>
    <m/>
    <m/>
  </r>
  <r>
    <x v="22"/>
    <s v="Chain 6_Depot 9_SKU 21_45444"/>
    <x v="49"/>
    <x v="1"/>
    <x v="5"/>
    <x v="5"/>
    <x v="9"/>
    <x v="25"/>
    <s v="History"/>
    <n v="19423.919999999998"/>
    <m/>
    <n v="21217.568980103199"/>
    <n v="-1409.99495795179"/>
    <m/>
    <m/>
    <n v="1"/>
    <n v="0"/>
    <n v="0"/>
    <m/>
    <m/>
    <b v="0"/>
    <n v="3977"/>
    <n v="1"/>
    <n v="1462"/>
    <s v="Stable"/>
    <n v="1957.41"/>
    <n v="1584.09"/>
    <n v="19.07"/>
    <n v="0"/>
    <m/>
    <m/>
    <m/>
    <m/>
    <m/>
    <m/>
    <m/>
    <m/>
    <m/>
    <m/>
    <m/>
    <m/>
  </r>
  <r>
    <x v="30"/>
    <s v="Chain 6_Depot 9_SKU 21_45474"/>
    <x v="49"/>
    <x v="1"/>
    <x v="5"/>
    <x v="5"/>
    <x v="9"/>
    <x v="25"/>
    <s v="History"/>
    <n v="19466.189999999999"/>
    <n v="15313.46"/>
    <n v="21631.8203875892"/>
    <n v="-1508.11138820723"/>
    <n v="15513.46"/>
    <n v="15113.46"/>
    <n v="1"/>
    <n v="0"/>
    <n v="0"/>
    <m/>
    <m/>
    <b v="0"/>
    <n v="2375"/>
    <n v="0"/>
    <n v="2251"/>
    <s v="Stable"/>
    <n v="2060.54"/>
    <n v="1640.07"/>
    <n v="20.41"/>
    <n v="0"/>
    <m/>
    <m/>
    <m/>
    <m/>
    <m/>
    <m/>
    <m/>
    <m/>
    <m/>
    <m/>
    <m/>
    <m/>
  </r>
  <r>
    <x v="23"/>
    <s v="Chain 6_Depot 9_SKU 21_45505"/>
    <x v="49"/>
    <x v="1"/>
    <x v="5"/>
    <x v="5"/>
    <x v="9"/>
    <x v="25"/>
    <s v="History"/>
    <n v="19795.34"/>
    <n v="15558.44"/>
    <n v="22059.880175324699"/>
    <n v="-2018.00578545797"/>
    <n v="15758.44"/>
    <n v="15358.44"/>
    <n v="1"/>
    <n v="0"/>
    <n v="0"/>
    <m/>
    <m/>
    <b v="0"/>
    <n v="2741"/>
    <n v="1"/>
    <n v="2723"/>
    <s v="Stable"/>
    <n v="2065.8200000000002"/>
    <n v="1667.88"/>
    <n v="19.260000000000002"/>
    <n v="0"/>
    <m/>
    <m/>
    <m/>
    <m/>
    <m/>
    <m/>
    <m/>
    <m/>
    <m/>
    <m/>
    <m/>
    <m/>
  </r>
  <r>
    <x v="24"/>
    <s v="Chain 6_Depot 9_SKU 21_45536"/>
    <x v="49"/>
    <x v="1"/>
    <x v="5"/>
    <x v="5"/>
    <x v="9"/>
    <x v="25"/>
    <s v="History"/>
    <n v="17972.259999999998"/>
    <n v="15852.99"/>
    <n v="22487.939963060198"/>
    <n v="-3194.9239821862102"/>
    <n v="16052.99"/>
    <n v="15652.99"/>
    <n v="1"/>
    <n v="0"/>
    <n v="1"/>
    <m/>
    <m/>
    <b v="1"/>
    <n v="2389"/>
    <n v="1"/>
    <n v="2848"/>
    <s v="Stable"/>
    <n v="1983"/>
    <n v="1623.84"/>
    <n v="18.11"/>
    <n v="0"/>
    <m/>
    <m/>
    <m/>
    <m/>
    <m/>
    <m/>
    <m/>
    <m/>
    <m/>
    <m/>
    <m/>
    <m/>
  </r>
  <r>
    <x v="31"/>
    <s v="Chain 6_Depot 9_SKU 21_45566"/>
    <x v="49"/>
    <x v="1"/>
    <x v="5"/>
    <x v="5"/>
    <x v="9"/>
    <x v="25"/>
    <s v="Forecast"/>
    <m/>
    <n v="15614.43"/>
    <n v="22902.191370546199"/>
    <n v="2070.3448071552598"/>
    <n v="15814.43"/>
    <n v="15414.43"/>
    <m/>
    <m/>
    <m/>
    <m/>
    <m/>
    <m/>
    <m/>
    <m/>
    <n v="1482"/>
    <n v="0"/>
    <n v="1997.42"/>
    <n v="1590.45"/>
    <n v="20.37"/>
    <n v="0"/>
    <m/>
    <m/>
    <m/>
    <m/>
    <m/>
    <m/>
    <m/>
    <m/>
    <m/>
    <m/>
    <m/>
    <m/>
  </r>
  <r>
    <x v="25"/>
    <s v="Chain 6_Depot 9_SKU 21_45597"/>
    <x v="49"/>
    <x v="1"/>
    <x v="5"/>
    <x v="5"/>
    <x v="9"/>
    <x v="25"/>
    <s v="Forecast"/>
    <m/>
    <n v="15945.09"/>
    <n v="23330.251158281699"/>
    <n v="2132.86300996518"/>
    <n v="16145.09"/>
    <n v="15745.09"/>
    <m/>
    <m/>
    <m/>
    <m/>
    <m/>
    <m/>
    <m/>
    <m/>
    <n v="1429"/>
    <n v="0"/>
    <n v="1949.29"/>
    <n v="1591.31"/>
    <n v="18.36"/>
    <n v="0"/>
    <m/>
    <m/>
    <m/>
    <m/>
    <m/>
    <m/>
    <m/>
    <m/>
    <m/>
    <m/>
    <m/>
    <m/>
  </r>
  <r>
    <x v="32"/>
    <s v="Chain 6_Depot 9_SKU 21_45627"/>
    <x v="49"/>
    <x v="1"/>
    <x v="5"/>
    <x v="5"/>
    <x v="9"/>
    <x v="25"/>
    <s v="Forecast"/>
    <m/>
    <n v="16159.75"/>
    <n v="23744.5025657677"/>
    <n v="1091.3803435811801"/>
    <n v="16359.75"/>
    <n v="15959.75"/>
    <m/>
    <m/>
    <m/>
    <m/>
    <m/>
    <m/>
    <m/>
    <m/>
    <n v="2045"/>
    <n v="0"/>
    <n v="2070.04"/>
    <n v="1658.94"/>
    <n v="19.86"/>
    <n v="0"/>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4D8B16-3290-4872-B928-67AE3D334D0F}" name="PivotTable5" cacheId="685" applyNumberFormats="0" applyBorderFormats="0" applyFontFormats="0" applyPatternFormats="0" applyAlignmentFormats="0" applyWidthHeightFormats="1" dataCaption="Values" showError="1" updatedVersion="6" minRefreshableVersion="3" useAutoFormatting="1" itemPrintTitles="1" createdVersion="6" indent="0" compact="0" compactData="0" gridDropZones="1" multipleFieldFilters="0" chartFormat="3">
  <location ref="H21:L35" firstHeaderRow="1" firstDataRow="2" firstDataCol="1" rowPageCount="1" colPageCount="1"/>
  <pivotFields count="43">
    <pivotField axis="axisRow" compact="0" numFmtId="165" outline="0" showAll="0">
      <items count="15">
        <item x="0"/>
        <item x="1"/>
        <item x="2"/>
        <item x="3"/>
        <item x="4"/>
        <item x="5"/>
        <item x="6"/>
        <item x="7"/>
        <item x="8"/>
        <item x="9"/>
        <item x="10"/>
        <item x="11"/>
        <item x="12"/>
        <item x="13"/>
        <item t="default"/>
      </items>
    </pivotField>
    <pivotField compact="0" outline="0" showAll="0"/>
    <pivotField axis="axisPage" compact="0"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pivotField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dataField="1" compact="0" outline="0" showAll="0"/>
    <pivotField compact="0" outline="0" showAll="0"/>
    <pivotField compact="0" numFmtId="4" outline="0" showAll="0"/>
    <pivotField compact="0" outline="0" showAll="0"/>
    <pivotField compact="0" numFmtId="4" outline="0" showAll="0"/>
    <pivotField compact="0" numFmtId="4" outline="0" showAll="0"/>
    <pivotField compact="0" numFmtId="4" outline="0" showAll="0"/>
    <pivotField compact="0" numFmtId="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sd="0" x="0"/>
        <item sd="0" x="1"/>
        <item sd="0" x="2"/>
        <item sd="0" x="3"/>
        <item sd="0" x="4"/>
        <item sd="0" x="5"/>
        <item t="default"/>
      </items>
    </pivotField>
    <pivotField axis="axisCol" compact="0" outline="0" showAll="0" defaultSubtotal="0">
      <items count="5">
        <item sd="0" x="0"/>
        <item x="1"/>
        <item x="2"/>
        <item x="3"/>
        <item sd="0" x="4"/>
      </items>
    </pivotField>
  </pivotFields>
  <rowFields count="1">
    <field x="0"/>
  </rowFields>
  <rowItems count="13">
    <i>
      <x v="1"/>
    </i>
    <i>
      <x v="2"/>
    </i>
    <i>
      <x v="3"/>
    </i>
    <i>
      <x v="4"/>
    </i>
    <i>
      <x v="5"/>
    </i>
    <i>
      <x v="6"/>
    </i>
    <i>
      <x v="7"/>
    </i>
    <i>
      <x v="8"/>
    </i>
    <i>
      <x v="9"/>
    </i>
    <i>
      <x v="10"/>
    </i>
    <i>
      <x v="11"/>
    </i>
    <i>
      <x v="12"/>
    </i>
    <i t="grand">
      <x/>
    </i>
  </rowItems>
  <colFields count="1">
    <field x="42"/>
  </colFields>
  <colItems count="4">
    <i>
      <x v="1"/>
    </i>
    <i>
      <x v="2"/>
    </i>
    <i>
      <x v="3"/>
    </i>
    <i t="grand">
      <x/>
    </i>
  </colItems>
  <pageFields count="1">
    <pageField fld="2" item="5" hier="-1"/>
  </pageFields>
  <dataFields count="1">
    <dataField name="Sum of Open_Inventory" fld="21"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4995E5-A007-4702-83A0-B5D92C9FE1B7}" name="PivotTable4" cacheId="685" applyNumberFormats="0" applyBorderFormats="0" applyFontFormats="0" applyPatternFormats="0" applyAlignmentFormats="0" applyWidthHeightFormats="1" dataCaption="Values" showError="1" updatedVersion="6" minRefreshableVersion="3" useAutoFormatting="1" itemPrintTitles="1" createdVersion="6" indent="0" compact="0" compactData="0" gridDropZones="1" multipleFieldFilters="0" chartFormat="3">
  <location ref="H3:L17" firstHeaderRow="1" firstDataRow="2" firstDataCol="1" rowPageCount="1" colPageCount="1"/>
  <pivotFields count="43">
    <pivotField axis="axisRow" compact="0" numFmtId="165" outline="0" showAll="0">
      <items count="15">
        <item x="0"/>
        <item x="1"/>
        <item x="2"/>
        <item x="3"/>
        <item x="4"/>
        <item x="5"/>
        <item x="6"/>
        <item x="7"/>
        <item x="8"/>
        <item x="9"/>
        <item x="10"/>
        <item x="11"/>
        <item x="12"/>
        <item x="13"/>
        <item t="default"/>
      </items>
    </pivotField>
    <pivotField compact="0" outline="0" showAll="0"/>
    <pivotField axis="axisPage" compact="0"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outline="0" showAll="0">
      <items count="3">
        <item x="0"/>
        <item x="1"/>
        <item t="default"/>
      </items>
    </pivotField>
    <pivotField compact="0" outline="0" showAll="0">
      <items count="7">
        <item x="0"/>
        <item x="1"/>
        <item x="2"/>
        <item x="3"/>
        <item x="4"/>
        <item x="5"/>
        <item t="default"/>
      </items>
    </pivotField>
    <pivotField compact="0" outline="0" showAll="0">
      <items count="10">
        <item x="0"/>
        <item x="1"/>
        <item x="6"/>
        <item x="8"/>
        <item x="2"/>
        <item x="7"/>
        <item x="3"/>
        <item x="4"/>
        <item x="5"/>
        <item t="default"/>
      </items>
    </pivotField>
    <pivotField compact="0" outline="0" showAll="0">
      <items count="11">
        <item x="0"/>
        <item x="7"/>
        <item x="6"/>
        <item x="3"/>
        <item x="8"/>
        <item x="5"/>
        <item x="1"/>
        <item x="4"/>
        <item x="2"/>
        <item x="9"/>
        <item t="default"/>
      </items>
    </pivotField>
    <pivotField compact="0" outline="0" showAll="0">
      <items count="27">
        <item x="0"/>
        <item x="16"/>
        <item x="7"/>
        <item x="18"/>
        <item x="24"/>
        <item x="3"/>
        <item x="1"/>
        <item x="10"/>
        <item x="4"/>
        <item x="21"/>
        <item x="2"/>
        <item x="5"/>
        <item x="8"/>
        <item x="25"/>
        <item x="12"/>
        <item x="13"/>
        <item x="17"/>
        <item x="11"/>
        <item x="6"/>
        <item x="9"/>
        <item x="15"/>
        <item x="22"/>
        <item x="19"/>
        <item x="20"/>
        <item x="23"/>
        <item x="14"/>
        <item t="default"/>
      </items>
    </pivotField>
    <pivotField compact="0" outline="0" showAll="0"/>
    <pivotField dataField="1" compact="0" outline="0" showAll="0"/>
    <pivotField compact="0" outline="0" showAll="0"/>
    <pivotField compact="0" numFmtId="167" outline="0" showAll="0"/>
    <pivotField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compact="0" outline="0" showAll="0"/>
    <pivotField compact="0" outline="0" showAll="0"/>
    <pivotField compact="0" numFmtId="4" outline="0" showAll="0"/>
    <pivotField compact="0" outline="0" showAll="0"/>
    <pivotField compact="0" numFmtId="4" outline="0" showAll="0"/>
    <pivotField compact="0" numFmtId="4" outline="0" showAll="0"/>
    <pivotField compact="0" numFmtId="4" outline="0" showAll="0"/>
    <pivotField compact="0" numFmtId="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sd="0" x="0"/>
        <item sd="0" x="1"/>
        <item sd="0" x="2"/>
        <item sd="0" x="3"/>
        <item sd="0" x="4"/>
        <item sd="0" x="5"/>
        <item t="default"/>
      </items>
    </pivotField>
    <pivotField axis="axisCol" compact="0" outline="0" showAll="0" defaultSubtotal="0">
      <items count="5">
        <item sd="0" x="0"/>
        <item x="1"/>
        <item x="2"/>
        <item x="3"/>
        <item sd="0" x="4"/>
      </items>
    </pivotField>
  </pivotFields>
  <rowFields count="1">
    <field x="0"/>
  </rowFields>
  <rowItems count="13">
    <i>
      <x v="1"/>
    </i>
    <i>
      <x v="2"/>
    </i>
    <i>
      <x v="3"/>
    </i>
    <i>
      <x v="4"/>
    </i>
    <i>
      <x v="5"/>
    </i>
    <i>
      <x v="6"/>
    </i>
    <i>
      <x v="7"/>
    </i>
    <i>
      <x v="8"/>
    </i>
    <i>
      <x v="9"/>
    </i>
    <i>
      <x v="10"/>
    </i>
    <i>
      <x v="11"/>
    </i>
    <i>
      <x v="12"/>
    </i>
    <i t="grand">
      <x/>
    </i>
  </rowItems>
  <colFields count="1">
    <field x="42"/>
  </colFields>
  <colItems count="4">
    <i>
      <x v="1"/>
    </i>
    <i>
      <x v="2"/>
    </i>
    <i>
      <x v="3"/>
    </i>
    <i t="grand">
      <x/>
    </i>
  </colItems>
  <pageFields count="1">
    <pageField fld="2" item="23" hier="-1"/>
  </pageFields>
  <dataFields count="1">
    <dataField name="Sum of actual" fld="9" baseField="0" baseItem="0"/>
  </dataFields>
  <chartFormats count="5">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42" count="1" selected="0">
            <x v="1"/>
          </reference>
        </references>
      </pivotArea>
    </chartFormat>
    <chartFormat chart="2" format="1" series="1">
      <pivotArea type="data" outline="0" fieldPosition="0">
        <references count="2">
          <reference field="4294967294" count="1" selected="0">
            <x v="0"/>
          </reference>
          <reference field="42" count="1" selected="0">
            <x v="2"/>
          </reference>
        </references>
      </pivotArea>
    </chartFormat>
    <chartFormat chart="2" format="2" series="1">
      <pivotArea type="data" outline="0" fieldPosition="0">
        <references count="2">
          <reference field="4294967294" count="1" selected="0">
            <x v="0"/>
          </reference>
          <reference field="4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A3AF68-54E6-4857-A8DB-EC779456E6EA}" name="PivotTable1" cacheId="685" applyNumberFormats="0" applyBorderFormats="0" applyFontFormats="0" applyPatternFormats="0" applyAlignmentFormats="0" applyWidthHeightFormats="1" dataCaption="Values" showError="1" updatedVersion="6" minRefreshableVersion="3" useAutoFormatting="1" itemPrintTitles="1" createdVersion="6" indent="0" compact="0" compactData="0" gridDropZones="1" multipleFieldFilters="0" chartFormat="2">
  <location ref="A3:E41" firstHeaderRow="1" firstDataRow="2" firstDataCol="2" rowPageCount="1" colPageCount="1"/>
  <pivotFields count="43">
    <pivotField axis="axisRow" compact="0" numFmtId="165" outline="0" showAll="0">
      <items count="15">
        <item x="0"/>
        <item x="1"/>
        <item x="2"/>
        <item x="3"/>
        <item x="4"/>
        <item x="5"/>
        <item x="6"/>
        <item x="7"/>
        <item x="8"/>
        <item x="9"/>
        <item x="10"/>
        <item x="11"/>
        <item x="12"/>
        <item x="13"/>
        <item t="default"/>
      </items>
    </pivotField>
    <pivotField compact="0" outline="0" showAll="0"/>
    <pivotField axis="axisPage" compact="0"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outline="0" showAll="0">
      <items count="3">
        <item x="0"/>
        <item x="1"/>
        <item t="default"/>
      </items>
    </pivotField>
    <pivotField compact="0" outline="0" showAll="0">
      <items count="7">
        <item x="0"/>
        <item x="1"/>
        <item x="2"/>
        <item x="3"/>
        <item x="4"/>
        <item x="5"/>
        <item t="default"/>
      </items>
    </pivotField>
    <pivotField compact="0" outline="0" showAll="0">
      <items count="10">
        <item x="0"/>
        <item x="1"/>
        <item x="6"/>
        <item x="8"/>
        <item x="2"/>
        <item x="7"/>
        <item x="3"/>
        <item x="4"/>
        <item x="5"/>
        <item t="default"/>
      </items>
    </pivotField>
    <pivotField compact="0" outline="0" showAll="0">
      <items count="11">
        <item x="0"/>
        <item x="7"/>
        <item x="6"/>
        <item x="3"/>
        <item x="8"/>
        <item x="5"/>
        <item x="1"/>
        <item x="4"/>
        <item x="2"/>
        <item x="9"/>
        <item t="default"/>
      </items>
    </pivotField>
    <pivotField compact="0" outline="0" showAll="0">
      <items count="27">
        <item x="0"/>
        <item x="16"/>
        <item x="7"/>
        <item x="18"/>
        <item x="24"/>
        <item x="3"/>
        <item x="1"/>
        <item x="10"/>
        <item x="4"/>
        <item x="21"/>
        <item x="2"/>
        <item x="5"/>
        <item x="8"/>
        <item x="25"/>
        <item x="12"/>
        <item x="13"/>
        <item x="17"/>
        <item x="11"/>
        <item x="6"/>
        <item x="9"/>
        <item x="15"/>
        <item x="22"/>
        <item x="19"/>
        <item x="20"/>
        <item x="23"/>
        <item x="14"/>
        <item t="default"/>
      </items>
    </pivotField>
    <pivotField compact="0" outline="0" showAll="0"/>
    <pivotField dataField="1" compact="0" outline="0" showAll="0"/>
    <pivotField dataField="1" compact="0" outline="0" showAll="0"/>
    <pivotField dataField="1" compact="0" numFmtId="167" outline="0" showAll="0"/>
    <pivotField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compact="0" outline="0" showAll="0"/>
    <pivotField compact="0" outline="0" showAll="0"/>
    <pivotField compact="0" numFmtId="4" outline="0" showAll="0"/>
    <pivotField compact="0" outline="0" showAll="0"/>
    <pivotField compact="0" numFmtId="4" outline="0" showAll="0"/>
    <pivotField compact="0" numFmtId="4" outline="0" showAll="0"/>
    <pivotField compact="0" numFmtId="4" outline="0" showAll="0"/>
    <pivotField compact="0" numFmtId="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sd="0" x="0"/>
        <item sd="0" x="1"/>
        <item sd="0" x="2"/>
        <item sd="0" x="3"/>
        <item sd="0" x="4"/>
        <item sd="0" x="5"/>
        <item t="default"/>
      </items>
    </pivotField>
    <pivotField axis="axisRow" compact="0" outline="0" showAll="0" defaultSubtotal="0">
      <items count="5">
        <item sd="0" x="0"/>
        <item x="1"/>
        <item x="2"/>
        <item x="3"/>
        <item sd="0" x="4"/>
      </items>
    </pivotField>
  </pivotFields>
  <rowFields count="2">
    <field x="42"/>
    <field x="0"/>
  </rowFields>
  <rowItems count="37">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t="grand">
      <x/>
    </i>
  </rowItems>
  <colFields count="1">
    <field x="-2"/>
  </colFields>
  <colItems count="3">
    <i>
      <x/>
    </i>
    <i i="1">
      <x v="1"/>
    </i>
    <i i="2">
      <x v="2"/>
    </i>
  </colItems>
  <pageFields count="1">
    <pageField fld="2" item="23" hier="-1"/>
  </pageFields>
  <dataFields count="3">
    <dataField name="Sum of actual" fld="9" baseField="0" baseItem="0"/>
    <dataField name="Sum of forecast" fld="10" baseField="0" baseItem="0"/>
    <dataField name="Sum of Trend" fld="11" baseField="0" baseItem="0"/>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5EF8015-05DD-4C71-A906-DD901BBE3E42}" sourceName="Channel">
  <pivotTables>
    <pivotTable tabId="3" name="PivotTable1"/>
    <pivotTable tabId="3" name="PivotTable4"/>
  </pivotTables>
  <data>
    <tabular pivotCacheId="121475022">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in" xr10:uid="{543C9D69-E238-439B-A935-4C6C90C2C4D4}" sourceName="Chain">
  <pivotTables>
    <pivotTable tabId="3" name="PivotTable1"/>
    <pivotTable tabId="3" name="PivotTable4"/>
  </pivotTables>
  <data>
    <tabular pivotCacheId="121475022">
      <items count="6">
        <i x="4" s="1"/>
        <i x="0" s="1" nd="1"/>
        <i x="1" s="1" nd="1"/>
        <i x="2" s="1" nd="1"/>
        <i x="3"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ot" xr10:uid="{50C48115-9D80-451F-8E44-15BFD6559D2F}" sourceName="Depot">
  <pivotTables>
    <pivotTable tabId="3" name="PivotTable1"/>
    <pivotTable tabId="3" name="PivotTable4"/>
  </pivotTables>
  <data>
    <tabular pivotCacheId="121475022">
      <items count="9">
        <i x="1" s="1"/>
        <i x="0" s="1" nd="1"/>
        <i x="6" s="1" nd="1"/>
        <i x="8" s="1" nd="1"/>
        <i x="2" s="1" nd="1"/>
        <i x="7" s="1" nd="1"/>
        <i x="3" s="1" nd="1"/>
        <i x="4"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 xr10:uid="{C13402EE-9C57-4640-ABFD-AF40E350859C}" sourceName="SubCat">
  <pivotTables>
    <pivotTable tabId="3" name="PivotTable1"/>
    <pivotTable tabId="3" name="PivotTable4"/>
  </pivotTables>
  <data>
    <tabular pivotCacheId="121475022">
      <items count="10">
        <i x="6" s="1"/>
        <i x="0" s="1" nd="1"/>
        <i x="7" s="1" nd="1"/>
        <i x="3" s="1" nd="1"/>
        <i x="8" s="1" nd="1"/>
        <i x="5" s="1" nd="1"/>
        <i x="1" s="1" nd="1"/>
        <i x="4" s="1" nd="1"/>
        <i x="2" s="1" nd="1"/>
        <i x="9"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EFBE665D-30B2-4D8E-A640-EA441E701A0C}" sourceName="SKU">
  <pivotTables>
    <pivotTable tabId="3" name="PivotTable1"/>
    <pivotTable tabId="3" name="PivotTable4"/>
  </pivotTables>
  <data>
    <tabular pivotCacheId="121475022">
      <items count="26">
        <i x="19" s="1"/>
        <i x="0" s="1" nd="1"/>
        <i x="16" s="1" nd="1"/>
        <i x="7" s="1" nd="1"/>
        <i x="18" s="1" nd="1"/>
        <i x="24" s="1" nd="1"/>
        <i x="3" s="1" nd="1"/>
        <i x="1" s="1" nd="1"/>
        <i x="10" s="1" nd="1"/>
        <i x="4" s="1" nd="1"/>
        <i x="21" s="1" nd="1"/>
        <i x="2" s="1" nd="1"/>
        <i x="5" s="1" nd="1"/>
        <i x="8" s="1" nd="1"/>
        <i x="25" s="1" nd="1"/>
        <i x="12" s="1" nd="1"/>
        <i x="13" s="1" nd="1"/>
        <i x="17" s="1" nd="1"/>
        <i x="11" s="1" nd="1"/>
        <i x="6" s="1" nd="1"/>
        <i x="9" s="1" nd="1"/>
        <i x="15" s="1" nd="1"/>
        <i x="22" s="1" nd="1"/>
        <i x="20" s="1" nd="1"/>
        <i x="23"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296D5480-E3CE-4779-ADF0-753203A9BC9E}" cache="Slicer_Channel" caption="Channel" rowHeight="241300"/>
  <slicer name="Chain" xr10:uid="{5B5BFC48-C7A6-4A6D-A58A-CA7629608C5F}" cache="Slicer_Chain" caption="Chain" columnCount="2" rowHeight="241300"/>
  <slicer name="Depot" xr10:uid="{19DB7466-5E66-44DC-8ADC-61056CBEB833}" cache="Slicer_Depot" caption="Depot" columnCount="3" rowHeight="241300"/>
  <slicer name="SubCat" xr10:uid="{0FD5C939-96EB-4874-A718-7DC595950186}" cache="Slicer_SubCat" caption="SubCat" rowHeight="241300"/>
  <slicer name="SKU" xr10:uid="{414C27EC-274F-45F6-BAD8-37FCC4BB0AFD}" cache="Slicer_SKU" caption="SKU"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18D00-A790-41E8-B5E7-1BF109D2E23F}">
  <dimension ref="A1:J111"/>
  <sheetViews>
    <sheetView showGridLines="0" topLeftCell="C1" zoomScale="53" workbookViewId="0">
      <selection activeCell="G1" sqref="G1:J40"/>
    </sheetView>
  </sheetViews>
  <sheetFormatPr defaultRowHeight="14.45"/>
  <cols>
    <col min="1" max="1" width="17.140625" bestFit="1" customWidth="1"/>
    <col min="2" max="2" width="89.140625" bestFit="1" customWidth="1"/>
    <col min="3" max="3" width="14.140625" bestFit="1" customWidth="1"/>
    <col min="4" max="4" width="8.140625" bestFit="1" customWidth="1"/>
    <col min="5" max="5" width="97.85546875" customWidth="1"/>
    <col min="6" max="6" width="25.5703125" customWidth="1"/>
    <col min="7" max="7" width="23.7109375" bestFit="1" customWidth="1"/>
    <col min="8" max="8" width="25" bestFit="1" customWidth="1"/>
    <col min="9" max="9" width="36.28515625" customWidth="1"/>
    <col min="10" max="10" width="7.42578125" bestFit="1" customWidth="1"/>
    <col min="11" max="11" width="4.85546875" bestFit="1" customWidth="1"/>
    <col min="12" max="12" width="27.28515625" bestFit="1" customWidth="1"/>
    <col min="13" max="13" width="10.85546875" bestFit="1" customWidth="1"/>
  </cols>
  <sheetData>
    <row r="1" spans="1:10">
      <c r="A1" t="s">
        <v>0</v>
      </c>
      <c r="B1" t="s">
        <v>1</v>
      </c>
      <c r="G1" s="56" t="s">
        <v>2</v>
      </c>
      <c r="H1" s="56" t="s">
        <v>3</v>
      </c>
      <c r="I1" s="56" t="s">
        <v>4</v>
      </c>
      <c r="J1" s="56" t="s">
        <v>5</v>
      </c>
    </row>
    <row r="2" spans="1:10">
      <c r="A2" t="s">
        <v>6</v>
      </c>
      <c r="B2" t="s">
        <v>7</v>
      </c>
      <c r="G2" s="23" t="s">
        <v>6</v>
      </c>
      <c r="H2" s="23" t="s">
        <v>8</v>
      </c>
      <c r="I2" s="23" t="s">
        <v>9</v>
      </c>
      <c r="J2" s="23" t="s">
        <v>10</v>
      </c>
    </row>
    <row r="3" spans="1:10">
      <c r="A3" t="s">
        <v>11</v>
      </c>
      <c r="B3" t="s">
        <v>7</v>
      </c>
      <c r="G3" s="23" t="s">
        <v>6</v>
      </c>
      <c r="H3" s="23" t="s">
        <v>12</v>
      </c>
      <c r="I3" s="8" t="s">
        <v>13</v>
      </c>
      <c r="J3" s="23" t="s">
        <v>10</v>
      </c>
    </row>
    <row r="4" spans="1:10">
      <c r="A4" t="s">
        <v>14</v>
      </c>
      <c r="B4" t="s">
        <v>7</v>
      </c>
      <c r="G4" s="23" t="s">
        <v>6</v>
      </c>
      <c r="H4" s="23" t="s">
        <v>15</v>
      </c>
      <c r="I4" s="8" t="s">
        <v>16</v>
      </c>
      <c r="J4" s="23" t="s">
        <v>10</v>
      </c>
    </row>
    <row r="5" spans="1:10">
      <c r="A5" t="s">
        <v>17</v>
      </c>
      <c r="B5" t="s">
        <v>7</v>
      </c>
      <c r="G5" s="23" t="s">
        <v>6</v>
      </c>
      <c r="H5" s="23" t="s">
        <v>18</v>
      </c>
      <c r="I5" s="8" t="s">
        <v>19</v>
      </c>
      <c r="J5" s="23" t="s">
        <v>10</v>
      </c>
    </row>
    <row r="6" spans="1:10">
      <c r="G6" s="23" t="s">
        <v>6</v>
      </c>
      <c r="H6" s="23" t="s">
        <v>20</v>
      </c>
      <c r="I6" s="8" t="s">
        <v>21</v>
      </c>
      <c r="J6" s="23" t="s">
        <v>10</v>
      </c>
    </row>
    <row r="7" spans="1:10">
      <c r="G7" s="23" t="s">
        <v>6</v>
      </c>
      <c r="H7" s="23" t="s">
        <v>22</v>
      </c>
      <c r="I7" s="8" t="s">
        <v>23</v>
      </c>
      <c r="J7" s="23" t="s">
        <v>3</v>
      </c>
    </row>
    <row r="8" spans="1:10" ht="15" thickBot="1">
      <c r="G8" s="23" t="s">
        <v>6</v>
      </c>
      <c r="H8" s="23" t="s">
        <v>24</v>
      </c>
      <c r="I8" s="8" t="s">
        <v>25</v>
      </c>
      <c r="J8" s="23" t="s">
        <v>3</v>
      </c>
    </row>
    <row r="9" spans="1:10" ht="15" thickBot="1">
      <c r="A9" s="49" t="s">
        <v>3</v>
      </c>
      <c r="B9" s="50" t="s">
        <v>4</v>
      </c>
      <c r="C9" s="51" t="s">
        <v>5</v>
      </c>
      <c r="G9" s="23" t="s">
        <v>6</v>
      </c>
      <c r="H9" s="23" t="s">
        <v>26</v>
      </c>
      <c r="I9" s="8" t="s">
        <v>27</v>
      </c>
      <c r="J9" s="23" t="s">
        <v>3</v>
      </c>
    </row>
    <row r="10" spans="1:10">
      <c r="A10" s="30" t="s">
        <v>2</v>
      </c>
      <c r="B10" s="38" t="s">
        <v>6</v>
      </c>
      <c r="C10" s="32" t="s">
        <v>28</v>
      </c>
      <c r="G10" s="23" t="s">
        <v>6</v>
      </c>
      <c r="H10" s="23" t="s">
        <v>29</v>
      </c>
      <c r="I10" s="8" t="s">
        <v>30</v>
      </c>
      <c r="J10" s="23" t="s">
        <v>3</v>
      </c>
    </row>
    <row r="11" spans="1:10">
      <c r="A11" s="33" t="s">
        <v>31</v>
      </c>
      <c r="B11" s="23" t="s">
        <v>32</v>
      </c>
      <c r="C11" s="34" t="s">
        <v>28</v>
      </c>
      <c r="G11" s="23" t="s">
        <v>6</v>
      </c>
      <c r="H11" s="23" t="s">
        <v>29</v>
      </c>
      <c r="I11" s="8" t="s">
        <v>33</v>
      </c>
      <c r="J11" s="23" t="s">
        <v>3</v>
      </c>
    </row>
    <row r="12" spans="1:10" ht="15" thickBot="1">
      <c r="A12" s="35" t="s">
        <v>34</v>
      </c>
      <c r="B12" s="36" t="s">
        <v>7</v>
      </c>
      <c r="C12" s="39" t="s">
        <v>28</v>
      </c>
      <c r="G12" s="23" t="s">
        <v>11</v>
      </c>
      <c r="H12" s="23" t="s">
        <v>35</v>
      </c>
      <c r="I12" s="8" t="s">
        <v>36</v>
      </c>
      <c r="J12" s="23" t="s">
        <v>10</v>
      </c>
    </row>
    <row r="13" spans="1:10" ht="29.1">
      <c r="A13" s="43" t="s">
        <v>37</v>
      </c>
      <c r="B13" s="31" t="s">
        <v>38</v>
      </c>
      <c r="C13" s="44" t="s">
        <v>10</v>
      </c>
      <c r="G13" s="23" t="s">
        <v>11</v>
      </c>
      <c r="H13" s="23" t="s">
        <v>39</v>
      </c>
      <c r="I13" s="8" t="s">
        <v>40</v>
      </c>
      <c r="J13" s="23" t="s">
        <v>10</v>
      </c>
    </row>
    <row r="14" spans="1:10">
      <c r="A14" s="33" t="s">
        <v>41</v>
      </c>
      <c r="B14" s="26" t="s">
        <v>42</v>
      </c>
      <c r="C14" s="45" t="s">
        <v>10</v>
      </c>
      <c r="G14" s="23" t="s">
        <v>11</v>
      </c>
      <c r="H14" s="23" t="s">
        <v>39</v>
      </c>
      <c r="I14" s="8" t="s">
        <v>43</v>
      </c>
      <c r="J14" s="23" t="s">
        <v>10</v>
      </c>
    </row>
    <row r="15" spans="1:10">
      <c r="A15" s="33" t="s">
        <v>44</v>
      </c>
      <c r="B15" s="26" t="s">
        <v>45</v>
      </c>
      <c r="C15" s="45" t="s">
        <v>10</v>
      </c>
      <c r="G15" s="23" t="s">
        <v>11</v>
      </c>
      <c r="H15" s="23" t="s">
        <v>15</v>
      </c>
      <c r="I15" s="8" t="s">
        <v>46</v>
      </c>
      <c r="J15" s="23" t="s">
        <v>10</v>
      </c>
    </row>
    <row r="16" spans="1:10">
      <c r="A16" s="33" t="s">
        <v>47</v>
      </c>
      <c r="B16" s="26" t="s">
        <v>48</v>
      </c>
      <c r="C16" s="45" t="s">
        <v>10</v>
      </c>
      <c r="G16" s="23" t="s">
        <v>11</v>
      </c>
      <c r="H16" s="23" t="s">
        <v>49</v>
      </c>
      <c r="I16" s="8" t="s">
        <v>50</v>
      </c>
      <c r="J16" s="23" t="s">
        <v>10</v>
      </c>
    </row>
    <row r="17" spans="1:10">
      <c r="A17" s="33" t="s">
        <v>51</v>
      </c>
      <c r="B17" s="23" t="s">
        <v>52</v>
      </c>
      <c r="C17" s="45" t="s">
        <v>10</v>
      </c>
      <c r="G17" s="23" t="s">
        <v>11</v>
      </c>
      <c r="H17" s="23" t="s">
        <v>22</v>
      </c>
      <c r="I17" s="8" t="s">
        <v>53</v>
      </c>
      <c r="J17" s="23" t="s">
        <v>3</v>
      </c>
    </row>
    <row r="18" spans="1:10">
      <c r="A18" s="33" t="s">
        <v>54</v>
      </c>
      <c r="B18" s="23" t="s">
        <v>55</v>
      </c>
      <c r="C18" s="45" t="s">
        <v>10</v>
      </c>
      <c r="G18" s="23" t="s">
        <v>11</v>
      </c>
      <c r="H18" s="23" t="s">
        <v>18</v>
      </c>
      <c r="I18" s="8" t="s">
        <v>56</v>
      </c>
      <c r="J18" s="23" t="s">
        <v>3</v>
      </c>
    </row>
    <row r="19" spans="1:10" ht="15" thickBot="1">
      <c r="A19" s="35" t="s">
        <v>49</v>
      </c>
      <c r="B19" s="36" t="s">
        <v>57</v>
      </c>
      <c r="C19" s="46" t="s">
        <v>10</v>
      </c>
      <c r="G19" s="23" t="s">
        <v>11</v>
      </c>
      <c r="H19" s="23" t="s">
        <v>58</v>
      </c>
      <c r="I19" s="8" t="s">
        <v>59</v>
      </c>
      <c r="J19" s="23" t="s">
        <v>3</v>
      </c>
    </row>
    <row r="20" spans="1:10">
      <c r="A20" s="30" t="s">
        <v>60</v>
      </c>
      <c r="B20" s="38" t="s">
        <v>61</v>
      </c>
      <c r="C20" s="32" t="s">
        <v>3</v>
      </c>
      <c r="E20" s="55"/>
      <c r="G20" s="23" t="s">
        <v>11</v>
      </c>
      <c r="H20" s="23" t="s">
        <v>58</v>
      </c>
      <c r="I20" s="8" t="s">
        <v>62</v>
      </c>
      <c r="J20" s="23" t="s">
        <v>3</v>
      </c>
    </row>
    <row r="21" spans="1:10">
      <c r="A21" s="40" t="s">
        <v>63</v>
      </c>
      <c r="B21" s="29">
        <v>4763517</v>
      </c>
      <c r="C21" s="41" t="s">
        <v>3</v>
      </c>
      <c r="E21" s="55"/>
      <c r="G21" s="23" t="s">
        <v>11</v>
      </c>
      <c r="H21" s="23" t="s">
        <v>29</v>
      </c>
      <c r="I21" s="8" t="s">
        <v>64</v>
      </c>
      <c r="J21" s="23" t="s">
        <v>3</v>
      </c>
    </row>
    <row r="22" spans="1:10">
      <c r="A22" s="40" t="s">
        <v>65</v>
      </c>
      <c r="B22" s="29">
        <v>4161144</v>
      </c>
      <c r="C22" s="41" t="s">
        <v>3</v>
      </c>
      <c r="E22" s="55"/>
      <c r="G22" s="23" t="s">
        <v>14</v>
      </c>
      <c r="H22" s="23" t="s">
        <v>37</v>
      </c>
      <c r="I22" s="8" t="s">
        <v>66</v>
      </c>
      <c r="J22" s="23" t="s">
        <v>10</v>
      </c>
    </row>
    <row r="23" spans="1:10">
      <c r="A23" s="40" t="s">
        <v>67</v>
      </c>
      <c r="B23" s="42">
        <f>B22/B21-1</f>
        <v>-0.12645551595596283</v>
      </c>
      <c r="C23" s="41" t="s">
        <v>3</v>
      </c>
      <c r="E23" s="55"/>
      <c r="G23" s="23" t="s">
        <v>14</v>
      </c>
      <c r="H23" s="23" t="s">
        <v>68</v>
      </c>
      <c r="I23" s="8" t="s">
        <v>69</v>
      </c>
      <c r="J23" s="23" t="s">
        <v>10</v>
      </c>
    </row>
    <row r="24" spans="1:10">
      <c r="A24" s="33" t="s">
        <v>70</v>
      </c>
      <c r="B24" s="23" t="s">
        <v>71</v>
      </c>
      <c r="C24" s="34" t="s">
        <v>3</v>
      </c>
      <c r="G24" s="23" t="s">
        <v>14</v>
      </c>
      <c r="H24" s="23" t="s">
        <v>12</v>
      </c>
      <c r="I24" s="8" t="s">
        <v>72</v>
      </c>
      <c r="J24" s="23" t="s">
        <v>10</v>
      </c>
    </row>
    <row r="25" spans="1:10">
      <c r="A25" s="33" t="s">
        <v>73</v>
      </c>
      <c r="B25" s="25">
        <v>8564973</v>
      </c>
      <c r="C25" s="34" t="s">
        <v>3</v>
      </c>
      <c r="G25" s="23" t="s">
        <v>14</v>
      </c>
      <c r="H25" s="23" t="s">
        <v>74</v>
      </c>
      <c r="I25" s="8" t="s">
        <v>75</v>
      </c>
      <c r="J25" s="23" t="s">
        <v>10</v>
      </c>
    </row>
    <row r="26" spans="1:10">
      <c r="A26" s="33" t="s">
        <v>76</v>
      </c>
      <c r="B26" s="25">
        <v>8867544</v>
      </c>
      <c r="C26" s="34" t="s">
        <v>3</v>
      </c>
      <c r="G26" s="23" t="s">
        <v>14</v>
      </c>
      <c r="H26" s="23" t="s">
        <v>77</v>
      </c>
      <c r="I26" s="8" t="s">
        <v>78</v>
      </c>
      <c r="J26" s="23" t="s">
        <v>10</v>
      </c>
    </row>
    <row r="27" spans="1:10">
      <c r="A27" s="33" t="s">
        <v>79</v>
      </c>
      <c r="B27" s="26">
        <f>B25/B26-1</f>
        <v>-3.412117267193715E-2</v>
      </c>
      <c r="C27" s="34" t="s">
        <v>3</v>
      </c>
      <c r="G27" s="23" t="s">
        <v>14</v>
      </c>
      <c r="H27" s="23" t="s">
        <v>49</v>
      </c>
      <c r="I27" s="8" t="s">
        <v>80</v>
      </c>
      <c r="J27" s="23" t="s">
        <v>10</v>
      </c>
    </row>
    <row r="28" spans="1:10">
      <c r="A28" s="33" t="s">
        <v>81</v>
      </c>
      <c r="B28" s="25">
        <v>909508.58333333337</v>
      </c>
      <c r="C28" s="34" t="s">
        <v>3</v>
      </c>
      <c r="G28" s="23" t="s">
        <v>14</v>
      </c>
      <c r="H28" s="23" t="s">
        <v>82</v>
      </c>
      <c r="I28" s="8" t="s">
        <v>83</v>
      </c>
      <c r="J28" s="23" t="s">
        <v>3</v>
      </c>
    </row>
    <row r="29" spans="1:10">
      <c r="A29" s="33" t="s">
        <v>84</v>
      </c>
      <c r="B29" s="25">
        <v>797904</v>
      </c>
      <c r="C29" s="34" t="s">
        <v>3</v>
      </c>
      <c r="G29" s="23" t="s">
        <v>14</v>
      </c>
      <c r="H29" s="23" t="s">
        <v>82</v>
      </c>
      <c r="I29" s="8" t="s">
        <v>85</v>
      </c>
      <c r="J29" s="23" t="s">
        <v>3</v>
      </c>
    </row>
    <row r="30" spans="1:10">
      <c r="A30" s="33" t="s">
        <v>86</v>
      </c>
      <c r="B30" s="25">
        <v>504374</v>
      </c>
      <c r="C30" s="34" t="s">
        <v>3</v>
      </c>
      <c r="G30" s="23" t="s">
        <v>14</v>
      </c>
      <c r="H30" s="23" t="s">
        <v>87</v>
      </c>
      <c r="I30" s="8" t="s">
        <v>88</v>
      </c>
      <c r="J30" s="23" t="s">
        <v>3</v>
      </c>
    </row>
    <row r="31" spans="1:10">
      <c r="A31" s="33" t="s">
        <v>89</v>
      </c>
      <c r="B31" s="26">
        <v>4.8908612973530552E-2</v>
      </c>
      <c r="C31" s="34" t="s">
        <v>3</v>
      </c>
      <c r="G31" s="23" t="s">
        <v>14</v>
      </c>
      <c r="H31" s="23" t="s">
        <v>87</v>
      </c>
      <c r="I31" s="8" t="s">
        <v>90</v>
      </c>
      <c r="J31" s="23" t="s">
        <v>3</v>
      </c>
    </row>
    <row r="32" spans="1:10">
      <c r="A32" s="33" t="s">
        <v>91</v>
      </c>
      <c r="B32" s="27">
        <v>-0.15408502088733456</v>
      </c>
      <c r="C32" s="34" t="s">
        <v>3</v>
      </c>
      <c r="G32" s="23" t="s">
        <v>14</v>
      </c>
      <c r="H32" s="23" t="s">
        <v>58</v>
      </c>
      <c r="I32" s="8" t="s">
        <v>92</v>
      </c>
      <c r="J32" s="23" t="s">
        <v>3</v>
      </c>
    </row>
    <row r="33" spans="1:10" ht="15" thickBot="1">
      <c r="A33" s="35" t="s">
        <v>93</v>
      </c>
      <c r="B33" s="36" t="s">
        <v>94</v>
      </c>
      <c r="C33" s="39" t="s">
        <v>3</v>
      </c>
      <c r="G33" s="23" t="s">
        <v>14</v>
      </c>
      <c r="H33" s="23" t="s">
        <v>58</v>
      </c>
      <c r="I33" s="8" t="s">
        <v>95</v>
      </c>
      <c r="J33" s="23" t="s">
        <v>3</v>
      </c>
    </row>
    <row r="34" spans="1:10">
      <c r="A34" s="14"/>
      <c r="G34" s="23" t="s">
        <v>17</v>
      </c>
      <c r="H34" s="23" t="s">
        <v>37</v>
      </c>
      <c r="I34" s="8" t="s">
        <v>96</v>
      </c>
      <c r="J34" s="23" t="s">
        <v>10</v>
      </c>
    </row>
    <row r="35" spans="1:10" ht="15" thickBot="1">
      <c r="A35" s="37" t="s">
        <v>3</v>
      </c>
      <c r="B35" s="37" t="s">
        <v>4</v>
      </c>
      <c r="C35" s="37" t="s">
        <v>5</v>
      </c>
      <c r="G35" s="23" t="s">
        <v>17</v>
      </c>
      <c r="H35" s="23" t="s">
        <v>12</v>
      </c>
      <c r="I35" s="8" t="s">
        <v>97</v>
      </c>
      <c r="J35" s="23" t="s">
        <v>10</v>
      </c>
    </row>
    <row r="36" spans="1:10">
      <c r="A36" s="30" t="s">
        <v>2</v>
      </c>
      <c r="B36" s="38" t="s">
        <v>11</v>
      </c>
      <c r="C36" s="32" t="s">
        <v>28</v>
      </c>
      <c r="G36" s="23" t="s">
        <v>17</v>
      </c>
      <c r="H36" s="23" t="s">
        <v>77</v>
      </c>
      <c r="I36" s="8" t="s">
        <v>98</v>
      </c>
      <c r="J36" s="23" t="s">
        <v>10</v>
      </c>
    </row>
    <row r="37" spans="1:10">
      <c r="A37" s="33" t="s">
        <v>31</v>
      </c>
      <c r="B37" s="23" t="s">
        <v>32</v>
      </c>
      <c r="C37" s="34" t="s">
        <v>28</v>
      </c>
      <c r="G37" s="23" t="s">
        <v>17</v>
      </c>
      <c r="H37" s="23" t="s">
        <v>99</v>
      </c>
      <c r="I37" s="8" t="s">
        <v>100</v>
      </c>
      <c r="J37" s="23" t="s">
        <v>3</v>
      </c>
    </row>
    <row r="38" spans="1:10" ht="15" thickBot="1">
      <c r="A38" s="35" t="s">
        <v>34</v>
      </c>
      <c r="B38" s="36" t="s">
        <v>7</v>
      </c>
      <c r="C38" s="39" t="s">
        <v>28</v>
      </c>
      <c r="G38" s="23" t="s">
        <v>17</v>
      </c>
      <c r="H38" s="23" t="s">
        <v>101</v>
      </c>
      <c r="I38" s="8" t="s">
        <v>102</v>
      </c>
      <c r="J38" s="23" t="s">
        <v>3</v>
      </c>
    </row>
    <row r="39" spans="1:10" ht="29.1">
      <c r="A39" s="43" t="s">
        <v>37</v>
      </c>
      <c r="B39" s="31" t="s">
        <v>36</v>
      </c>
      <c r="C39" s="44" t="s">
        <v>10</v>
      </c>
      <c r="G39" s="23" t="s">
        <v>17</v>
      </c>
      <c r="H39" s="23" t="s">
        <v>58</v>
      </c>
      <c r="I39" s="8" t="s">
        <v>103</v>
      </c>
      <c r="J39" s="23" t="s">
        <v>3</v>
      </c>
    </row>
    <row r="40" spans="1:10">
      <c r="A40" s="33" t="s">
        <v>41</v>
      </c>
      <c r="B40" s="26" t="s">
        <v>104</v>
      </c>
      <c r="C40" s="45" t="s">
        <v>10</v>
      </c>
      <c r="G40" s="23" t="s">
        <v>17</v>
      </c>
      <c r="H40" s="23" t="s">
        <v>58</v>
      </c>
      <c r="I40" s="8" t="s">
        <v>105</v>
      </c>
      <c r="J40" s="23" t="s">
        <v>3</v>
      </c>
    </row>
    <row r="41" spans="1:10">
      <c r="A41" s="47" t="s">
        <v>44</v>
      </c>
      <c r="B41" s="28" t="s">
        <v>106</v>
      </c>
      <c r="C41" s="45" t="s">
        <v>10</v>
      </c>
    </row>
    <row r="42" spans="1:10">
      <c r="A42" s="33" t="s">
        <v>47</v>
      </c>
      <c r="B42" s="26" t="s">
        <v>107</v>
      </c>
      <c r="C42" s="45" t="s">
        <v>10</v>
      </c>
    </row>
    <row r="43" spans="1:10">
      <c r="A43" s="33" t="s">
        <v>51</v>
      </c>
      <c r="B43" s="23" t="s">
        <v>108</v>
      </c>
      <c r="C43" s="45" t="s">
        <v>10</v>
      </c>
    </row>
    <row r="44" spans="1:10">
      <c r="A44" s="33" t="s">
        <v>54</v>
      </c>
      <c r="B44" s="23" t="s">
        <v>109</v>
      </c>
      <c r="C44" s="45" t="s">
        <v>10</v>
      </c>
    </row>
    <row r="45" spans="1:10" ht="15" thickBot="1">
      <c r="A45" s="35" t="s">
        <v>49</v>
      </c>
      <c r="B45" s="36" t="s">
        <v>110</v>
      </c>
      <c r="C45" s="46" t="s">
        <v>10</v>
      </c>
    </row>
    <row r="46" spans="1:10">
      <c r="A46" s="30" t="s">
        <v>60</v>
      </c>
      <c r="B46" s="38" t="s">
        <v>111</v>
      </c>
      <c r="C46" s="32" t="s">
        <v>3</v>
      </c>
    </row>
    <row r="47" spans="1:10">
      <c r="A47" s="40" t="s">
        <v>63</v>
      </c>
      <c r="B47" s="29">
        <v>10935</v>
      </c>
      <c r="C47" s="41" t="s">
        <v>3</v>
      </c>
    </row>
    <row r="48" spans="1:10">
      <c r="A48" s="40" t="s">
        <v>65</v>
      </c>
      <c r="B48" s="29">
        <v>12915</v>
      </c>
      <c r="C48" s="41" t="s">
        <v>3</v>
      </c>
    </row>
    <row r="49" spans="1:3">
      <c r="A49" s="40" t="s">
        <v>67</v>
      </c>
      <c r="B49" s="42">
        <f>B48/B47-1</f>
        <v>0.18106995884773669</v>
      </c>
      <c r="C49" s="41" t="s">
        <v>3</v>
      </c>
    </row>
    <row r="50" spans="1:3">
      <c r="A50" s="33" t="s">
        <v>70</v>
      </c>
      <c r="B50" s="23" t="s">
        <v>112</v>
      </c>
      <c r="C50" s="34" t="s">
        <v>3</v>
      </c>
    </row>
    <row r="51" spans="1:3">
      <c r="A51" s="33" t="s">
        <v>73</v>
      </c>
      <c r="B51" s="25">
        <v>33705</v>
      </c>
      <c r="C51" s="34" t="s">
        <v>3</v>
      </c>
    </row>
    <row r="52" spans="1:3">
      <c r="A52" s="33" t="s">
        <v>76</v>
      </c>
      <c r="B52" s="25">
        <v>22320</v>
      </c>
      <c r="C52" s="34" t="s">
        <v>3</v>
      </c>
    </row>
    <row r="53" spans="1:3">
      <c r="A53" s="33" t="s">
        <v>79</v>
      </c>
      <c r="B53" s="26">
        <f>B51/B52-1</f>
        <v>0.51008064516129026</v>
      </c>
      <c r="C53" s="34" t="s">
        <v>3</v>
      </c>
    </row>
    <row r="54" spans="1:3">
      <c r="A54" s="33" t="s">
        <v>81</v>
      </c>
      <c r="B54" s="25">
        <v>3780</v>
      </c>
      <c r="C54" s="34" t="s">
        <v>3</v>
      </c>
    </row>
    <row r="55" spans="1:3">
      <c r="A55" s="33" t="s">
        <v>84</v>
      </c>
      <c r="B55" s="25">
        <v>3420</v>
      </c>
      <c r="C55" s="34" t="s">
        <v>3</v>
      </c>
    </row>
    <row r="56" spans="1:3">
      <c r="A56" s="33" t="s">
        <v>86</v>
      </c>
      <c r="B56" s="25">
        <v>3285</v>
      </c>
      <c r="C56" s="34" t="s">
        <v>3</v>
      </c>
    </row>
    <row r="57" spans="1:3">
      <c r="A57" s="33" t="s">
        <v>113</v>
      </c>
      <c r="B57" s="26">
        <v>0.45999999999999996</v>
      </c>
      <c r="C57" s="34" t="s">
        <v>3</v>
      </c>
    </row>
    <row r="58" spans="1:3">
      <c r="A58" s="33" t="s">
        <v>91</v>
      </c>
      <c r="B58" s="27">
        <v>0.22585233631027646</v>
      </c>
      <c r="C58" s="34" t="s">
        <v>3</v>
      </c>
    </row>
    <row r="59" spans="1:3" ht="15" thickBot="1">
      <c r="A59" s="35" t="s">
        <v>93</v>
      </c>
      <c r="B59" s="36" t="s">
        <v>114</v>
      </c>
      <c r="C59" s="39" t="s">
        <v>3</v>
      </c>
    </row>
    <row r="61" spans="1:3" ht="15" thickBot="1">
      <c r="A61" s="37" t="s">
        <v>3</v>
      </c>
      <c r="B61" s="37" t="s">
        <v>4</v>
      </c>
      <c r="C61" s="37" t="s">
        <v>5</v>
      </c>
    </row>
    <row r="62" spans="1:3">
      <c r="A62" s="30" t="s">
        <v>2</v>
      </c>
      <c r="B62" s="38" t="s">
        <v>14</v>
      </c>
      <c r="C62" s="32" t="s">
        <v>28</v>
      </c>
    </row>
    <row r="63" spans="1:3">
      <c r="A63" s="33" t="s">
        <v>31</v>
      </c>
      <c r="B63" s="23" t="s">
        <v>32</v>
      </c>
      <c r="C63" s="34" t="s">
        <v>28</v>
      </c>
    </row>
    <row r="64" spans="1:3" ht="15" thickBot="1">
      <c r="A64" s="35" t="s">
        <v>34</v>
      </c>
      <c r="B64" s="36" t="s">
        <v>7</v>
      </c>
      <c r="C64" s="39" t="s">
        <v>28</v>
      </c>
    </row>
    <row r="65" spans="1:3">
      <c r="A65" s="43" t="s">
        <v>37</v>
      </c>
      <c r="B65" s="31" t="s">
        <v>115</v>
      </c>
      <c r="C65" s="44" t="s">
        <v>10</v>
      </c>
    </row>
    <row r="66" spans="1:3">
      <c r="A66" s="33" t="s">
        <v>41</v>
      </c>
      <c r="B66" s="26" t="s">
        <v>116</v>
      </c>
      <c r="C66" s="45" t="s">
        <v>10</v>
      </c>
    </row>
    <row r="67" spans="1:3">
      <c r="A67" s="47" t="s">
        <v>44</v>
      </c>
      <c r="B67" s="28" t="s">
        <v>117</v>
      </c>
      <c r="C67" s="45" t="s">
        <v>10</v>
      </c>
    </row>
    <row r="68" spans="1:3">
      <c r="A68" s="33" t="s">
        <v>47</v>
      </c>
      <c r="B68" s="26" t="s">
        <v>118</v>
      </c>
      <c r="C68" s="45" t="s">
        <v>10</v>
      </c>
    </row>
    <row r="69" spans="1:3">
      <c r="A69" s="33" t="s">
        <v>51</v>
      </c>
      <c r="B69" s="23" t="s">
        <v>119</v>
      </c>
      <c r="C69" s="45" t="s">
        <v>10</v>
      </c>
    </row>
    <row r="70" spans="1:3">
      <c r="A70" s="33" t="s">
        <v>54</v>
      </c>
      <c r="B70" s="23" t="s">
        <v>120</v>
      </c>
      <c r="C70" s="45" t="s">
        <v>10</v>
      </c>
    </row>
    <row r="71" spans="1:3" ht="29.45" thickBot="1">
      <c r="A71" s="53" t="s">
        <v>49</v>
      </c>
      <c r="B71" s="52" t="s">
        <v>121</v>
      </c>
      <c r="C71" s="46" t="s">
        <v>10</v>
      </c>
    </row>
    <row r="72" spans="1:3">
      <c r="A72" s="30" t="s">
        <v>60</v>
      </c>
      <c r="B72" s="38" t="s">
        <v>122</v>
      </c>
      <c r="C72" s="32" t="s">
        <v>3</v>
      </c>
    </row>
    <row r="73" spans="1:3">
      <c r="A73" s="40" t="s">
        <v>63</v>
      </c>
      <c r="B73" s="29">
        <v>11700</v>
      </c>
      <c r="C73" s="41" t="s">
        <v>3</v>
      </c>
    </row>
    <row r="74" spans="1:3">
      <c r="A74" s="40" t="s">
        <v>65</v>
      </c>
      <c r="B74" s="29">
        <v>14850</v>
      </c>
      <c r="C74" s="41" t="s">
        <v>3</v>
      </c>
    </row>
    <row r="75" spans="1:3">
      <c r="A75" s="40" t="s">
        <v>67</v>
      </c>
      <c r="B75" s="42">
        <f>B74/B73-1</f>
        <v>0.26923076923076916</v>
      </c>
      <c r="C75" s="41" t="s">
        <v>3</v>
      </c>
    </row>
    <row r="76" spans="1:3">
      <c r="A76" s="33" t="s">
        <v>70</v>
      </c>
      <c r="B76" s="23" t="s">
        <v>123</v>
      </c>
      <c r="C76" s="34" t="s">
        <v>3</v>
      </c>
    </row>
    <row r="77" spans="1:3">
      <c r="A77" s="33" t="s">
        <v>73</v>
      </c>
      <c r="B77" s="25">
        <v>41445</v>
      </c>
      <c r="C77" s="34" t="s">
        <v>3</v>
      </c>
    </row>
    <row r="78" spans="1:3">
      <c r="A78" s="33" t="s">
        <v>76</v>
      </c>
      <c r="B78" s="25">
        <v>29025</v>
      </c>
      <c r="C78" s="34" t="s">
        <v>3</v>
      </c>
    </row>
    <row r="79" spans="1:3">
      <c r="A79" s="33" t="s">
        <v>79</v>
      </c>
      <c r="B79" s="26">
        <f>B77/B78-1</f>
        <v>0.4279069767441861</v>
      </c>
      <c r="C79" s="34" t="s">
        <v>3</v>
      </c>
    </row>
    <row r="80" spans="1:3">
      <c r="A80" s="33" t="s">
        <v>81</v>
      </c>
      <c r="B80" s="25">
        <v>4728.75</v>
      </c>
      <c r="C80" s="34" t="s">
        <v>3</v>
      </c>
    </row>
    <row r="81" spans="1:3">
      <c r="A81" s="33" t="s">
        <v>84</v>
      </c>
      <c r="B81" s="25">
        <v>4875</v>
      </c>
      <c r="C81" s="34" t="s">
        <v>3</v>
      </c>
    </row>
    <row r="82" spans="1:3">
      <c r="A82" s="33" t="s">
        <v>86</v>
      </c>
      <c r="B82" s="25">
        <v>3120</v>
      </c>
      <c r="C82" s="34" t="s">
        <v>3</v>
      </c>
    </row>
    <row r="83" spans="1:3">
      <c r="A83" s="33" t="s">
        <v>113</v>
      </c>
      <c r="B83" s="26">
        <v>-0.13692946058091282</v>
      </c>
      <c r="C83" s="34" t="s">
        <v>3</v>
      </c>
    </row>
    <row r="84" spans="1:3">
      <c r="A84" s="33" t="s">
        <v>91</v>
      </c>
      <c r="B84" s="27">
        <v>0.22585233631027646</v>
      </c>
      <c r="C84" s="34" t="s">
        <v>3</v>
      </c>
    </row>
    <row r="85" spans="1:3" ht="15" thickBot="1">
      <c r="A85" s="35" t="s">
        <v>93</v>
      </c>
      <c r="B85" s="36" t="s">
        <v>124</v>
      </c>
      <c r="C85" s="39" t="s">
        <v>3</v>
      </c>
    </row>
    <row r="87" spans="1:3" ht="15" thickBot="1">
      <c r="A87" s="37" t="s">
        <v>3</v>
      </c>
      <c r="B87" s="37" t="s">
        <v>4</v>
      </c>
      <c r="C87" s="37" t="s">
        <v>5</v>
      </c>
    </row>
    <row r="88" spans="1:3">
      <c r="A88" s="30" t="s">
        <v>2</v>
      </c>
      <c r="B88" s="38" t="s">
        <v>17</v>
      </c>
      <c r="C88" s="32" t="s">
        <v>28</v>
      </c>
    </row>
    <row r="89" spans="1:3">
      <c r="A89" s="33" t="s">
        <v>31</v>
      </c>
      <c r="B89" s="23" t="s">
        <v>32</v>
      </c>
      <c r="C89" s="34" t="s">
        <v>28</v>
      </c>
    </row>
    <row r="90" spans="1:3" ht="15" thickBot="1">
      <c r="A90" s="35" t="s">
        <v>34</v>
      </c>
      <c r="B90" s="36" t="s">
        <v>7</v>
      </c>
      <c r="C90" s="39" t="s">
        <v>28</v>
      </c>
    </row>
    <row r="91" spans="1:3" ht="29.1">
      <c r="A91" s="43" t="s">
        <v>37</v>
      </c>
      <c r="B91" s="31" t="s">
        <v>125</v>
      </c>
      <c r="C91" s="44" t="s">
        <v>10</v>
      </c>
    </row>
    <row r="92" spans="1:3">
      <c r="A92" s="33" t="s">
        <v>41</v>
      </c>
      <c r="B92" s="26"/>
      <c r="C92" s="45" t="s">
        <v>10</v>
      </c>
    </row>
    <row r="93" spans="1:3">
      <c r="A93" s="47" t="s">
        <v>44</v>
      </c>
      <c r="B93" s="28"/>
      <c r="C93" s="45" t="s">
        <v>10</v>
      </c>
    </row>
    <row r="94" spans="1:3">
      <c r="A94" s="33" t="s">
        <v>47</v>
      </c>
      <c r="B94" s="26" t="s">
        <v>126</v>
      </c>
      <c r="C94" s="45" t="s">
        <v>10</v>
      </c>
    </row>
    <row r="95" spans="1:3">
      <c r="A95" s="33" t="s">
        <v>51</v>
      </c>
      <c r="B95" s="23"/>
      <c r="C95" s="45" t="s">
        <v>10</v>
      </c>
    </row>
    <row r="96" spans="1:3">
      <c r="A96" s="33" t="s">
        <v>54</v>
      </c>
      <c r="B96" s="23" t="s">
        <v>127</v>
      </c>
      <c r="C96" s="45" t="s">
        <v>10</v>
      </c>
    </row>
    <row r="97" spans="1:3" ht="15" thickBot="1">
      <c r="A97" s="53" t="s">
        <v>49</v>
      </c>
      <c r="B97" s="52" t="s">
        <v>128</v>
      </c>
      <c r="C97" s="46" t="s">
        <v>10</v>
      </c>
    </row>
    <row r="98" spans="1:3">
      <c r="A98" s="30" t="s">
        <v>60</v>
      </c>
      <c r="B98" s="38" t="s">
        <v>129</v>
      </c>
      <c r="C98" s="32" t="s">
        <v>3</v>
      </c>
    </row>
    <row r="99" spans="1:3">
      <c r="A99" s="40" t="s">
        <v>63</v>
      </c>
      <c r="B99" s="29">
        <v>37169.910000000003</v>
      </c>
      <c r="C99" s="41" t="s">
        <v>3</v>
      </c>
    </row>
    <row r="100" spans="1:3">
      <c r="A100" s="40" t="s">
        <v>65</v>
      </c>
      <c r="B100" s="29">
        <v>26195.940000000002</v>
      </c>
      <c r="C100" s="41" t="s">
        <v>3</v>
      </c>
    </row>
    <row r="101" spans="1:3">
      <c r="A101" s="40" t="s">
        <v>67</v>
      </c>
      <c r="B101" s="42">
        <f>B100/B99-1</f>
        <v>-0.29523800299758596</v>
      </c>
      <c r="C101" s="41" t="s">
        <v>3</v>
      </c>
    </row>
    <row r="102" spans="1:3">
      <c r="A102" s="33" t="s">
        <v>70</v>
      </c>
      <c r="B102" s="23" t="s">
        <v>130</v>
      </c>
      <c r="C102" s="34" t="s">
        <v>3</v>
      </c>
    </row>
    <row r="103" spans="1:3">
      <c r="A103" s="33" t="s">
        <v>73</v>
      </c>
      <c r="B103" s="25">
        <v>76080.12999999999</v>
      </c>
      <c r="C103" s="34" t="s">
        <v>3</v>
      </c>
    </row>
    <row r="104" spans="1:3">
      <c r="A104" s="33" t="s">
        <v>76</v>
      </c>
      <c r="B104" s="25">
        <v>93222.489999999991</v>
      </c>
      <c r="C104" s="34" t="s">
        <v>3</v>
      </c>
    </row>
    <row r="105" spans="1:3">
      <c r="A105" s="33" t="s">
        <v>79</v>
      </c>
      <c r="B105" s="26">
        <f>B103/B104-1</f>
        <v>-0.18388652781104653</v>
      </c>
      <c r="C105" s="34" t="s">
        <v>3</v>
      </c>
    </row>
    <row r="106" spans="1:3">
      <c r="A106" s="33" t="s">
        <v>81</v>
      </c>
      <c r="B106" s="25">
        <v>8186.5924999999988</v>
      </c>
      <c r="C106" s="34" t="s">
        <v>3</v>
      </c>
    </row>
    <row r="107" spans="1:3">
      <c r="A107" s="33" t="s">
        <v>84</v>
      </c>
      <c r="B107" s="25">
        <v>6644.6549999999997</v>
      </c>
      <c r="C107" s="34" t="s">
        <v>3</v>
      </c>
    </row>
    <row r="108" spans="1:3">
      <c r="A108" s="33" t="s">
        <v>86</v>
      </c>
      <c r="B108" s="25">
        <v>3958.83</v>
      </c>
      <c r="C108" s="34" t="s">
        <v>3</v>
      </c>
    </row>
    <row r="109" spans="1:3">
      <c r="A109" s="33" t="s">
        <v>113</v>
      </c>
      <c r="B109" s="26">
        <v>2.1477141564560265E-2</v>
      </c>
      <c r="C109" s="34" t="s">
        <v>3</v>
      </c>
    </row>
    <row r="110" spans="1:3">
      <c r="A110" s="33" t="s">
        <v>91</v>
      </c>
      <c r="B110" s="27">
        <v>-0.31256697272064604</v>
      </c>
      <c r="C110" s="34" t="s">
        <v>3</v>
      </c>
    </row>
    <row r="111" spans="1:3" ht="15" thickBot="1">
      <c r="A111" s="35" t="s">
        <v>93</v>
      </c>
      <c r="B111" s="36" t="s">
        <v>131</v>
      </c>
      <c r="C111" s="39" t="s">
        <v>3</v>
      </c>
    </row>
  </sheetData>
  <autoFilter ref="G1:J41" xr:uid="{C3D84C92-EB2E-485B-9374-FAF669B600B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CC4C3-1050-45C0-9AB9-03154240D80A}">
  <dimension ref="A1:D40"/>
  <sheetViews>
    <sheetView tabSelected="1" workbookViewId="0"/>
  </sheetViews>
  <sheetFormatPr defaultRowHeight="14.45"/>
  <cols>
    <col min="1" max="1" width="21.42578125" bestFit="1" customWidth="1"/>
    <col min="2" max="2" width="33.28515625" customWidth="1"/>
    <col min="3" max="3" width="43.140625" customWidth="1"/>
    <col min="4" max="4" width="12.140625" customWidth="1"/>
  </cols>
  <sheetData>
    <row r="1" spans="1:4">
      <c r="A1" s="56" t="s">
        <v>2</v>
      </c>
      <c r="B1" s="56" t="s">
        <v>3</v>
      </c>
      <c r="C1" s="56" t="s">
        <v>4</v>
      </c>
      <c r="D1" s="56" t="s">
        <v>5</v>
      </c>
    </row>
    <row r="2" spans="1:4">
      <c r="A2" s="23" t="s">
        <v>6</v>
      </c>
      <c r="B2" s="23" t="s">
        <v>8</v>
      </c>
      <c r="C2" s="23" t="s">
        <v>9</v>
      </c>
      <c r="D2" s="23" t="s">
        <v>10</v>
      </c>
    </row>
    <row r="3" spans="1:4">
      <c r="A3" s="23" t="s">
        <v>6</v>
      </c>
      <c r="B3" s="23" t="s">
        <v>12</v>
      </c>
      <c r="C3" s="8" t="s">
        <v>13</v>
      </c>
      <c r="D3" s="23" t="s">
        <v>10</v>
      </c>
    </row>
    <row r="4" spans="1:4">
      <c r="A4" s="23" t="s">
        <v>6</v>
      </c>
      <c r="B4" s="23" t="s">
        <v>15</v>
      </c>
      <c r="C4" s="8" t="s">
        <v>16</v>
      </c>
      <c r="D4" s="23" t="s">
        <v>10</v>
      </c>
    </row>
    <row r="5" spans="1:4">
      <c r="A5" s="23" t="s">
        <v>6</v>
      </c>
      <c r="B5" s="23" t="s">
        <v>18</v>
      </c>
      <c r="C5" s="8" t="s">
        <v>19</v>
      </c>
      <c r="D5" s="23" t="s">
        <v>10</v>
      </c>
    </row>
    <row r="6" spans="1:4">
      <c r="A6" s="23" t="s">
        <v>6</v>
      </c>
      <c r="B6" s="23" t="s">
        <v>20</v>
      </c>
      <c r="C6" s="8" t="s">
        <v>21</v>
      </c>
      <c r="D6" s="23" t="s">
        <v>10</v>
      </c>
    </row>
    <row r="7" spans="1:4">
      <c r="A7" s="23" t="s">
        <v>6</v>
      </c>
      <c r="B7" s="23" t="s">
        <v>22</v>
      </c>
      <c r="C7" s="8" t="s">
        <v>23</v>
      </c>
      <c r="D7" s="23" t="s">
        <v>3</v>
      </c>
    </row>
    <row r="8" spans="1:4">
      <c r="A8" s="23" t="s">
        <v>6</v>
      </c>
      <c r="B8" s="23" t="s">
        <v>24</v>
      </c>
      <c r="C8" s="8" t="s">
        <v>25</v>
      </c>
      <c r="D8" s="23" t="s">
        <v>3</v>
      </c>
    </row>
    <row r="9" spans="1:4">
      <c r="A9" s="23" t="s">
        <v>6</v>
      </c>
      <c r="B9" s="23" t="s">
        <v>26</v>
      </c>
      <c r="C9" s="8" t="s">
        <v>27</v>
      </c>
      <c r="D9" s="23" t="s">
        <v>3</v>
      </c>
    </row>
    <row r="10" spans="1:4">
      <c r="A10" s="23" t="s">
        <v>6</v>
      </c>
      <c r="B10" s="23" t="s">
        <v>29</v>
      </c>
      <c r="C10" s="8" t="s">
        <v>30</v>
      </c>
      <c r="D10" s="23" t="s">
        <v>3</v>
      </c>
    </row>
    <row r="11" spans="1:4">
      <c r="A11" s="23" t="s">
        <v>6</v>
      </c>
      <c r="B11" s="23" t="s">
        <v>29</v>
      </c>
      <c r="C11" s="8" t="s">
        <v>33</v>
      </c>
      <c r="D11" s="23" t="s">
        <v>3</v>
      </c>
    </row>
    <row r="12" spans="1:4">
      <c r="A12" s="23" t="s">
        <v>11</v>
      </c>
      <c r="B12" s="23" t="s">
        <v>35</v>
      </c>
      <c r="C12" s="8" t="s">
        <v>36</v>
      </c>
      <c r="D12" s="23" t="s">
        <v>10</v>
      </c>
    </row>
    <row r="13" spans="1:4">
      <c r="A13" s="23" t="s">
        <v>11</v>
      </c>
      <c r="B13" s="23" t="s">
        <v>39</v>
      </c>
      <c r="C13" s="8" t="s">
        <v>40</v>
      </c>
      <c r="D13" s="23" t="s">
        <v>10</v>
      </c>
    </row>
    <row r="14" spans="1:4">
      <c r="A14" s="23" t="s">
        <v>11</v>
      </c>
      <c r="B14" s="23" t="s">
        <v>39</v>
      </c>
      <c r="C14" s="8" t="s">
        <v>43</v>
      </c>
      <c r="D14" s="23" t="s">
        <v>10</v>
      </c>
    </row>
    <row r="15" spans="1:4">
      <c r="A15" s="23" t="s">
        <v>11</v>
      </c>
      <c r="B15" s="23" t="s">
        <v>15</v>
      </c>
      <c r="C15" s="8" t="s">
        <v>46</v>
      </c>
      <c r="D15" s="23" t="s">
        <v>10</v>
      </c>
    </row>
    <row r="16" spans="1:4">
      <c r="A16" s="23" t="s">
        <v>11</v>
      </c>
      <c r="B16" s="23" t="s">
        <v>49</v>
      </c>
      <c r="C16" s="8" t="s">
        <v>50</v>
      </c>
      <c r="D16" s="23" t="s">
        <v>10</v>
      </c>
    </row>
    <row r="17" spans="1:4">
      <c r="A17" s="23" t="s">
        <v>11</v>
      </c>
      <c r="B17" s="23" t="s">
        <v>22</v>
      </c>
      <c r="C17" s="8" t="s">
        <v>53</v>
      </c>
      <c r="D17" s="23" t="s">
        <v>3</v>
      </c>
    </row>
    <row r="18" spans="1:4">
      <c r="A18" s="23" t="s">
        <v>11</v>
      </c>
      <c r="B18" s="23" t="s">
        <v>18</v>
      </c>
      <c r="C18" s="8" t="s">
        <v>56</v>
      </c>
      <c r="D18" s="23" t="s">
        <v>3</v>
      </c>
    </row>
    <row r="19" spans="1:4">
      <c r="A19" s="23" t="s">
        <v>11</v>
      </c>
      <c r="B19" s="23" t="s">
        <v>58</v>
      </c>
      <c r="C19" s="8" t="s">
        <v>59</v>
      </c>
      <c r="D19" s="23" t="s">
        <v>3</v>
      </c>
    </row>
    <row r="20" spans="1:4">
      <c r="A20" s="23" t="s">
        <v>11</v>
      </c>
      <c r="B20" s="23" t="s">
        <v>58</v>
      </c>
      <c r="C20" s="8" t="s">
        <v>62</v>
      </c>
      <c r="D20" s="23" t="s">
        <v>3</v>
      </c>
    </row>
    <row r="21" spans="1:4">
      <c r="A21" s="23" t="s">
        <v>11</v>
      </c>
      <c r="B21" s="23" t="s">
        <v>29</v>
      </c>
      <c r="C21" s="8" t="s">
        <v>64</v>
      </c>
      <c r="D21" s="23" t="s">
        <v>3</v>
      </c>
    </row>
    <row r="22" spans="1:4">
      <c r="A22" s="23" t="s">
        <v>14</v>
      </c>
      <c r="B22" s="23" t="s">
        <v>37</v>
      </c>
      <c r="C22" s="8" t="s">
        <v>66</v>
      </c>
      <c r="D22" s="23" t="s">
        <v>10</v>
      </c>
    </row>
    <row r="23" spans="1:4">
      <c r="A23" s="23" t="s">
        <v>14</v>
      </c>
      <c r="B23" s="23" t="s">
        <v>68</v>
      </c>
      <c r="C23" s="8" t="s">
        <v>69</v>
      </c>
      <c r="D23" s="23" t="s">
        <v>10</v>
      </c>
    </row>
    <row r="24" spans="1:4">
      <c r="A24" s="23" t="s">
        <v>14</v>
      </c>
      <c r="B24" s="23" t="s">
        <v>12</v>
      </c>
      <c r="C24" s="8" t="s">
        <v>72</v>
      </c>
      <c r="D24" s="23" t="s">
        <v>10</v>
      </c>
    </row>
    <row r="25" spans="1:4">
      <c r="A25" s="23" t="s">
        <v>14</v>
      </c>
      <c r="B25" s="23" t="s">
        <v>74</v>
      </c>
      <c r="C25" s="8" t="s">
        <v>75</v>
      </c>
      <c r="D25" s="23" t="s">
        <v>10</v>
      </c>
    </row>
    <row r="26" spans="1:4">
      <c r="A26" s="23" t="s">
        <v>14</v>
      </c>
      <c r="B26" s="23" t="s">
        <v>77</v>
      </c>
      <c r="C26" s="8" t="s">
        <v>78</v>
      </c>
      <c r="D26" s="23" t="s">
        <v>10</v>
      </c>
    </row>
    <row r="27" spans="1:4">
      <c r="A27" s="23" t="s">
        <v>14</v>
      </c>
      <c r="B27" s="23" t="s">
        <v>49</v>
      </c>
      <c r="C27" s="8" t="s">
        <v>80</v>
      </c>
      <c r="D27" s="23" t="s">
        <v>10</v>
      </c>
    </row>
    <row r="28" spans="1:4">
      <c r="A28" s="23" t="s">
        <v>14</v>
      </c>
      <c r="B28" s="23" t="s">
        <v>82</v>
      </c>
      <c r="C28" s="8" t="s">
        <v>83</v>
      </c>
      <c r="D28" s="23" t="s">
        <v>3</v>
      </c>
    </row>
    <row r="29" spans="1:4">
      <c r="A29" s="23" t="s">
        <v>14</v>
      </c>
      <c r="B29" s="23" t="s">
        <v>82</v>
      </c>
      <c r="C29" s="8" t="s">
        <v>85</v>
      </c>
      <c r="D29" s="23" t="s">
        <v>3</v>
      </c>
    </row>
    <row r="30" spans="1:4">
      <c r="A30" s="23" t="s">
        <v>14</v>
      </c>
      <c r="B30" s="23" t="s">
        <v>87</v>
      </c>
      <c r="C30" s="8" t="s">
        <v>88</v>
      </c>
      <c r="D30" s="23" t="s">
        <v>3</v>
      </c>
    </row>
    <row r="31" spans="1:4">
      <c r="A31" s="23" t="s">
        <v>14</v>
      </c>
      <c r="B31" s="23" t="s">
        <v>87</v>
      </c>
      <c r="C31" s="8" t="s">
        <v>90</v>
      </c>
      <c r="D31" s="23" t="s">
        <v>3</v>
      </c>
    </row>
    <row r="32" spans="1:4">
      <c r="A32" s="23" t="s">
        <v>14</v>
      </c>
      <c r="B32" s="23" t="s">
        <v>58</v>
      </c>
      <c r="C32" s="8" t="s">
        <v>92</v>
      </c>
      <c r="D32" s="23" t="s">
        <v>3</v>
      </c>
    </row>
    <row r="33" spans="1:4">
      <c r="A33" s="23" t="s">
        <v>14</v>
      </c>
      <c r="B33" s="23" t="s">
        <v>58</v>
      </c>
      <c r="C33" s="8" t="s">
        <v>95</v>
      </c>
      <c r="D33" s="23" t="s">
        <v>3</v>
      </c>
    </row>
    <row r="34" spans="1:4">
      <c r="A34" s="23" t="s">
        <v>17</v>
      </c>
      <c r="B34" s="23" t="s">
        <v>37</v>
      </c>
      <c r="C34" s="8" t="s">
        <v>96</v>
      </c>
      <c r="D34" s="23" t="s">
        <v>10</v>
      </c>
    </row>
    <row r="35" spans="1:4">
      <c r="A35" s="23" t="s">
        <v>17</v>
      </c>
      <c r="B35" s="23" t="s">
        <v>12</v>
      </c>
      <c r="C35" s="8" t="s">
        <v>97</v>
      </c>
      <c r="D35" s="23" t="s">
        <v>10</v>
      </c>
    </row>
    <row r="36" spans="1:4">
      <c r="A36" s="23" t="s">
        <v>17</v>
      </c>
      <c r="B36" s="23" t="s">
        <v>77</v>
      </c>
      <c r="C36" s="8" t="s">
        <v>98</v>
      </c>
      <c r="D36" s="23" t="s">
        <v>10</v>
      </c>
    </row>
    <row r="37" spans="1:4">
      <c r="A37" s="23" t="s">
        <v>17</v>
      </c>
      <c r="B37" s="23" t="s">
        <v>99</v>
      </c>
      <c r="C37" s="8" t="s">
        <v>100</v>
      </c>
      <c r="D37" s="23" t="s">
        <v>3</v>
      </c>
    </row>
    <row r="38" spans="1:4">
      <c r="A38" s="23" t="s">
        <v>17</v>
      </c>
      <c r="B38" s="23" t="s">
        <v>101</v>
      </c>
      <c r="C38" s="8" t="s">
        <v>102</v>
      </c>
      <c r="D38" s="23" t="s">
        <v>3</v>
      </c>
    </row>
    <row r="39" spans="1:4">
      <c r="A39" s="23" t="s">
        <v>17</v>
      </c>
      <c r="B39" s="23" t="s">
        <v>58</v>
      </c>
      <c r="C39" s="8" t="s">
        <v>103</v>
      </c>
      <c r="D39" s="23" t="s">
        <v>3</v>
      </c>
    </row>
    <row r="40" spans="1:4">
      <c r="A40" s="23" t="s">
        <v>17</v>
      </c>
      <c r="B40" s="23" t="s">
        <v>58</v>
      </c>
      <c r="C40" s="8" t="s">
        <v>105</v>
      </c>
      <c r="D40" s="23"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7B5D-9A63-4E29-AB42-99DB9D3EB4FE}">
  <dimension ref="A1:AH48"/>
  <sheetViews>
    <sheetView topLeftCell="B1" zoomScale="58" zoomScaleNormal="80" workbookViewId="0">
      <selection activeCell="B1" sqref="B1"/>
    </sheetView>
  </sheetViews>
  <sheetFormatPr defaultRowHeight="14.45"/>
  <cols>
    <col min="1" max="1" width="10.7109375" bestFit="1" customWidth="1"/>
    <col min="2" max="2" width="25.140625" bestFit="1" customWidth="1"/>
    <col min="3" max="3" width="12.42578125" bestFit="1" customWidth="1"/>
    <col min="4" max="4" width="14.5703125" bestFit="1" customWidth="1"/>
    <col min="5" max="5" width="12.42578125" bestFit="1" customWidth="1"/>
    <col min="6" max="6" width="21.7109375" bestFit="1" customWidth="1"/>
    <col min="7" max="7" width="11.140625" bestFit="1" customWidth="1"/>
    <col min="8" max="8" width="12.42578125" bestFit="1" customWidth="1"/>
    <col min="9" max="11" width="25.140625" bestFit="1" customWidth="1"/>
    <col min="12" max="12" width="13.140625" bestFit="1" customWidth="1"/>
    <col min="13" max="14" width="23.5703125" bestFit="1" customWidth="1"/>
    <col min="15" max="15" width="17.85546875" bestFit="1" customWidth="1"/>
    <col min="16" max="16" width="19.5703125" bestFit="1" customWidth="1"/>
    <col min="22" max="22" width="20.42578125" bestFit="1" customWidth="1"/>
  </cols>
  <sheetData>
    <row r="1" spans="1:34">
      <c r="A1" s="16" t="s">
        <v>132</v>
      </c>
      <c r="B1" t="s">
        <v>17</v>
      </c>
      <c r="H1" s="16" t="s">
        <v>132</v>
      </c>
      <c r="I1" t="s">
        <v>17</v>
      </c>
      <c r="N1" t="s">
        <v>6</v>
      </c>
      <c r="O1" t="s">
        <v>133</v>
      </c>
      <c r="V1" t="s">
        <v>0</v>
      </c>
      <c r="W1" t="s">
        <v>1</v>
      </c>
      <c r="X1" t="s">
        <v>134</v>
      </c>
      <c r="Y1" t="s">
        <v>68</v>
      </c>
      <c r="Z1" t="s">
        <v>70</v>
      </c>
      <c r="AA1" t="s">
        <v>135</v>
      </c>
      <c r="AB1" t="s">
        <v>136</v>
      </c>
      <c r="AC1" t="s">
        <v>51</v>
      </c>
      <c r="AD1" t="s">
        <v>137</v>
      </c>
      <c r="AE1" t="s">
        <v>138</v>
      </c>
      <c r="AF1" t="s">
        <v>139</v>
      </c>
      <c r="AG1" t="s">
        <v>140</v>
      </c>
    </row>
    <row r="2" spans="1:34">
      <c r="N2" t="s">
        <v>11</v>
      </c>
      <c r="O2" t="s">
        <v>141</v>
      </c>
      <c r="V2" t="s">
        <v>6</v>
      </c>
      <c r="W2" t="s">
        <v>7</v>
      </c>
      <c r="X2" t="s">
        <v>61</v>
      </c>
      <c r="Y2" t="s">
        <v>142</v>
      </c>
      <c r="Z2" t="s">
        <v>7</v>
      </c>
      <c r="AA2" t="s">
        <v>7</v>
      </c>
      <c r="AB2" t="s">
        <v>7</v>
      </c>
      <c r="AC2" t="s">
        <v>142</v>
      </c>
      <c r="AD2" t="s">
        <v>7</v>
      </c>
      <c r="AE2" t="s">
        <v>7</v>
      </c>
      <c r="AF2" t="s">
        <v>7</v>
      </c>
      <c r="AG2" t="s">
        <v>142</v>
      </c>
    </row>
    <row r="3" spans="1:34">
      <c r="C3" s="16" t="s">
        <v>143</v>
      </c>
      <c r="H3" s="16" t="s">
        <v>144</v>
      </c>
      <c r="I3" s="16" t="s">
        <v>145</v>
      </c>
      <c r="N3" t="s">
        <v>14</v>
      </c>
      <c r="O3" t="s">
        <v>146</v>
      </c>
      <c r="V3" t="s">
        <v>11</v>
      </c>
      <c r="W3" t="s">
        <v>7</v>
      </c>
      <c r="X3" t="s">
        <v>147</v>
      </c>
      <c r="Y3" t="s">
        <v>7</v>
      </c>
      <c r="Z3" t="s">
        <v>7</v>
      </c>
      <c r="AA3" t="s">
        <v>7</v>
      </c>
      <c r="AB3" t="s">
        <v>7</v>
      </c>
      <c r="AC3" t="s">
        <v>142</v>
      </c>
      <c r="AD3" t="s">
        <v>7</v>
      </c>
      <c r="AE3" t="s">
        <v>7</v>
      </c>
      <c r="AF3" t="s">
        <v>7</v>
      </c>
      <c r="AG3" t="s">
        <v>7</v>
      </c>
    </row>
    <row r="4" spans="1:34">
      <c r="A4" s="16" t="s">
        <v>145</v>
      </c>
      <c r="B4" s="16" t="s">
        <v>148</v>
      </c>
      <c r="C4" t="s">
        <v>144</v>
      </c>
      <c r="D4" t="s">
        <v>149</v>
      </c>
      <c r="E4" t="s">
        <v>150</v>
      </c>
      <c r="H4" s="16" t="s">
        <v>148</v>
      </c>
      <c r="I4" t="s">
        <v>151</v>
      </c>
      <c r="J4" t="s">
        <v>152</v>
      </c>
      <c r="K4" t="s">
        <v>153</v>
      </c>
      <c r="L4" t="s">
        <v>154</v>
      </c>
      <c r="N4" t="s">
        <v>17</v>
      </c>
      <c r="O4" t="s">
        <v>155</v>
      </c>
      <c r="Q4" s="16"/>
      <c r="R4" s="16"/>
      <c r="S4" s="16"/>
      <c r="T4" s="16"/>
      <c r="U4" s="16"/>
      <c r="V4" s="16" t="s">
        <v>14</v>
      </c>
      <c r="W4" s="16" t="s">
        <v>7</v>
      </c>
      <c r="X4" s="16" t="s">
        <v>156</v>
      </c>
      <c r="Y4" s="16" t="s">
        <v>7</v>
      </c>
      <c r="Z4" s="16" t="s">
        <v>7</v>
      </c>
      <c r="AA4" s="16" t="s">
        <v>7</v>
      </c>
      <c r="AB4" s="16" t="s">
        <v>7</v>
      </c>
      <c r="AC4" s="16" t="s">
        <v>7</v>
      </c>
      <c r="AD4" s="16" t="s">
        <v>7</v>
      </c>
      <c r="AE4" s="16" t="s">
        <v>7</v>
      </c>
      <c r="AF4" s="16" t="s">
        <v>7</v>
      </c>
      <c r="AG4" s="16" t="s">
        <v>7</v>
      </c>
      <c r="AH4" s="16"/>
    </row>
    <row r="5" spans="1:34">
      <c r="A5" t="s">
        <v>151</v>
      </c>
      <c r="B5" s="17" t="s">
        <v>157</v>
      </c>
      <c r="C5" s="22">
        <v>7712.55</v>
      </c>
      <c r="D5" s="22"/>
      <c r="E5" s="22">
        <v>7584.7856392799904</v>
      </c>
      <c r="H5" s="17" t="s">
        <v>157</v>
      </c>
      <c r="I5">
        <v>7712.55</v>
      </c>
      <c r="J5">
        <v>9506.25</v>
      </c>
      <c r="K5">
        <v>9573.7099999999991</v>
      </c>
      <c r="L5">
        <v>26792.51</v>
      </c>
      <c r="V5" t="s">
        <v>17</v>
      </c>
      <c r="W5" t="s">
        <v>7</v>
      </c>
      <c r="X5" t="s">
        <v>158</v>
      </c>
      <c r="Y5" t="s">
        <v>142</v>
      </c>
      <c r="Z5" t="s">
        <v>7</v>
      </c>
      <c r="AA5" t="s">
        <v>7</v>
      </c>
      <c r="AB5" t="s">
        <v>7</v>
      </c>
      <c r="AC5" t="s">
        <v>7</v>
      </c>
      <c r="AD5" t="s">
        <v>7</v>
      </c>
      <c r="AE5" t="s">
        <v>7</v>
      </c>
      <c r="AF5" t="s">
        <v>7</v>
      </c>
      <c r="AG5" t="s">
        <v>142</v>
      </c>
    </row>
    <row r="6" spans="1:34">
      <c r="B6" s="17" t="s">
        <v>159</v>
      </c>
      <c r="C6" s="22">
        <v>8065.8</v>
      </c>
      <c r="D6" s="22"/>
      <c r="E6" s="22">
        <v>7634.0929324203098</v>
      </c>
      <c r="H6" s="17" t="s">
        <v>159</v>
      </c>
      <c r="I6">
        <v>8065.8</v>
      </c>
      <c r="J6">
        <v>13063.05</v>
      </c>
      <c r="K6">
        <v>13461.95</v>
      </c>
      <c r="L6">
        <v>34590.800000000003</v>
      </c>
    </row>
    <row r="7" spans="1:34">
      <c r="B7" s="17" t="s">
        <v>160</v>
      </c>
      <c r="C7" s="22">
        <v>9999.4500000000007</v>
      </c>
      <c r="D7" s="22"/>
      <c r="E7" s="22">
        <v>7678.6285566402403</v>
      </c>
      <c r="H7" s="17" t="s">
        <v>160</v>
      </c>
      <c r="I7">
        <v>9999.4500000000007</v>
      </c>
      <c r="J7">
        <v>16371.27</v>
      </c>
      <c r="K7">
        <v>13176.54</v>
      </c>
      <c r="L7">
        <v>39547.26</v>
      </c>
    </row>
    <row r="8" spans="1:34">
      <c r="B8" s="17" t="s">
        <v>156</v>
      </c>
      <c r="C8" s="22">
        <v>6145.6184999999996</v>
      </c>
      <c r="D8" s="22"/>
      <c r="E8" s="22">
        <v>7727.9358516990096</v>
      </c>
      <c r="H8" s="17" t="s">
        <v>156</v>
      </c>
      <c r="I8">
        <v>6145.6184999999996</v>
      </c>
      <c r="J8">
        <v>20798.64</v>
      </c>
      <c r="K8">
        <v>13019.4</v>
      </c>
      <c r="L8">
        <v>39963.658499999998</v>
      </c>
    </row>
    <row r="9" spans="1:34">
      <c r="B9" s="17" t="s">
        <v>161</v>
      </c>
      <c r="C9" s="22">
        <v>14909.4</v>
      </c>
      <c r="D9" s="22"/>
      <c r="E9" s="22">
        <v>7775.6525960392701</v>
      </c>
      <c r="H9" s="17" t="s">
        <v>161</v>
      </c>
      <c r="I9">
        <v>14909.4</v>
      </c>
      <c r="J9">
        <v>12805.56</v>
      </c>
      <c r="K9">
        <v>10303.200000000001</v>
      </c>
      <c r="L9">
        <v>38018.160000000003</v>
      </c>
      <c r="M9">
        <v>2023</v>
      </c>
      <c r="N9" s="18">
        <f>SUM(J5:J13)</f>
        <v>93222.489999999991</v>
      </c>
    </row>
    <row r="10" spans="1:34">
      <c r="B10" s="17" t="s">
        <v>162</v>
      </c>
      <c r="C10" s="22">
        <v>5829.75</v>
      </c>
      <c r="D10" s="22"/>
      <c r="E10" s="22">
        <v>7824.9598911257799</v>
      </c>
      <c r="H10" s="17" t="s">
        <v>162</v>
      </c>
      <c r="I10">
        <v>5829.75</v>
      </c>
      <c r="J10">
        <v>9050.94</v>
      </c>
      <c r="K10">
        <v>4668.84</v>
      </c>
      <c r="L10">
        <v>19549.53</v>
      </c>
      <c r="M10">
        <v>2024</v>
      </c>
      <c r="N10" s="18">
        <f>SUM(K5:K13)</f>
        <v>76080.12999999999</v>
      </c>
    </row>
    <row r="11" spans="1:34">
      <c r="B11" s="17" t="s">
        <v>163</v>
      </c>
      <c r="C11" s="22">
        <v>2588.3910000000001</v>
      </c>
      <c r="D11" s="22"/>
      <c r="E11" s="22">
        <v>7872.6766237557704</v>
      </c>
      <c r="H11" s="17" t="s">
        <v>163</v>
      </c>
      <c r="I11">
        <v>2588.3910000000001</v>
      </c>
      <c r="J11">
        <v>2529.9</v>
      </c>
      <c r="K11">
        <v>1788.75</v>
      </c>
      <c r="L11">
        <v>6907.0410000000002</v>
      </c>
      <c r="M11" s="24" t="s">
        <v>81</v>
      </c>
      <c r="N11" s="18">
        <f>AVERAGE(K5:K13,J14:J16)</f>
        <v>8186.5924999999988</v>
      </c>
    </row>
    <row r="12" spans="1:34">
      <c r="B12" s="17" t="s">
        <v>164</v>
      </c>
      <c r="C12" s="22">
        <v>4711.95</v>
      </c>
      <c r="D12" s="22"/>
      <c r="E12" s="22">
        <v>7921.9839192754898</v>
      </c>
      <c r="H12" s="17" t="s">
        <v>164</v>
      </c>
      <c r="I12">
        <v>4711.95</v>
      </c>
      <c r="J12">
        <v>4152.0600000000004</v>
      </c>
      <c r="K12">
        <v>4250.34</v>
      </c>
      <c r="L12">
        <v>13114.35</v>
      </c>
      <c r="M12" s="24" t="s">
        <v>84</v>
      </c>
      <c r="N12" s="18">
        <f>AVERAGE(K8:K13)</f>
        <v>6644.6549999999997</v>
      </c>
    </row>
    <row r="13" spans="1:34">
      <c r="B13" s="17" t="s">
        <v>165</v>
      </c>
      <c r="C13" s="22">
        <v>5348.25</v>
      </c>
      <c r="D13" s="22"/>
      <c r="E13" s="22">
        <v>7971.2912100346603</v>
      </c>
      <c r="H13" s="17" t="s">
        <v>165</v>
      </c>
      <c r="I13">
        <v>5348.25</v>
      </c>
      <c r="J13">
        <v>4944.82</v>
      </c>
      <c r="K13">
        <v>5837.4</v>
      </c>
      <c r="L13">
        <v>16130.47</v>
      </c>
      <c r="M13" s="24" t="s">
        <v>86</v>
      </c>
      <c r="N13" s="18">
        <f>AVERAGE(K11:K13)</f>
        <v>3958.83</v>
      </c>
    </row>
    <row r="14" spans="1:34">
      <c r="B14" s="17" t="s">
        <v>166</v>
      </c>
      <c r="C14" s="22">
        <v>7978.95</v>
      </c>
      <c r="D14" s="22"/>
      <c r="E14" s="22">
        <v>8018.9969503269103</v>
      </c>
      <c r="H14" s="17" t="s">
        <v>166</v>
      </c>
      <c r="I14">
        <v>7978.95</v>
      </c>
      <c r="J14">
        <v>7288.05</v>
      </c>
      <c r="L14">
        <v>15267</v>
      </c>
      <c r="M14" t="s">
        <v>167</v>
      </c>
      <c r="N14" s="21">
        <f>SUM(K11:K13)/SUM(J11:J13)-1</f>
        <v>2.1477141564560265E-2</v>
      </c>
    </row>
    <row r="15" spans="1:34">
      <c r="B15" s="17" t="s">
        <v>168</v>
      </c>
      <c r="C15" s="22">
        <v>7029</v>
      </c>
      <c r="D15" s="22"/>
      <c r="E15" s="22">
        <v>8068.2928820691604</v>
      </c>
      <c r="H15" s="17" t="s">
        <v>168</v>
      </c>
      <c r="I15">
        <v>7029</v>
      </c>
      <c r="J15">
        <v>7378</v>
      </c>
      <c r="L15">
        <v>14407</v>
      </c>
      <c r="M15" t="s">
        <v>169</v>
      </c>
      <c r="N15">
        <f>SUM(J7:J8)</f>
        <v>37169.910000000003</v>
      </c>
    </row>
    <row r="16" spans="1:34">
      <c r="B16" s="17" t="s">
        <v>170</v>
      </c>
      <c r="C16" s="22">
        <v>5612.85</v>
      </c>
      <c r="D16" s="22"/>
      <c r="E16" s="22">
        <v>8115.9986130564303</v>
      </c>
      <c r="H16" s="17" t="s">
        <v>170</v>
      </c>
      <c r="I16">
        <v>5612.85</v>
      </c>
      <c r="J16">
        <v>7492.93</v>
      </c>
      <c r="L16">
        <v>13105.78</v>
      </c>
      <c r="M16" t="s">
        <v>171</v>
      </c>
      <c r="N16">
        <f>SUM(K7:K8)</f>
        <v>26195.940000000002</v>
      </c>
    </row>
    <row r="17" spans="1:14">
      <c r="A17" t="s">
        <v>152</v>
      </c>
      <c r="B17" s="17" t="s">
        <v>157</v>
      </c>
      <c r="C17" s="22">
        <v>9506.25</v>
      </c>
      <c r="D17" s="22"/>
      <c r="E17" s="22">
        <v>8165.29452442805</v>
      </c>
      <c r="H17" s="17" t="s">
        <v>154</v>
      </c>
      <c r="I17">
        <v>85931.959500000012</v>
      </c>
      <c r="J17">
        <v>115381.47</v>
      </c>
      <c r="K17">
        <v>76080.12999999999</v>
      </c>
      <c r="L17">
        <v>277393.55950000003</v>
      </c>
      <c r="M17" t="s">
        <v>172</v>
      </c>
      <c r="N17" s="21">
        <f>N16/N15-1</f>
        <v>-0.29523800299758596</v>
      </c>
    </row>
    <row r="18" spans="1:14">
      <c r="B18" s="17" t="s">
        <v>159</v>
      </c>
      <c r="C18" s="22">
        <v>13063.05</v>
      </c>
      <c r="D18" s="22"/>
      <c r="E18" s="22">
        <v>8214.5904253335993</v>
      </c>
    </row>
    <row r="19" spans="1:14">
      <c r="B19" s="17" t="s">
        <v>160</v>
      </c>
      <c r="C19" s="22">
        <v>16371.27</v>
      </c>
      <c r="D19" s="22"/>
      <c r="E19" s="22">
        <v>8258.97855394412</v>
      </c>
      <c r="H19" s="16" t="s">
        <v>132</v>
      </c>
      <c r="I19" t="s">
        <v>6</v>
      </c>
    </row>
    <row r="20" spans="1:14">
      <c r="B20" s="17" t="s">
        <v>156</v>
      </c>
      <c r="C20" s="22">
        <v>20798.64</v>
      </c>
      <c r="D20" s="22"/>
      <c r="E20" s="22">
        <v>8308.0858100915593</v>
      </c>
    </row>
    <row r="21" spans="1:14">
      <c r="B21" s="17" t="s">
        <v>161</v>
      </c>
      <c r="C21" s="22">
        <v>12805.56</v>
      </c>
      <c r="D21" s="22"/>
      <c r="E21" s="22">
        <v>8355.51677795664</v>
      </c>
      <c r="H21" s="16" t="s">
        <v>173</v>
      </c>
      <c r="I21" s="16" t="s">
        <v>145</v>
      </c>
    </row>
    <row r="22" spans="1:14">
      <c r="B22" s="17" t="s">
        <v>162</v>
      </c>
      <c r="C22" s="22">
        <v>9050.94</v>
      </c>
      <c r="D22" s="22"/>
      <c r="E22" s="22">
        <v>8404.4704741019905</v>
      </c>
      <c r="H22" s="16" t="s">
        <v>148</v>
      </c>
      <c r="I22" t="s">
        <v>151</v>
      </c>
      <c r="J22" t="s">
        <v>152</v>
      </c>
      <c r="K22" t="s">
        <v>153</v>
      </c>
      <c r="L22" t="s">
        <v>154</v>
      </c>
    </row>
    <row r="23" spans="1:14">
      <c r="B23" s="17" t="s">
        <v>163</v>
      </c>
      <c r="C23" s="22">
        <v>2529.9</v>
      </c>
      <c r="D23" s="22"/>
      <c r="E23" s="22">
        <v>8451.8417092125601</v>
      </c>
      <c r="H23" s="17" t="s">
        <v>157</v>
      </c>
      <c r="I23" s="22">
        <v>2825</v>
      </c>
      <c r="J23" s="22">
        <v>3122</v>
      </c>
      <c r="K23" s="22">
        <v>2872</v>
      </c>
      <c r="L23" s="22">
        <v>8819</v>
      </c>
    </row>
    <row r="24" spans="1:14">
      <c r="B24" s="17" t="s">
        <v>164</v>
      </c>
      <c r="C24" s="22">
        <v>4152.0600000000004</v>
      </c>
      <c r="D24" s="22"/>
      <c r="E24" s="22">
        <v>8500.7698559348501</v>
      </c>
      <c r="H24" s="17" t="s">
        <v>159</v>
      </c>
      <c r="I24" s="22">
        <v>3649</v>
      </c>
      <c r="J24" s="22">
        <v>3571</v>
      </c>
      <c r="K24" s="22">
        <v>3821</v>
      </c>
      <c r="L24" s="22">
        <v>11041</v>
      </c>
    </row>
    <row r="25" spans="1:14">
      <c r="B25" s="17" t="s">
        <v>165</v>
      </c>
      <c r="C25" s="22">
        <v>4944.82</v>
      </c>
      <c r="D25" s="22"/>
      <c r="E25" s="22">
        <v>8549.6980029636707</v>
      </c>
      <c r="H25" s="17" t="s">
        <v>160</v>
      </c>
      <c r="I25" s="22">
        <v>3516</v>
      </c>
      <c r="J25" s="22">
        <v>2977</v>
      </c>
      <c r="K25" s="22">
        <v>3296</v>
      </c>
      <c r="L25" s="22">
        <v>9789</v>
      </c>
    </row>
    <row r="26" spans="1:14">
      <c r="B26" s="17" t="s">
        <v>166</v>
      </c>
      <c r="C26" s="22">
        <v>7288.05</v>
      </c>
      <c r="D26" s="22"/>
      <c r="E26" s="22">
        <v>8597.02600466074</v>
      </c>
      <c r="H26" s="17" t="s">
        <v>156</v>
      </c>
      <c r="I26" s="22">
        <v>2412</v>
      </c>
      <c r="J26" s="22">
        <v>3008</v>
      </c>
      <c r="K26" s="22">
        <v>4109</v>
      </c>
      <c r="L26" s="22">
        <v>9529</v>
      </c>
    </row>
    <row r="27" spans="1:14">
      <c r="B27" s="17" t="s">
        <v>168</v>
      </c>
      <c r="C27" s="22">
        <v>7378</v>
      </c>
      <c r="D27" s="22"/>
      <c r="E27" s="22">
        <v>8645.9316109297197</v>
      </c>
      <c r="H27" s="17" t="s">
        <v>161</v>
      </c>
      <c r="I27" s="22">
        <v>2728</v>
      </c>
      <c r="J27" s="22">
        <v>4143</v>
      </c>
      <c r="K27" s="22">
        <v>2595</v>
      </c>
      <c r="L27" s="22">
        <v>9466</v>
      </c>
    </row>
    <row r="28" spans="1:14">
      <c r="B28" s="17" t="s">
        <v>170</v>
      </c>
      <c r="C28" s="22">
        <v>7492.93</v>
      </c>
      <c r="D28" s="22"/>
      <c r="E28" s="22">
        <v>8693.2596117802896</v>
      </c>
      <c r="H28" s="17" t="s">
        <v>162</v>
      </c>
      <c r="I28" s="22">
        <v>4808</v>
      </c>
      <c r="J28" s="22">
        <v>3687</v>
      </c>
      <c r="K28" s="22">
        <v>3903</v>
      </c>
      <c r="L28" s="22">
        <v>12398</v>
      </c>
      <c r="M28" s="22"/>
    </row>
    <row r="29" spans="1:14">
      <c r="A29" t="s">
        <v>153</v>
      </c>
      <c r="B29" s="17" t="s">
        <v>157</v>
      </c>
      <c r="C29" s="22">
        <v>9573.7099999999991</v>
      </c>
      <c r="D29" s="22"/>
      <c r="E29" s="22">
        <v>8742.1652150773207</v>
      </c>
      <c r="H29" s="17" t="s">
        <v>163</v>
      </c>
      <c r="I29" s="22">
        <v>2675</v>
      </c>
      <c r="J29" s="22">
        <v>4710</v>
      </c>
      <c r="K29" s="22">
        <v>2728</v>
      </c>
      <c r="L29" s="22">
        <v>10113</v>
      </c>
      <c r="M29" s="22"/>
    </row>
    <row r="30" spans="1:14">
      <c r="B30" s="17" t="s">
        <v>159</v>
      </c>
      <c r="C30" s="22">
        <v>13461.95</v>
      </c>
      <c r="D30" s="22"/>
      <c r="E30" s="22">
        <v>8791.0659588729104</v>
      </c>
      <c r="H30" s="17" t="s">
        <v>164</v>
      </c>
      <c r="I30" s="22">
        <v>3892</v>
      </c>
      <c r="J30" s="22">
        <v>2036</v>
      </c>
      <c r="K30" s="22">
        <v>1365</v>
      </c>
      <c r="L30" s="22">
        <v>7293</v>
      </c>
      <c r="M30" s="21"/>
    </row>
    <row r="31" spans="1:14">
      <c r="B31" s="17" t="s">
        <v>160</v>
      </c>
      <c r="C31" s="22">
        <v>13176.54</v>
      </c>
      <c r="D31" s="22"/>
      <c r="E31" s="22">
        <v>8836.8118084485995</v>
      </c>
      <c r="H31" s="17" t="s">
        <v>165</v>
      </c>
      <c r="I31" s="22">
        <v>4504</v>
      </c>
      <c r="J31" s="22">
        <v>3548</v>
      </c>
      <c r="K31" s="22">
        <v>2396</v>
      </c>
      <c r="L31" s="22">
        <v>10448</v>
      </c>
    </row>
    <row r="32" spans="1:14">
      <c r="B32" s="17" t="s">
        <v>156</v>
      </c>
      <c r="C32" s="22">
        <v>13019.4</v>
      </c>
      <c r="D32" s="22"/>
      <c r="E32" s="22">
        <v>8885.7125442019296</v>
      </c>
      <c r="H32" s="17" t="s">
        <v>166</v>
      </c>
      <c r="I32" s="22">
        <v>4967</v>
      </c>
      <c r="J32" s="22">
        <v>4326</v>
      </c>
      <c r="K32" s="22"/>
      <c r="L32" s="22">
        <v>9293</v>
      </c>
    </row>
    <row r="33" spans="1:12">
      <c r="B33" s="17" t="s">
        <v>161</v>
      </c>
      <c r="C33" s="22">
        <v>10303.200000000001</v>
      </c>
      <c r="D33" s="22"/>
      <c r="E33" s="22">
        <v>8933.0358368664401</v>
      </c>
      <c r="H33" s="17" t="s">
        <v>168</v>
      </c>
      <c r="I33" s="22">
        <v>4239</v>
      </c>
      <c r="J33" s="22">
        <v>4264</v>
      </c>
      <c r="K33" s="22"/>
      <c r="L33" s="22">
        <v>8503</v>
      </c>
    </row>
    <row r="34" spans="1:12">
      <c r="B34" s="17" t="s">
        <v>162</v>
      </c>
      <c r="C34" s="22">
        <v>4668.84</v>
      </c>
      <c r="D34" s="22"/>
      <c r="E34" s="22">
        <v>8981.9365726197702</v>
      </c>
      <c r="H34" s="17" t="s">
        <v>170</v>
      </c>
      <c r="I34" s="22">
        <v>4786</v>
      </c>
      <c r="J34" s="22">
        <v>4914</v>
      </c>
      <c r="K34" s="22"/>
      <c r="L34" s="22">
        <v>9700</v>
      </c>
    </row>
    <row r="35" spans="1:12">
      <c r="B35" s="17" t="s">
        <v>163</v>
      </c>
      <c r="C35" s="22">
        <v>1788.75</v>
      </c>
      <c r="D35" s="22">
        <v>2003.4</v>
      </c>
      <c r="E35" s="22">
        <v>9029.2598652842807</v>
      </c>
      <c r="G35" s="21"/>
      <c r="H35" s="17" t="s">
        <v>154</v>
      </c>
      <c r="I35" s="22">
        <v>45001</v>
      </c>
      <c r="J35" s="22">
        <v>44306</v>
      </c>
      <c r="K35" s="22">
        <v>27085</v>
      </c>
      <c r="L35" s="22">
        <v>116392</v>
      </c>
    </row>
    <row r="36" spans="1:12">
      <c r="B36" s="17" t="s">
        <v>164</v>
      </c>
      <c r="C36" s="22">
        <v>4250.34</v>
      </c>
      <c r="D36" s="22">
        <v>4037.8229999999999</v>
      </c>
      <c r="E36" s="22">
        <v>9078.1606010376108</v>
      </c>
    </row>
    <row r="37" spans="1:12">
      <c r="B37" s="17" t="s">
        <v>165</v>
      </c>
      <c r="C37" s="22">
        <v>5837.4</v>
      </c>
      <c r="D37" s="22">
        <v>5603.9039999999995</v>
      </c>
      <c r="E37" s="22">
        <v>9127.06133679093</v>
      </c>
    </row>
    <row r="38" spans="1:12">
      <c r="B38" s="17" t="s">
        <v>166</v>
      </c>
      <c r="C38" s="22"/>
      <c r="D38" s="22">
        <v>6383.4642000000003</v>
      </c>
      <c r="E38" s="22">
        <v>9174.3846294554405</v>
      </c>
    </row>
    <row r="39" spans="1:12">
      <c r="B39" s="17" t="s">
        <v>168</v>
      </c>
      <c r="C39" s="22"/>
      <c r="D39" s="22">
        <v>8256.8127000000004</v>
      </c>
      <c r="E39" s="22">
        <v>9223.2853652087706</v>
      </c>
    </row>
    <row r="40" spans="1:12">
      <c r="B40" s="17" t="s">
        <v>170</v>
      </c>
      <c r="C40" s="22"/>
      <c r="D40" s="22">
        <v>5188.6507000000001</v>
      </c>
      <c r="E40" s="22">
        <v>9270.6086578732793</v>
      </c>
    </row>
    <row r="41" spans="1:12">
      <c r="A41" t="s">
        <v>154</v>
      </c>
      <c r="C41" s="22">
        <v>277393.55950000009</v>
      </c>
      <c r="D41" s="22">
        <v>31474.054600000003</v>
      </c>
      <c r="E41" s="22">
        <v>303414.24741879804</v>
      </c>
    </row>
    <row r="43" spans="1:12">
      <c r="C43" s="18"/>
      <c r="D43" s="5"/>
      <c r="E43" s="5"/>
      <c r="F43" s="5"/>
    </row>
    <row r="44" spans="1:12">
      <c r="C44" s="18"/>
    </row>
    <row r="48" spans="1:12">
      <c r="I48" s="16"/>
      <c r="J48" s="16"/>
      <c r="K48" s="16"/>
      <c r="L48" s="16"/>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1136"/>
  <sheetViews>
    <sheetView topLeftCell="J497" workbookViewId="0">
      <selection activeCell="U518" sqref="A518:XFD518"/>
    </sheetView>
  </sheetViews>
  <sheetFormatPr defaultRowHeight="14.45"/>
  <cols>
    <col min="1" max="1" width="10.140625" bestFit="1" customWidth="1"/>
    <col min="2" max="2" width="10.140625" customWidth="1"/>
    <col min="3" max="3" width="21.42578125" bestFit="1" customWidth="1"/>
    <col min="10" max="11" width="9.7109375" bestFit="1" customWidth="1"/>
    <col min="12" max="13" width="9.7109375" customWidth="1"/>
    <col min="14" max="14" width="11.140625" bestFit="1" customWidth="1"/>
    <col min="15" max="15" width="12.140625" bestFit="1" customWidth="1"/>
  </cols>
  <sheetData>
    <row r="1" spans="1:24">
      <c r="A1" s="13" t="s">
        <v>148</v>
      </c>
      <c r="B1" s="13" t="s">
        <v>174</v>
      </c>
      <c r="C1" s="13" t="s">
        <v>132</v>
      </c>
      <c r="D1" s="14" t="s">
        <v>175</v>
      </c>
      <c r="E1" s="14" t="s">
        <v>176</v>
      </c>
      <c r="F1" s="14" t="s">
        <v>177</v>
      </c>
      <c r="G1" s="14" t="s">
        <v>178</v>
      </c>
      <c r="H1" s="14" t="s">
        <v>2</v>
      </c>
      <c r="I1" s="14" t="s">
        <v>179</v>
      </c>
      <c r="J1" s="14" t="s">
        <v>180</v>
      </c>
      <c r="K1" s="14" t="s">
        <v>181</v>
      </c>
      <c r="L1" s="14" t="s">
        <v>70</v>
      </c>
      <c r="M1" s="14" t="s">
        <v>1</v>
      </c>
      <c r="N1" s="15" t="s">
        <v>182</v>
      </c>
      <c r="O1" s="15" t="s">
        <v>183</v>
      </c>
      <c r="P1" s="19" t="s">
        <v>184</v>
      </c>
      <c r="Q1" s="19" t="s">
        <v>185</v>
      </c>
      <c r="R1" s="19" t="s">
        <v>68</v>
      </c>
      <c r="S1" s="19" t="s">
        <v>186</v>
      </c>
      <c r="T1" s="19" t="s">
        <v>187</v>
      </c>
      <c r="U1" t="s">
        <v>188</v>
      </c>
      <c r="V1" t="s">
        <v>189</v>
      </c>
      <c r="W1" t="s">
        <v>190</v>
      </c>
      <c r="X1" t="s">
        <v>191</v>
      </c>
    </row>
    <row r="2" spans="1:24" hidden="1">
      <c r="A2" s="1">
        <v>44562</v>
      </c>
      <c r="B2" s="1" t="s">
        <v>192</v>
      </c>
      <c r="C2" s="2" t="s">
        <v>193</v>
      </c>
      <c r="D2" s="2" t="s">
        <v>194</v>
      </c>
      <c r="E2" s="2" t="s">
        <v>195</v>
      </c>
      <c r="F2" s="2" t="s">
        <v>196</v>
      </c>
      <c r="G2" s="2" t="s">
        <v>133</v>
      </c>
      <c r="H2" s="2" t="s">
        <v>197</v>
      </c>
      <c r="I2" t="s">
        <v>198</v>
      </c>
      <c r="J2" s="18">
        <v>10144.17</v>
      </c>
      <c r="K2" s="18"/>
      <c r="L2" s="18">
        <v>11052.154225349999</v>
      </c>
      <c r="M2" s="18">
        <v>-1010.1859800265</v>
      </c>
      <c r="N2" s="18"/>
      <c r="O2" s="18"/>
      <c r="P2" s="3">
        <v>0</v>
      </c>
      <c r="Q2" s="3">
        <v>0</v>
      </c>
      <c r="R2" s="3">
        <v>0</v>
      </c>
      <c r="S2" s="3"/>
      <c r="T2" s="3" t="b">
        <v>1</v>
      </c>
      <c r="U2" s="3">
        <v>2095</v>
      </c>
      <c r="V2" s="3">
        <v>0</v>
      </c>
      <c r="W2" s="3">
        <v>2534</v>
      </c>
      <c r="X2" s="3">
        <v>21</v>
      </c>
    </row>
    <row r="3" spans="1:24" hidden="1">
      <c r="A3" s="1">
        <v>44593</v>
      </c>
      <c r="B3" s="1" t="s">
        <v>199</v>
      </c>
      <c r="C3" s="2" t="s">
        <v>193</v>
      </c>
      <c r="D3" s="2" t="s">
        <v>194</v>
      </c>
      <c r="E3" s="2" t="s">
        <v>195</v>
      </c>
      <c r="F3" s="2" t="s">
        <v>196</v>
      </c>
      <c r="G3" s="2" t="s">
        <v>133</v>
      </c>
      <c r="H3" s="2" t="s">
        <v>197</v>
      </c>
      <c r="I3" t="s">
        <v>198</v>
      </c>
      <c r="J3" s="18">
        <v>10401.27</v>
      </c>
      <c r="K3" s="18"/>
      <c r="L3" s="18">
        <v>11149.477716798099</v>
      </c>
      <c r="M3" s="18">
        <v>-418.28442455304798</v>
      </c>
      <c r="N3" s="18"/>
      <c r="O3" s="18"/>
      <c r="P3" s="3">
        <v>0</v>
      </c>
      <c r="Q3" s="3">
        <v>0</v>
      </c>
      <c r="R3" s="3">
        <v>0</v>
      </c>
      <c r="S3" s="3"/>
      <c r="T3" s="3" t="b">
        <v>0</v>
      </c>
      <c r="U3" s="3">
        <v>3923</v>
      </c>
      <c r="V3" s="3">
        <v>0</v>
      </c>
      <c r="W3" s="3">
        <v>1751</v>
      </c>
      <c r="X3" s="3">
        <v>19.91</v>
      </c>
    </row>
    <row r="4" spans="1:24" hidden="1">
      <c r="A4" s="1">
        <v>44621</v>
      </c>
      <c r="B4" s="1" t="s">
        <v>200</v>
      </c>
      <c r="C4" s="2" t="s">
        <v>193</v>
      </c>
      <c r="D4" s="2" t="s">
        <v>194</v>
      </c>
      <c r="E4" s="2" t="s">
        <v>195</v>
      </c>
      <c r="F4" s="2" t="s">
        <v>196</v>
      </c>
      <c r="G4" s="2" t="s">
        <v>133</v>
      </c>
      <c r="H4" s="2" t="s">
        <v>197</v>
      </c>
      <c r="I4" t="s">
        <v>198</v>
      </c>
      <c r="J4" s="18">
        <v>10998.63</v>
      </c>
      <c r="K4" s="18"/>
      <c r="L4" s="18">
        <v>11237.3828054443</v>
      </c>
      <c r="M4" s="18">
        <v>-202.21249731040001</v>
      </c>
      <c r="N4" s="18"/>
      <c r="O4" s="18"/>
      <c r="P4" s="3">
        <v>0</v>
      </c>
      <c r="Q4" s="3">
        <v>0</v>
      </c>
      <c r="R4" s="3">
        <v>0</v>
      </c>
      <c r="S4" s="3"/>
      <c r="T4" s="3" t="b">
        <v>0</v>
      </c>
      <c r="U4" s="3">
        <v>3757</v>
      </c>
      <c r="V4" s="3">
        <v>0</v>
      </c>
      <c r="W4" s="3">
        <v>1143</v>
      </c>
      <c r="X4" s="3">
        <v>17.7</v>
      </c>
    </row>
    <row r="5" spans="1:24" hidden="1">
      <c r="A5" s="1">
        <v>44652</v>
      </c>
      <c r="B5" s="1" t="s">
        <v>201</v>
      </c>
      <c r="C5" s="2" t="s">
        <v>193</v>
      </c>
      <c r="D5" s="2" t="s">
        <v>194</v>
      </c>
      <c r="E5" s="2" t="s">
        <v>195</v>
      </c>
      <c r="F5" s="2" t="s">
        <v>196</v>
      </c>
      <c r="G5" s="2" t="s">
        <v>133</v>
      </c>
      <c r="H5" s="2" t="s">
        <v>197</v>
      </c>
      <c r="I5" t="s">
        <v>198</v>
      </c>
      <c r="J5" s="18">
        <v>11029.02</v>
      </c>
      <c r="K5" s="18"/>
      <c r="L5" s="18">
        <v>11334.706296087599</v>
      </c>
      <c r="M5" s="18">
        <v>-251.27665181610001</v>
      </c>
      <c r="N5" s="18"/>
      <c r="O5" s="18"/>
      <c r="P5" s="3">
        <v>0</v>
      </c>
      <c r="Q5" s="3">
        <v>0</v>
      </c>
      <c r="R5" s="3">
        <v>0</v>
      </c>
      <c r="S5" s="3"/>
      <c r="T5" s="3" t="b">
        <v>0</v>
      </c>
      <c r="U5" s="3">
        <v>4532</v>
      </c>
      <c r="V5" s="3">
        <v>0</v>
      </c>
      <c r="W5" s="3">
        <v>1608</v>
      </c>
      <c r="X5" s="3">
        <v>17.89</v>
      </c>
    </row>
    <row r="6" spans="1:24" hidden="1">
      <c r="A6" s="1">
        <v>44682</v>
      </c>
      <c r="B6" s="1" t="s">
        <v>202</v>
      </c>
      <c r="C6" s="2" t="s">
        <v>193</v>
      </c>
      <c r="D6" s="2" t="s">
        <v>194</v>
      </c>
      <c r="E6" s="2" t="s">
        <v>195</v>
      </c>
      <c r="F6" s="2" t="s">
        <v>196</v>
      </c>
      <c r="G6" s="2" t="s">
        <v>133</v>
      </c>
      <c r="H6" s="2" t="s">
        <v>197</v>
      </c>
      <c r="I6" t="s">
        <v>198</v>
      </c>
      <c r="J6" s="18">
        <v>10918.22</v>
      </c>
      <c r="K6" s="18"/>
      <c r="L6" s="18">
        <v>11428.890319215099</v>
      </c>
      <c r="M6" s="18">
        <v>-1109.66039156792</v>
      </c>
      <c r="N6" s="18"/>
      <c r="O6" s="18"/>
      <c r="P6" s="3">
        <v>0</v>
      </c>
      <c r="Q6" s="3">
        <v>0</v>
      </c>
      <c r="R6" s="3">
        <v>0</v>
      </c>
      <c r="S6" s="3"/>
      <c r="T6" s="3" t="b">
        <v>0</v>
      </c>
      <c r="U6" s="3">
        <v>4278</v>
      </c>
      <c r="V6" s="3">
        <v>0</v>
      </c>
      <c r="W6" s="3">
        <v>2224</v>
      </c>
      <c r="X6" s="3">
        <v>19.43</v>
      </c>
    </row>
    <row r="7" spans="1:24" hidden="1">
      <c r="A7" s="1">
        <v>44713</v>
      </c>
      <c r="B7" s="1" t="s">
        <v>203</v>
      </c>
      <c r="C7" s="2" t="s">
        <v>193</v>
      </c>
      <c r="D7" s="2" t="s">
        <v>194</v>
      </c>
      <c r="E7" s="2" t="s">
        <v>195</v>
      </c>
      <c r="F7" s="2" t="s">
        <v>196</v>
      </c>
      <c r="G7" s="2" t="s">
        <v>133</v>
      </c>
      <c r="H7" s="2" t="s">
        <v>197</v>
      </c>
      <c r="I7" t="s">
        <v>198</v>
      </c>
      <c r="J7" s="18">
        <v>11194.03</v>
      </c>
      <c r="K7" s="18"/>
      <c r="L7" s="18">
        <v>11526.213810101501</v>
      </c>
      <c r="M7" s="18">
        <v>-417.77797045317902</v>
      </c>
      <c r="N7" s="18"/>
      <c r="O7" s="18"/>
      <c r="P7" s="3">
        <v>0</v>
      </c>
      <c r="Q7" s="3">
        <v>0</v>
      </c>
      <c r="R7" s="3">
        <v>0</v>
      </c>
      <c r="S7" s="3"/>
      <c r="T7" s="3" t="b">
        <v>0</v>
      </c>
      <c r="U7" s="3">
        <v>4796</v>
      </c>
      <c r="V7" s="3">
        <v>0</v>
      </c>
      <c r="W7" s="3">
        <v>2147</v>
      </c>
      <c r="X7" s="3">
        <v>18.559999999999999</v>
      </c>
    </row>
    <row r="8" spans="1:24" hidden="1">
      <c r="A8" s="1">
        <v>44743</v>
      </c>
      <c r="B8" s="1" t="s">
        <v>204</v>
      </c>
      <c r="C8" s="2" t="s">
        <v>193</v>
      </c>
      <c r="D8" s="2" t="s">
        <v>194</v>
      </c>
      <c r="E8" s="2" t="s">
        <v>195</v>
      </c>
      <c r="F8" s="2" t="s">
        <v>196</v>
      </c>
      <c r="G8" s="2" t="s">
        <v>133</v>
      </c>
      <c r="H8" s="2" t="s">
        <v>197</v>
      </c>
      <c r="I8" t="s">
        <v>198</v>
      </c>
      <c r="J8" s="18">
        <v>11004.07</v>
      </c>
      <c r="K8" s="18"/>
      <c r="L8" s="18">
        <v>11620.397832995999</v>
      </c>
      <c r="M8" s="18">
        <v>-310.47667012660401</v>
      </c>
      <c r="N8" s="18"/>
      <c r="O8" s="18"/>
      <c r="P8" s="3">
        <v>0</v>
      </c>
      <c r="Q8" s="3">
        <v>0</v>
      </c>
      <c r="R8" s="3">
        <v>0</v>
      </c>
      <c r="S8" s="3"/>
      <c r="T8" s="3" t="b">
        <v>0</v>
      </c>
      <c r="U8" s="3">
        <v>3678</v>
      </c>
      <c r="V8" s="3">
        <v>0</v>
      </c>
      <c r="W8" s="3">
        <v>1186</v>
      </c>
      <c r="X8" s="3">
        <v>16.28</v>
      </c>
    </row>
    <row r="9" spans="1:24" hidden="1">
      <c r="A9" s="1">
        <v>44774</v>
      </c>
      <c r="B9" s="1" t="s">
        <v>205</v>
      </c>
      <c r="C9" s="2" t="s">
        <v>193</v>
      </c>
      <c r="D9" s="2" t="s">
        <v>194</v>
      </c>
      <c r="E9" s="2" t="s">
        <v>195</v>
      </c>
      <c r="F9" s="2" t="s">
        <v>196</v>
      </c>
      <c r="G9" s="2" t="s">
        <v>133</v>
      </c>
      <c r="H9" s="2" t="s">
        <v>197</v>
      </c>
      <c r="I9" t="s">
        <v>198</v>
      </c>
      <c r="J9" s="18">
        <v>10961.62</v>
      </c>
      <c r="K9" s="18"/>
      <c r="L9" s="18">
        <v>11717.721323620401</v>
      </c>
      <c r="M9" s="18">
        <v>-989.53321887212405</v>
      </c>
      <c r="N9" s="18"/>
      <c r="O9" s="18"/>
      <c r="P9" s="3">
        <v>0</v>
      </c>
      <c r="Q9" s="3">
        <v>0</v>
      </c>
      <c r="R9" s="3">
        <v>0</v>
      </c>
      <c r="S9" s="3"/>
      <c r="T9" s="3" t="b">
        <v>0</v>
      </c>
      <c r="U9" s="3">
        <v>2540</v>
      </c>
      <c r="V9" s="3">
        <v>0</v>
      </c>
      <c r="W9" s="3">
        <v>2349</v>
      </c>
      <c r="X9" s="3">
        <v>19.09</v>
      </c>
    </row>
    <row r="10" spans="1:24" hidden="1">
      <c r="A10" s="1">
        <v>44866</v>
      </c>
      <c r="B10" s="1" t="s">
        <v>206</v>
      </c>
      <c r="C10" s="2" t="s">
        <v>193</v>
      </c>
      <c r="D10" s="2" t="s">
        <v>194</v>
      </c>
      <c r="E10" s="2" t="s">
        <v>195</v>
      </c>
      <c r="F10" s="2" t="s">
        <v>196</v>
      </c>
      <c r="G10" s="2" t="s">
        <v>133</v>
      </c>
      <c r="H10" s="2" t="s">
        <v>197</v>
      </c>
      <c r="I10" t="s">
        <v>198</v>
      </c>
      <c r="J10" s="18">
        <v>10443.18</v>
      </c>
      <c r="K10" s="18"/>
      <c r="L10" s="18">
        <v>12006.5523299508</v>
      </c>
      <c r="M10" s="18">
        <v>-1565.7599388461799</v>
      </c>
      <c r="N10" s="18"/>
      <c r="O10" s="18"/>
      <c r="P10" s="3">
        <v>0</v>
      </c>
      <c r="Q10" s="3">
        <v>0</v>
      </c>
      <c r="R10" s="3">
        <v>0</v>
      </c>
      <c r="S10" s="3"/>
      <c r="T10" s="3" t="b">
        <v>0</v>
      </c>
      <c r="U10" s="3">
        <v>3183</v>
      </c>
      <c r="V10" s="3">
        <v>0</v>
      </c>
      <c r="W10" s="3">
        <v>2794</v>
      </c>
      <c r="X10" s="3">
        <v>18.45</v>
      </c>
    </row>
    <row r="11" spans="1:24" hidden="1">
      <c r="A11" s="1">
        <v>44896</v>
      </c>
      <c r="B11" s="1" t="s">
        <v>207</v>
      </c>
      <c r="C11" s="2" t="s">
        <v>193</v>
      </c>
      <c r="D11" s="2" t="s">
        <v>194</v>
      </c>
      <c r="E11" s="2" t="s">
        <v>195</v>
      </c>
      <c r="F11" s="2" t="s">
        <v>196</v>
      </c>
      <c r="G11" s="2" t="s">
        <v>133</v>
      </c>
      <c r="H11" s="2" t="s">
        <v>197</v>
      </c>
      <c r="I11" t="s">
        <v>198</v>
      </c>
      <c r="J11" s="18">
        <v>10612.66</v>
      </c>
      <c r="K11" s="18"/>
      <c r="L11" s="18">
        <v>12100.7363540386</v>
      </c>
      <c r="M11" s="18">
        <v>-1490.6089542919799</v>
      </c>
      <c r="N11" s="18"/>
      <c r="O11" s="18"/>
      <c r="P11" s="3">
        <v>0</v>
      </c>
      <c r="Q11" s="3">
        <v>0</v>
      </c>
      <c r="R11" s="3">
        <v>0</v>
      </c>
      <c r="S11" s="3"/>
      <c r="T11" s="3" t="b">
        <v>0</v>
      </c>
      <c r="U11" s="3">
        <v>3722</v>
      </c>
      <c r="V11" s="3">
        <v>0</v>
      </c>
      <c r="W11" s="3">
        <v>1659</v>
      </c>
      <c r="X11" s="3">
        <v>19.41</v>
      </c>
    </row>
    <row r="12" spans="1:24" hidden="1">
      <c r="A12" s="1">
        <v>44927</v>
      </c>
      <c r="B12" s="1" t="s">
        <v>208</v>
      </c>
      <c r="C12" s="2" t="s">
        <v>193</v>
      </c>
      <c r="D12" s="2" t="s">
        <v>194</v>
      </c>
      <c r="E12" s="2" t="s">
        <v>195</v>
      </c>
      <c r="F12" s="2" t="s">
        <v>196</v>
      </c>
      <c r="G12" s="2" t="s">
        <v>133</v>
      </c>
      <c r="H12" s="2" t="s">
        <v>197</v>
      </c>
      <c r="I12" t="s">
        <v>198</v>
      </c>
      <c r="J12" s="18">
        <v>10505.6</v>
      </c>
      <c r="K12" s="18"/>
      <c r="L12" s="18">
        <v>12198.0598459506</v>
      </c>
      <c r="M12" s="18">
        <v>-743.09351743489196</v>
      </c>
      <c r="N12" s="18"/>
      <c r="O12" s="18"/>
      <c r="P12" s="3">
        <v>0</v>
      </c>
      <c r="Q12" s="3">
        <v>0</v>
      </c>
      <c r="R12" s="3">
        <v>0</v>
      </c>
      <c r="S12" s="3"/>
      <c r="T12" s="3" t="b">
        <v>0</v>
      </c>
      <c r="U12" s="3">
        <v>3819</v>
      </c>
      <c r="V12" s="3">
        <v>0</v>
      </c>
      <c r="W12" s="3">
        <v>1763</v>
      </c>
      <c r="X12" s="3">
        <v>18.45</v>
      </c>
    </row>
    <row r="13" spans="1:24" hidden="1">
      <c r="A13" s="1">
        <v>44958</v>
      </c>
      <c r="B13" s="1" t="s">
        <v>209</v>
      </c>
      <c r="C13" s="2" t="s">
        <v>193</v>
      </c>
      <c r="D13" s="2" t="s">
        <v>194</v>
      </c>
      <c r="E13" s="2" t="s">
        <v>195</v>
      </c>
      <c r="F13" s="2" t="s">
        <v>196</v>
      </c>
      <c r="G13" s="2" t="s">
        <v>133</v>
      </c>
      <c r="H13" s="2" t="s">
        <v>197</v>
      </c>
      <c r="I13" t="s">
        <v>198</v>
      </c>
      <c r="J13" s="18">
        <v>10812.69</v>
      </c>
      <c r="K13" s="18"/>
      <c r="L13" s="18">
        <v>12295.383338118199</v>
      </c>
      <c r="M13" s="18">
        <v>-660.40217687940606</v>
      </c>
      <c r="N13" s="18"/>
      <c r="O13" s="18"/>
      <c r="P13" s="3">
        <v>0</v>
      </c>
      <c r="Q13" s="3">
        <v>0</v>
      </c>
      <c r="R13" s="3">
        <v>0</v>
      </c>
      <c r="S13" s="3"/>
      <c r="T13" s="3" t="b">
        <v>0</v>
      </c>
      <c r="U13" s="3">
        <v>4625</v>
      </c>
      <c r="V13" s="3">
        <v>0</v>
      </c>
      <c r="W13" s="3">
        <v>1954</v>
      </c>
      <c r="X13" s="3">
        <v>21.01</v>
      </c>
    </row>
    <row r="14" spans="1:24" hidden="1">
      <c r="A14" s="1">
        <v>44986</v>
      </c>
      <c r="B14" s="1" t="s">
        <v>210</v>
      </c>
      <c r="C14" s="2" t="s">
        <v>193</v>
      </c>
      <c r="D14" s="2" t="s">
        <v>194</v>
      </c>
      <c r="E14" s="2" t="s">
        <v>195</v>
      </c>
      <c r="F14" s="2" t="s">
        <v>196</v>
      </c>
      <c r="G14" s="2" t="s">
        <v>133</v>
      </c>
      <c r="H14" s="2" t="s">
        <v>197</v>
      </c>
      <c r="I14" t="s">
        <v>198</v>
      </c>
      <c r="J14" s="18">
        <v>11808.07</v>
      </c>
      <c r="K14" s="18"/>
      <c r="L14" s="18">
        <v>12383.2884282368</v>
      </c>
      <c r="M14" s="18">
        <v>26.601707828841501</v>
      </c>
      <c r="N14" s="18"/>
      <c r="O14" s="18"/>
      <c r="P14" s="3">
        <v>1</v>
      </c>
      <c r="Q14" s="3">
        <v>0</v>
      </c>
      <c r="R14" s="3">
        <v>0</v>
      </c>
      <c r="S14" s="3"/>
      <c r="T14" s="3" t="b">
        <v>0</v>
      </c>
      <c r="U14" s="3">
        <v>4729</v>
      </c>
      <c r="V14" s="3">
        <v>0</v>
      </c>
      <c r="W14" s="3">
        <v>2955</v>
      </c>
      <c r="X14" s="3">
        <v>18.72</v>
      </c>
    </row>
    <row r="15" spans="1:24" hidden="1">
      <c r="A15" s="1">
        <v>45017</v>
      </c>
      <c r="B15" s="1" t="s">
        <v>211</v>
      </c>
      <c r="C15" s="2" t="s">
        <v>193</v>
      </c>
      <c r="D15" s="2" t="s">
        <v>194</v>
      </c>
      <c r="E15" s="2" t="s">
        <v>195</v>
      </c>
      <c r="F15" s="2" t="s">
        <v>196</v>
      </c>
      <c r="G15" s="2" t="s">
        <v>133</v>
      </c>
      <c r="H15" s="2" t="s">
        <v>197</v>
      </c>
      <c r="I15" t="s">
        <v>198</v>
      </c>
      <c r="J15" s="18">
        <v>11880.17</v>
      </c>
      <c r="K15" s="18"/>
      <c r="L15" s="18">
        <v>12480.6119204836</v>
      </c>
      <c r="M15" s="18">
        <v>-486.62858928260198</v>
      </c>
      <c r="N15" s="18"/>
      <c r="O15" s="18"/>
      <c r="P15" s="3">
        <v>1</v>
      </c>
      <c r="Q15" s="3">
        <v>0</v>
      </c>
      <c r="R15" s="3">
        <v>0</v>
      </c>
      <c r="S15" s="3"/>
      <c r="T15" s="3" t="b">
        <v>0</v>
      </c>
      <c r="U15" s="3">
        <v>4604</v>
      </c>
      <c r="V15" s="3">
        <v>0</v>
      </c>
      <c r="W15" s="3">
        <v>1402</v>
      </c>
      <c r="X15" s="3">
        <v>19.010000000000002</v>
      </c>
    </row>
    <row r="16" spans="1:24" hidden="1">
      <c r="A16" s="1">
        <v>45047</v>
      </c>
      <c r="B16" s="1" t="s">
        <v>212</v>
      </c>
      <c r="C16" s="2" t="s">
        <v>193</v>
      </c>
      <c r="D16" s="2" t="s">
        <v>194</v>
      </c>
      <c r="E16" s="2" t="s">
        <v>195</v>
      </c>
      <c r="F16" s="2" t="s">
        <v>196</v>
      </c>
      <c r="G16" s="2" t="s">
        <v>133</v>
      </c>
      <c r="H16" s="2" t="s">
        <v>197</v>
      </c>
      <c r="I16" t="s">
        <v>198</v>
      </c>
      <c r="J16" s="18">
        <v>12755.76</v>
      </c>
      <c r="K16" s="18"/>
      <c r="L16" s="18">
        <v>12574.795945181</v>
      </c>
      <c r="M16" s="18">
        <v>-863.934785275222</v>
      </c>
      <c r="N16" s="18"/>
      <c r="O16" s="18"/>
      <c r="P16" s="3">
        <v>1</v>
      </c>
      <c r="Q16" s="3">
        <v>0</v>
      </c>
      <c r="R16" s="3">
        <v>0</v>
      </c>
      <c r="S16" s="3"/>
      <c r="T16" s="3" t="b">
        <v>0</v>
      </c>
      <c r="U16" s="3">
        <v>3597</v>
      </c>
      <c r="V16" s="3">
        <v>0</v>
      </c>
      <c r="W16" s="3">
        <v>2369</v>
      </c>
      <c r="X16" s="3">
        <v>19.28</v>
      </c>
    </row>
    <row r="17" spans="1:24" hidden="1">
      <c r="A17" s="1">
        <v>45078</v>
      </c>
      <c r="B17" s="1" t="s">
        <v>213</v>
      </c>
      <c r="C17" s="2" t="s">
        <v>193</v>
      </c>
      <c r="D17" s="2" t="s">
        <v>194</v>
      </c>
      <c r="E17" s="2" t="s">
        <v>195</v>
      </c>
      <c r="F17" s="2" t="s">
        <v>196</v>
      </c>
      <c r="G17" s="2" t="s">
        <v>133</v>
      </c>
      <c r="H17" s="2" t="s">
        <v>197</v>
      </c>
      <c r="I17" t="s">
        <v>198</v>
      </c>
      <c r="J17" s="18">
        <v>12656.52</v>
      </c>
      <c r="K17" s="18"/>
      <c r="L17" s="18">
        <v>12672.1194376372</v>
      </c>
      <c r="M17" s="18">
        <v>-668.61421845816801</v>
      </c>
      <c r="N17" s="18"/>
      <c r="O17" s="18"/>
      <c r="P17" s="3">
        <v>1</v>
      </c>
      <c r="Q17" s="3">
        <v>0</v>
      </c>
      <c r="R17" s="3">
        <v>0</v>
      </c>
      <c r="S17" s="3"/>
      <c r="T17" s="3" t="b">
        <v>0</v>
      </c>
      <c r="U17" s="3">
        <v>4693</v>
      </c>
      <c r="V17" s="3">
        <v>2</v>
      </c>
      <c r="W17" s="3">
        <v>2986</v>
      </c>
      <c r="X17" s="3">
        <v>19.54</v>
      </c>
    </row>
    <row r="18" spans="1:24" hidden="1">
      <c r="A18" s="1">
        <v>45108</v>
      </c>
      <c r="B18" s="1" t="s">
        <v>214</v>
      </c>
      <c r="C18" s="2" t="s">
        <v>193</v>
      </c>
      <c r="D18" s="2" t="s">
        <v>194</v>
      </c>
      <c r="E18" s="2" t="s">
        <v>195</v>
      </c>
      <c r="F18" s="2" t="s">
        <v>196</v>
      </c>
      <c r="G18" s="2" t="s">
        <v>133</v>
      </c>
      <c r="H18" s="2" t="s">
        <v>197</v>
      </c>
      <c r="I18" t="s">
        <v>198</v>
      </c>
      <c r="J18" s="18">
        <v>13009.01</v>
      </c>
      <c r="K18" s="18"/>
      <c r="L18" s="18">
        <v>12766.3034624021</v>
      </c>
      <c r="M18" s="18">
        <v>-65.048233235628601</v>
      </c>
      <c r="N18" s="18"/>
      <c r="O18" s="18"/>
      <c r="P18" s="3">
        <v>1</v>
      </c>
      <c r="Q18" s="3">
        <v>0</v>
      </c>
      <c r="R18" s="3">
        <v>0</v>
      </c>
      <c r="S18" s="3"/>
      <c r="T18" s="3" t="b">
        <v>0</v>
      </c>
      <c r="U18" s="3">
        <v>2795</v>
      </c>
      <c r="V18" s="3">
        <v>0</v>
      </c>
      <c r="W18" s="3">
        <v>2534</v>
      </c>
      <c r="X18" s="3">
        <v>19.670000000000002</v>
      </c>
    </row>
    <row r="19" spans="1:24" hidden="1">
      <c r="A19" s="1">
        <v>45292</v>
      </c>
      <c r="B19" s="1" t="s">
        <v>215</v>
      </c>
      <c r="C19" s="2" t="s">
        <v>193</v>
      </c>
      <c r="D19" s="2" t="s">
        <v>194</v>
      </c>
      <c r="E19" s="2" t="s">
        <v>195</v>
      </c>
      <c r="F19" s="2" t="s">
        <v>196</v>
      </c>
      <c r="G19" s="2" t="s">
        <v>133</v>
      </c>
      <c r="H19" s="2" t="s">
        <v>197</v>
      </c>
      <c r="I19" t="s">
        <v>198</v>
      </c>
      <c r="J19" s="18">
        <v>13702.6</v>
      </c>
      <c r="K19" s="18"/>
      <c r="L19" s="18">
        <v>13343.965482228299</v>
      </c>
      <c r="M19" s="18">
        <v>-475.74446821812802</v>
      </c>
      <c r="N19" s="18"/>
      <c r="O19" s="18"/>
      <c r="P19" s="3">
        <v>1</v>
      </c>
      <c r="Q19" s="3">
        <v>0</v>
      </c>
      <c r="R19" s="3">
        <v>0</v>
      </c>
      <c r="S19" s="3"/>
      <c r="T19" s="3" t="b">
        <v>0</v>
      </c>
      <c r="U19" s="3">
        <v>3663</v>
      </c>
      <c r="V19" s="3">
        <v>0</v>
      </c>
      <c r="W19" s="3">
        <v>1488</v>
      </c>
      <c r="X19" s="3">
        <v>40</v>
      </c>
    </row>
    <row r="20" spans="1:24" hidden="1">
      <c r="A20" s="1">
        <v>45323</v>
      </c>
      <c r="B20" s="1" t="s">
        <v>216</v>
      </c>
      <c r="C20" s="2" t="s">
        <v>193</v>
      </c>
      <c r="D20" s="2" t="s">
        <v>194</v>
      </c>
      <c r="E20" s="2" t="s">
        <v>195</v>
      </c>
      <c r="F20" s="2" t="s">
        <v>196</v>
      </c>
      <c r="G20" s="2" t="s">
        <v>133</v>
      </c>
      <c r="H20" s="2" t="s">
        <v>197</v>
      </c>
      <c r="I20" t="s">
        <v>198</v>
      </c>
      <c r="J20" s="18">
        <v>13701.21</v>
      </c>
      <c r="K20" s="18"/>
      <c r="L20" s="18">
        <v>13441.1801226936</v>
      </c>
      <c r="M20" s="18">
        <v>-903.17417058528201</v>
      </c>
      <c r="N20" s="18"/>
      <c r="O20" s="18"/>
      <c r="P20" s="3">
        <v>1</v>
      </c>
      <c r="Q20" s="3">
        <v>0</v>
      </c>
      <c r="R20" s="3">
        <v>0</v>
      </c>
      <c r="S20" s="3"/>
      <c r="T20" s="3" t="b">
        <v>0</v>
      </c>
      <c r="U20" s="3">
        <v>3529</v>
      </c>
      <c r="V20" s="3">
        <v>0</v>
      </c>
      <c r="W20" s="3">
        <v>1928</v>
      </c>
      <c r="X20" s="3">
        <v>20.14</v>
      </c>
    </row>
    <row r="21" spans="1:24" hidden="1">
      <c r="A21" s="1">
        <v>45352</v>
      </c>
      <c r="B21" s="1" t="s">
        <v>217</v>
      </c>
      <c r="C21" s="2" t="s">
        <v>193</v>
      </c>
      <c r="D21" s="2" t="s">
        <v>194</v>
      </c>
      <c r="E21" s="2" t="s">
        <v>195</v>
      </c>
      <c r="F21" s="2" t="s">
        <v>196</v>
      </c>
      <c r="G21" s="2" t="s">
        <v>133</v>
      </c>
      <c r="H21" s="2" t="s">
        <v>197</v>
      </c>
      <c r="I21" t="s">
        <v>198</v>
      </c>
      <c r="J21" s="18">
        <v>13532.26</v>
      </c>
      <c r="K21" s="18"/>
      <c r="L21" s="18">
        <v>13532.087035315</v>
      </c>
      <c r="M21" s="18">
        <v>-661.09074718742397</v>
      </c>
      <c r="N21" s="18"/>
      <c r="O21" s="18"/>
      <c r="P21" s="3">
        <v>1</v>
      </c>
      <c r="Q21" s="3">
        <v>0</v>
      </c>
      <c r="R21" s="3">
        <v>0</v>
      </c>
      <c r="S21" s="3"/>
      <c r="T21" s="3" t="b">
        <v>0</v>
      </c>
      <c r="U21" s="3">
        <v>4038</v>
      </c>
      <c r="V21" s="3">
        <v>0</v>
      </c>
      <c r="W21" s="3">
        <v>2959</v>
      </c>
      <c r="X21" s="3">
        <v>20.37</v>
      </c>
    </row>
    <row r="22" spans="1:24" hidden="1">
      <c r="A22" s="1">
        <v>45383</v>
      </c>
      <c r="B22" s="1" t="s">
        <v>218</v>
      </c>
      <c r="C22" s="2" t="s">
        <v>193</v>
      </c>
      <c r="D22" s="2" t="s">
        <v>194</v>
      </c>
      <c r="E22" s="2" t="s">
        <v>195</v>
      </c>
      <c r="F22" s="2" t="s">
        <v>196</v>
      </c>
      <c r="G22" s="2" t="s">
        <v>133</v>
      </c>
      <c r="H22" s="2" t="s">
        <v>197</v>
      </c>
      <c r="I22" t="s">
        <v>198</v>
      </c>
      <c r="J22" s="18">
        <v>13968.55</v>
      </c>
      <c r="K22" s="18"/>
      <c r="L22" s="18">
        <v>13629.2633893731</v>
      </c>
      <c r="M22" s="18">
        <v>218.68937729950301</v>
      </c>
      <c r="N22" s="18"/>
      <c r="O22" s="18"/>
      <c r="P22" s="3">
        <v>1</v>
      </c>
      <c r="Q22" s="3">
        <v>0</v>
      </c>
      <c r="R22" s="3">
        <v>0</v>
      </c>
      <c r="S22" s="3"/>
      <c r="T22" s="3" t="b">
        <v>0</v>
      </c>
      <c r="U22" s="3">
        <v>3496</v>
      </c>
      <c r="V22" s="3">
        <v>0</v>
      </c>
      <c r="W22" s="3">
        <v>2663</v>
      </c>
      <c r="X22" s="3">
        <v>19.809999999999999</v>
      </c>
    </row>
    <row r="23" spans="1:24" hidden="1">
      <c r="A23" s="1">
        <v>45413</v>
      </c>
      <c r="B23" s="1" t="s">
        <v>219</v>
      </c>
      <c r="C23" s="2" t="s">
        <v>193</v>
      </c>
      <c r="D23" s="2" t="s">
        <v>194</v>
      </c>
      <c r="E23" s="2" t="s">
        <v>195</v>
      </c>
      <c r="F23" s="2" t="s">
        <v>196</v>
      </c>
      <c r="G23" s="2" t="s">
        <v>133</v>
      </c>
      <c r="H23" s="2" t="s">
        <v>197</v>
      </c>
      <c r="I23" t="s">
        <v>198</v>
      </c>
      <c r="J23" s="18">
        <v>10467.56</v>
      </c>
      <c r="K23" s="18"/>
      <c r="L23" s="18">
        <v>13723.305022332401</v>
      </c>
      <c r="M23" s="18">
        <v>-1600.9701713018701</v>
      </c>
      <c r="N23" s="18"/>
      <c r="O23" s="18"/>
      <c r="P23" s="3">
        <v>1</v>
      </c>
      <c r="Q23" s="3">
        <v>0</v>
      </c>
      <c r="R23" s="3">
        <v>1</v>
      </c>
      <c r="S23" s="3"/>
      <c r="T23" s="3" t="b">
        <v>0</v>
      </c>
      <c r="U23" s="3">
        <v>4237</v>
      </c>
      <c r="V23" s="3">
        <v>0</v>
      </c>
      <c r="W23" s="3">
        <v>1550</v>
      </c>
      <c r="X23" s="3">
        <v>20.09</v>
      </c>
    </row>
    <row r="24" spans="1:24" hidden="1">
      <c r="A24" s="1">
        <v>45444</v>
      </c>
      <c r="B24" s="1" t="s">
        <v>220</v>
      </c>
      <c r="C24" s="2" t="s">
        <v>193</v>
      </c>
      <c r="D24" s="2" t="s">
        <v>194</v>
      </c>
      <c r="E24" s="2" t="s">
        <v>195</v>
      </c>
      <c r="F24" s="2" t="s">
        <v>196</v>
      </c>
      <c r="G24" s="2" t="s">
        <v>133</v>
      </c>
      <c r="H24" s="2" t="s">
        <v>197</v>
      </c>
      <c r="I24" t="s">
        <v>198</v>
      </c>
      <c r="J24" s="18">
        <v>13190.34</v>
      </c>
      <c r="K24" s="18"/>
      <c r="L24" s="18">
        <v>13820.4813763904</v>
      </c>
      <c r="M24" s="18">
        <v>82.938179064398696</v>
      </c>
      <c r="N24" s="18"/>
      <c r="O24" s="18"/>
      <c r="P24" s="3">
        <v>1</v>
      </c>
      <c r="Q24" s="3">
        <v>0</v>
      </c>
      <c r="R24" s="3">
        <v>0</v>
      </c>
      <c r="S24" s="3"/>
      <c r="T24" s="3" t="b">
        <v>0</v>
      </c>
      <c r="U24" s="3">
        <v>3408</v>
      </c>
      <c r="V24" s="3">
        <v>0</v>
      </c>
      <c r="W24" s="3">
        <v>1337</v>
      </c>
      <c r="X24" s="3">
        <v>20.239999999999998</v>
      </c>
    </row>
    <row r="25" spans="1:24" hidden="1">
      <c r="A25" s="1">
        <v>45505</v>
      </c>
      <c r="B25" s="1" t="s">
        <v>221</v>
      </c>
      <c r="C25" s="2" t="s">
        <v>193</v>
      </c>
      <c r="D25" s="2" t="s">
        <v>194</v>
      </c>
      <c r="E25" s="2" t="s">
        <v>195</v>
      </c>
      <c r="F25" s="2" t="s">
        <v>196</v>
      </c>
      <c r="G25" s="2" t="s">
        <v>133</v>
      </c>
      <c r="H25" s="2" t="s">
        <v>197</v>
      </c>
      <c r="I25" t="s">
        <v>198</v>
      </c>
      <c r="J25" s="18">
        <v>13247.87</v>
      </c>
      <c r="K25" s="18">
        <v>12128.9</v>
      </c>
      <c r="L25" s="18">
        <v>14011.699363407801</v>
      </c>
      <c r="M25" s="18">
        <v>-526.51322755685999</v>
      </c>
      <c r="N25" s="18">
        <v>12328.9</v>
      </c>
      <c r="O25" s="18">
        <v>11928.9</v>
      </c>
      <c r="P25" s="3">
        <v>1</v>
      </c>
      <c r="Q25" s="3">
        <v>0</v>
      </c>
      <c r="R25" s="3">
        <v>0</v>
      </c>
      <c r="S25" s="3"/>
      <c r="T25" s="3" t="b">
        <v>0</v>
      </c>
      <c r="U25" s="3">
        <v>3306</v>
      </c>
      <c r="V25" s="3">
        <v>0</v>
      </c>
      <c r="W25" s="3">
        <v>1640</v>
      </c>
      <c r="X25" s="3">
        <v>17.28</v>
      </c>
    </row>
    <row r="26" spans="1:24" hidden="1">
      <c r="A26" s="1">
        <v>45536</v>
      </c>
      <c r="B26" s="1" t="s">
        <v>222</v>
      </c>
      <c r="C26" s="2" t="s">
        <v>193</v>
      </c>
      <c r="D26" s="2" t="s">
        <v>194</v>
      </c>
      <c r="E26" s="2" t="s">
        <v>195</v>
      </c>
      <c r="F26" s="2" t="s">
        <v>196</v>
      </c>
      <c r="G26" s="2" t="s">
        <v>133</v>
      </c>
      <c r="H26" s="2" t="s">
        <v>197</v>
      </c>
      <c r="I26" t="s">
        <v>198</v>
      </c>
      <c r="J26" s="18">
        <v>13715.31</v>
      </c>
      <c r="K26" s="18">
        <v>12394.04</v>
      </c>
      <c r="L26" s="18">
        <v>14108.8757174658</v>
      </c>
      <c r="M26" s="18">
        <v>-383.178923030362</v>
      </c>
      <c r="N26" s="18">
        <v>12594.04</v>
      </c>
      <c r="O26" s="18">
        <v>12194.04</v>
      </c>
      <c r="P26" s="3">
        <v>1</v>
      </c>
      <c r="Q26" s="3">
        <v>0</v>
      </c>
      <c r="R26" s="3">
        <v>0</v>
      </c>
      <c r="S26" s="3"/>
      <c r="T26" s="3" t="b">
        <v>0</v>
      </c>
      <c r="U26" s="3">
        <v>4680</v>
      </c>
      <c r="V26" s="3">
        <v>1</v>
      </c>
      <c r="W26" s="3">
        <v>2802</v>
      </c>
      <c r="X26" s="3">
        <v>19.73</v>
      </c>
    </row>
    <row r="27" spans="1:24" hidden="1">
      <c r="A27" s="1">
        <v>45597</v>
      </c>
      <c r="B27" s="1" t="s">
        <v>223</v>
      </c>
      <c r="C27" s="2" t="s">
        <v>193</v>
      </c>
      <c r="D27" s="2" t="s">
        <v>194</v>
      </c>
      <c r="E27" s="2" t="s">
        <v>195</v>
      </c>
      <c r="F27" s="2" t="s">
        <v>196</v>
      </c>
      <c r="G27" s="2" t="s">
        <v>133</v>
      </c>
      <c r="H27" s="2" t="s">
        <v>197</v>
      </c>
      <c r="I27" t="s">
        <v>224</v>
      </c>
      <c r="J27" s="18"/>
      <c r="K27" s="18">
        <v>12255.67</v>
      </c>
      <c r="L27" s="18">
        <v>14300.093704483201</v>
      </c>
      <c r="M27" s="18">
        <v>-2228.4832644431599</v>
      </c>
      <c r="N27" s="18">
        <v>12455.67</v>
      </c>
      <c r="O27" s="18">
        <v>12055.67</v>
      </c>
      <c r="P27" s="3"/>
      <c r="Q27" s="3"/>
      <c r="R27" s="3"/>
      <c r="S27" s="3"/>
      <c r="T27" s="3"/>
      <c r="U27" s="3"/>
      <c r="V27" s="3"/>
      <c r="W27" s="3">
        <v>1472</v>
      </c>
      <c r="X27" s="3">
        <v>18.399999999999999</v>
      </c>
    </row>
    <row r="28" spans="1:24" hidden="1">
      <c r="A28" s="1">
        <v>44562</v>
      </c>
      <c r="B28" s="1" t="s">
        <v>225</v>
      </c>
      <c r="C28" s="2" t="s">
        <v>226</v>
      </c>
      <c r="D28" s="2" t="s">
        <v>194</v>
      </c>
      <c r="E28" s="2" t="s">
        <v>195</v>
      </c>
      <c r="F28" s="2" t="s">
        <v>196</v>
      </c>
      <c r="G28" s="2" t="s">
        <v>227</v>
      </c>
      <c r="H28" s="2" t="s">
        <v>228</v>
      </c>
      <c r="I28" t="s">
        <v>198</v>
      </c>
      <c r="J28" s="18">
        <v>12640.95</v>
      </c>
      <c r="K28" s="18"/>
      <c r="L28" s="18">
        <v>12352.91145032</v>
      </c>
      <c r="M28" s="18">
        <v>219.36627146000299</v>
      </c>
      <c r="N28" s="18"/>
      <c r="O28" s="18"/>
      <c r="P28" s="3">
        <v>0</v>
      </c>
      <c r="Q28" s="3">
        <v>0</v>
      </c>
      <c r="R28" s="3">
        <v>0</v>
      </c>
      <c r="S28" s="3"/>
      <c r="T28" s="3" t="b">
        <v>0</v>
      </c>
      <c r="U28" s="3">
        <v>4923</v>
      </c>
      <c r="V28" s="3">
        <v>1</v>
      </c>
      <c r="W28" s="3">
        <v>1117</v>
      </c>
      <c r="X28" s="3">
        <v>17.11</v>
      </c>
    </row>
    <row r="29" spans="1:24" hidden="1">
      <c r="A29" s="1">
        <v>44593</v>
      </c>
      <c r="B29" s="1" t="s">
        <v>229</v>
      </c>
      <c r="C29" s="2" t="s">
        <v>226</v>
      </c>
      <c r="D29" s="2" t="s">
        <v>194</v>
      </c>
      <c r="E29" s="2" t="s">
        <v>195</v>
      </c>
      <c r="F29" s="2" t="s">
        <v>196</v>
      </c>
      <c r="G29" s="2" t="s">
        <v>227</v>
      </c>
      <c r="H29" s="2" t="s">
        <v>228</v>
      </c>
      <c r="I29" t="s">
        <v>198</v>
      </c>
      <c r="J29" s="18">
        <v>12491.43</v>
      </c>
      <c r="K29" s="18"/>
      <c r="L29" s="18">
        <v>12476.3045919673</v>
      </c>
      <c r="M29" s="18">
        <v>90.578891576243194</v>
      </c>
      <c r="N29" s="18"/>
      <c r="O29" s="18"/>
      <c r="P29" s="3">
        <v>0</v>
      </c>
      <c r="Q29" s="3">
        <v>0</v>
      </c>
      <c r="R29" s="3">
        <v>0</v>
      </c>
      <c r="S29" s="3"/>
      <c r="T29" s="3" t="b">
        <v>0</v>
      </c>
      <c r="U29" s="3">
        <v>3716</v>
      </c>
      <c r="V29" s="3">
        <v>0</v>
      </c>
      <c r="W29" s="3">
        <v>2260</v>
      </c>
      <c r="X29" s="3">
        <v>18.309999999999999</v>
      </c>
    </row>
    <row r="30" spans="1:24" hidden="1">
      <c r="A30" s="1">
        <v>45017</v>
      </c>
      <c r="B30" s="1" t="s">
        <v>230</v>
      </c>
      <c r="C30" s="2" t="s">
        <v>226</v>
      </c>
      <c r="D30" s="2" t="s">
        <v>194</v>
      </c>
      <c r="E30" s="2" t="s">
        <v>195</v>
      </c>
      <c r="F30" s="2" t="s">
        <v>196</v>
      </c>
      <c r="G30" s="2" t="s">
        <v>227</v>
      </c>
      <c r="H30" s="2" t="s">
        <v>228</v>
      </c>
      <c r="I30" t="s">
        <v>198</v>
      </c>
      <c r="J30" s="18">
        <v>13888.19</v>
      </c>
      <c r="K30" s="18"/>
      <c r="L30" s="18">
        <v>14164.004345118999</v>
      </c>
      <c r="M30" s="18">
        <v>-286.33737979450501</v>
      </c>
      <c r="N30" s="18"/>
      <c r="O30" s="18"/>
      <c r="P30" s="3">
        <v>0</v>
      </c>
      <c r="Q30" s="3">
        <v>0</v>
      </c>
      <c r="R30" s="3">
        <v>0</v>
      </c>
      <c r="S30" s="3"/>
      <c r="T30" s="3" t="b">
        <v>0</v>
      </c>
      <c r="U30" s="3">
        <v>4027</v>
      </c>
      <c r="V30" s="3">
        <v>0</v>
      </c>
      <c r="W30" s="3">
        <v>1686</v>
      </c>
      <c r="X30" s="3">
        <v>18.670000000000002</v>
      </c>
    </row>
    <row r="31" spans="1:24" hidden="1">
      <c r="A31" s="1">
        <v>45047</v>
      </c>
      <c r="B31" s="1" t="s">
        <v>231</v>
      </c>
      <c r="C31" s="2" t="s">
        <v>226</v>
      </c>
      <c r="D31" s="2" t="s">
        <v>194</v>
      </c>
      <c r="E31" s="2" t="s">
        <v>195</v>
      </c>
      <c r="F31" s="2" t="s">
        <v>196</v>
      </c>
      <c r="G31" s="2" t="s">
        <v>227</v>
      </c>
      <c r="H31" s="2" t="s">
        <v>228</v>
      </c>
      <c r="I31" t="s">
        <v>198</v>
      </c>
      <c r="J31" s="18">
        <v>14030.87</v>
      </c>
      <c r="K31" s="18"/>
      <c r="L31" s="18">
        <v>14283.4170637929</v>
      </c>
      <c r="M31" s="18">
        <v>-264.36472221648302</v>
      </c>
      <c r="N31" s="18"/>
      <c r="O31" s="18"/>
      <c r="P31" s="3">
        <v>0</v>
      </c>
      <c r="Q31" s="3">
        <v>0</v>
      </c>
      <c r="R31" s="3">
        <v>0</v>
      </c>
      <c r="S31" s="3"/>
      <c r="T31" s="3" t="b">
        <v>0</v>
      </c>
      <c r="U31" s="3">
        <v>2817</v>
      </c>
      <c r="V31" s="3">
        <v>0</v>
      </c>
      <c r="W31" s="3">
        <v>2305</v>
      </c>
      <c r="X31" s="3">
        <v>18.260000000000002</v>
      </c>
    </row>
    <row r="32" spans="1:24" hidden="1">
      <c r="A32" s="1">
        <v>45078</v>
      </c>
      <c r="B32" s="1" t="s">
        <v>232</v>
      </c>
      <c r="C32" s="2" t="s">
        <v>226</v>
      </c>
      <c r="D32" s="2" t="s">
        <v>194</v>
      </c>
      <c r="E32" s="2" t="s">
        <v>195</v>
      </c>
      <c r="F32" s="2" t="s">
        <v>196</v>
      </c>
      <c r="G32" s="2" t="s">
        <v>227</v>
      </c>
      <c r="H32" s="2" t="s">
        <v>228</v>
      </c>
      <c r="I32" t="s">
        <v>198</v>
      </c>
      <c r="J32" s="18">
        <v>14066.34</v>
      </c>
      <c r="K32" s="18"/>
      <c r="L32" s="18">
        <v>14406.8102064088</v>
      </c>
      <c r="M32" s="18">
        <v>-218.394133588849</v>
      </c>
      <c r="N32" s="18"/>
      <c r="O32" s="18"/>
      <c r="P32" s="3">
        <v>0</v>
      </c>
      <c r="Q32" s="3">
        <v>0</v>
      </c>
      <c r="R32" s="3">
        <v>0</v>
      </c>
      <c r="S32" s="3"/>
      <c r="T32" s="3" t="b">
        <v>0</v>
      </c>
      <c r="U32" s="3">
        <v>3174</v>
      </c>
      <c r="V32" s="3">
        <v>0</v>
      </c>
      <c r="W32" s="3">
        <v>2464</v>
      </c>
      <c r="X32" s="3">
        <v>19.7</v>
      </c>
    </row>
    <row r="33" spans="1:24" hidden="1">
      <c r="A33" s="1">
        <v>45108</v>
      </c>
      <c r="B33" s="1" t="s">
        <v>233</v>
      </c>
      <c r="C33" s="2" t="s">
        <v>226</v>
      </c>
      <c r="D33" s="2" t="s">
        <v>194</v>
      </c>
      <c r="E33" s="2" t="s">
        <v>195</v>
      </c>
      <c r="F33" s="2" t="s">
        <v>196</v>
      </c>
      <c r="G33" s="2" t="s">
        <v>227</v>
      </c>
      <c r="H33" s="2" t="s">
        <v>228</v>
      </c>
      <c r="I33" t="s">
        <v>198</v>
      </c>
      <c r="J33" s="18">
        <v>14686.02</v>
      </c>
      <c r="K33" s="18"/>
      <c r="L33" s="18">
        <v>14526.2229252705</v>
      </c>
      <c r="M33" s="18">
        <v>94.535015999880102</v>
      </c>
      <c r="N33" s="18"/>
      <c r="O33" s="18"/>
      <c r="P33" s="3">
        <v>0</v>
      </c>
      <c r="Q33" s="3">
        <v>0</v>
      </c>
      <c r="R33" s="3">
        <v>0</v>
      </c>
      <c r="S33" s="3"/>
      <c r="T33" s="3" t="b">
        <v>0</v>
      </c>
      <c r="U33" s="3">
        <v>3164</v>
      </c>
      <c r="V33" s="3">
        <v>3</v>
      </c>
      <c r="W33" s="3">
        <v>2316</v>
      </c>
      <c r="X33" s="3">
        <v>18.829999999999998</v>
      </c>
    </row>
    <row r="34" spans="1:24" hidden="1">
      <c r="A34" s="1">
        <v>45139</v>
      </c>
      <c r="B34" s="1" t="s">
        <v>234</v>
      </c>
      <c r="C34" s="2" t="s">
        <v>226</v>
      </c>
      <c r="D34" s="2" t="s">
        <v>194</v>
      </c>
      <c r="E34" s="2" t="s">
        <v>195</v>
      </c>
      <c r="F34" s="2" t="s">
        <v>196</v>
      </c>
      <c r="G34" s="2" t="s">
        <v>227</v>
      </c>
      <c r="H34" s="2" t="s">
        <v>228</v>
      </c>
      <c r="I34" t="s">
        <v>198</v>
      </c>
      <c r="J34" s="18">
        <v>14457.16</v>
      </c>
      <c r="K34" s="18"/>
      <c r="L34" s="18">
        <v>14649.5148925788</v>
      </c>
      <c r="M34" s="18">
        <v>-263.45611122662399</v>
      </c>
      <c r="N34" s="18"/>
      <c r="O34" s="18"/>
      <c r="P34" s="3">
        <v>0</v>
      </c>
      <c r="Q34" s="3">
        <v>0</v>
      </c>
      <c r="R34" s="3">
        <v>0</v>
      </c>
      <c r="S34" s="3"/>
      <c r="T34" s="3" t="b">
        <v>0</v>
      </c>
      <c r="U34" s="3">
        <v>3092</v>
      </c>
      <c r="V34" s="3">
        <v>0</v>
      </c>
      <c r="W34" s="3">
        <v>1737</v>
      </c>
      <c r="X34" s="3">
        <v>18.489999999999998</v>
      </c>
    </row>
    <row r="35" spans="1:24" hidden="1">
      <c r="A35" s="1">
        <v>45170</v>
      </c>
      <c r="B35" s="1" t="s">
        <v>235</v>
      </c>
      <c r="C35" s="2" t="s">
        <v>226</v>
      </c>
      <c r="D35" s="2" t="s">
        <v>194</v>
      </c>
      <c r="E35" s="2" t="s">
        <v>195</v>
      </c>
      <c r="F35" s="2" t="s">
        <v>196</v>
      </c>
      <c r="G35" s="2" t="s">
        <v>227</v>
      </c>
      <c r="H35" s="2" t="s">
        <v>228</v>
      </c>
      <c r="I35" t="s">
        <v>198</v>
      </c>
      <c r="J35" s="18">
        <v>14662.52</v>
      </c>
      <c r="K35" s="18"/>
      <c r="L35" s="18">
        <v>14716.602347481799</v>
      </c>
      <c r="M35" s="18">
        <v>-31.271700619619399</v>
      </c>
      <c r="N35" s="18"/>
      <c r="O35" s="18"/>
      <c r="P35" s="3">
        <v>0</v>
      </c>
      <c r="Q35" s="3">
        <v>0</v>
      </c>
      <c r="R35" s="3">
        <v>0</v>
      </c>
      <c r="S35" s="3"/>
      <c r="T35" s="3" t="b">
        <v>0</v>
      </c>
      <c r="U35" s="3">
        <v>3283</v>
      </c>
      <c r="V35" s="3">
        <v>0</v>
      </c>
      <c r="W35" s="3">
        <v>2030</v>
      </c>
      <c r="X35" s="3">
        <v>17.260000000000002</v>
      </c>
    </row>
    <row r="36" spans="1:24" hidden="1">
      <c r="A36" s="1">
        <v>45231</v>
      </c>
      <c r="B36" s="1" t="s">
        <v>236</v>
      </c>
      <c r="C36" s="2" t="s">
        <v>226</v>
      </c>
      <c r="D36" s="2" t="s">
        <v>194</v>
      </c>
      <c r="E36" s="2" t="s">
        <v>195</v>
      </c>
      <c r="F36" s="2" t="s">
        <v>196</v>
      </c>
      <c r="G36" s="2" t="s">
        <v>227</v>
      </c>
      <c r="H36" s="2" t="s">
        <v>228</v>
      </c>
      <c r="I36" t="s">
        <v>198</v>
      </c>
      <c r="J36" s="18">
        <v>15464.74</v>
      </c>
      <c r="K36" s="18"/>
      <c r="L36" s="18">
        <v>14848.1467408791</v>
      </c>
      <c r="M36" s="18">
        <v>617.15378642277801</v>
      </c>
      <c r="N36" s="18"/>
      <c r="O36" s="18"/>
      <c r="P36" s="3">
        <v>0</v>
      </c>
      <c r="Q36" s="3">
        <v>0</v>
      </c>
      <c r="R36" s="3">
        <v>0</v>
      </c>
      <c r="S36" s="3"/>
      <c r="T36" s="3" t="b">
        <v>0</v>
      </c>
      <c r="U36" s="3">
        <v>2845</v>
      </c>
      <c r="V36" s="3">
        <v>1</v>
      </c>
      <c r="W36" s="3">
        <v>1935</v>
      </c>
      <c r="X36" s="3">
        <v>16.73</v>
      </c>
    </row>
    <row r="37" spans="1:24" hidden="1">
      <c r="A37" s="1">
        <v>45261</v>
      </c>
      <c r="B37" s="1" t="s">
        <v>237</v>
      </c>
      <c r="C37" s="2" t="s">
        <v>226</v>
      </c>
      <c r="D37" s="2" t="s">
        <v>194</v>
      </c>
      <c r="E37" s="2" t="s">
        <v>195</v>
      </c>
      <c r="F37" s="2" t="s">
        <v>196</v>
      </c>
      <c r="G37" s="2" t="s">
        <v>227</v>
      </c>
      <c r="H37" s="2" t="s">
        <v>228</v>
      </c>
      <c r="I37" t="s">
        <v>198</v>
      </c>
      <c r="J37" s="18">
        <v>15403.21</v>
      </c>
      <c r="K37" s="18"/>
      <c r="L37" s="18">
        <v>14912.7800192633</v>
      </c>
      <c r="M37" s="18">
        <v>489.11312930384099</v>
      </c>
      <c r="N37" s="18"/>
      <c r="O37" s="18"/>
      <c r="P37" s="3">
        <v>0</v>
      </c>
      <c r="Q37" s="3">
        <v>0</v>
      </c>
      <c r="R37" s="3">
        <v>0</v>
      </c>
      <c r="S37" s="3"/>
      <c r="T37" s="3" t="b">
        <v>0</v>
      </c>
      <c r="U37" s="3">
        <v>3991</v>
      </c>
      <c r="V37" s="3">
        <v>0</v>
      </c>
      <c r="W37" s="3">
        <v>2115</v>
      </c>
      <c r="X37" s="3">
        <v>18.62</v>
      </c>
    </row>
    <row r="38" spans="1:24" hidden="1">
      <c r="A38" s="1">
        <v>45292</v>
      </c>
      <c r="B38" s="1" t="s">
        <v>238</v>
      </c>
      <c r="C38" s="2" t="s">
        <v>226</v>
      </c>
      <c r="D38" s="2" t="s">
        <v>194</v>
      </c>
      <c r="E38" s="2" t="s">
        <v>195</v>
      </c>
      <c r="F38" s="2" t="s">
        <v>196</v>
      </c>
      <c r="G38" s="2" t="s">
        <v>227</v>
      </c>
      <c r="H38" s="2" t="s">
        <v>228</v>
      </c>
      <c r="I38" t="s">
        <v>198</v>
      </c>
      <c r="J38" s="18">
        <v>15128.32</v>
      </c>
      <c r="K38" s="18"/>
      <c r="L38" s="18">
        <v>14979.4959423041</v>
      </c>
      <c r="M38" s="18">
        <v>218.13600290634199</v>
      </c>
      <c r="N38" s="18"/>
      <c r="O38" s="18"/>
      <c r="P38" s="3">
        <v>0</v>
      </c>
      <c r="Q38" s="3">
        <v>0</v>
      </c>
      <c r="R38" s="3">
        <v>0</v>
      </c>
      <c r="S38" s="3"/>
      <c r="T38" s="3" t="b">
        <v>1</v>
      </c>
      <c r="U38" s="3">
        <v>2520</v>
      </c>
      <c r="V38" s="3">
        <v>1</v>
      </c>
      <c r="W38" s="3">
        <v>2958</v>
      </c>
      <c r="X38" s="3">
        <v>19.61</v>
      </c>
    </row>
    <row r="39" spans="1:24" hidden="1">
      <c r="A39" s="1">
        <v>45323</v>
      </c>
      <c r="B39" s="1" t="s">
        <v>239</v>
      </c>
      <c r="C39" s="2" t="s">
        <v>226</v>
      </c>
      <c r="D39" s="2" t="s">
        <v>194</v>
      </c>
      <c r="E39" s="2" t="s">
        <v>195</v>
      </c>
      <c r="F39" s="2" t="s">
        <v>196</v>
      </c>
      <c r="G39" s="2" t="s">
        <v>227</v>
      </c>
      <c r="H39" s="2" t="s">
        <v>228</v>
      </c>
      <c r="I39" t="s">
        <v>198</v>
      </c>
      <c r="J39" s="18">
        <v>15212.45</v>
      </c>
      <c r="K39" s="18"/>
      <c r="L39" s="18">
        <v>15046.2118652556</v>
      </c>
      <c r="M39" s="18">
        <v>92.701686065550106</v>
      </c>
      <c r="N39" s="18"/>
      <c r="O39" s="18"/>
      <c r="P39" s="3">
        <v>0</v>
      </c>
      <c r="Q39" s="3">
        <v>0</v>
      </c>
      <c r="R39" s="3">
        <v>0</v>
      </c>
      <c r="S39" s="3"/>
      <c r="T39" s="3" t="b">
        <v>0</v>
      </c>
      <c r="U39" s="3">
        <v>2370</v>
      </c>
      <c r="V39" s="3">
        <v>0</v>
      </c>
      <c r="W39" s="3">
        <v>2213</v>
      </c>
      <c r="X39" s="3">
        <v>19.79</v>
      </c>
    </row>
    <row r="40" spans="1:24" hidden="1">
      <c r="A40" s="1">
        <v>45352</v>
      </c>
      <c r="B40" s="1" t="s">
        <v>240</v>
      </c>
      <c r="C40" s="2" t="s">
        <v>226</v>
      </c>
      <c r="D40" s="2" t="s">
        <v>194</v>
      </c>
      <c r="E40" s="2" t="s">
        <v>195</v>
      </c>
      <c r="F40" s="2" t="s">
        <v>196</v>
      </c>
      <c r="G40" s="2" t="s">
        <v>227</v>
      </c>
      <c r="H40" s="2" t="s">
        <v>228</v>
      </c>
      <c r="I40" t="s">
        <v>198</v>
      </c>
      <c r="J40" s="18">
        <v>15220.44</v>
      </c>
      <c r="K40" s="18"/>
      <c r="L40" s="18">
        <v>15108.3087645328</v>
      </c>
      <c r="M40" s="18">
        <v>109.42592020733601</v>
      </c>
      <c r="N40" s="18"/>
      <c r="O40" s="18"/>
      <c r="P40" s="3">
        <v>0</v>
      </c>
      <c r="Q40" s="3">
        <v>0</v>
      </c>
      <c r="R40" s="3">
        <v>0</v>
      </c>
      <c r="S40" s="3"/>
      <c r="T40" s="3" t="b">
        <v>0</v>
      </c>
      <c r="U40" s="3">
        <v>3442</v>
      </c>
      <c r="V40" s="3">
        <v>0</v>
      </c>
      <c r="W40" s="3">
        <v>2894</v>
      </c>
      <c r="X40" s="3">
        <v>40</v>
      </c>
    </row>
    <row r="41" spans="1:24" hidden="1">
      <c r="A41" s="1">
        <v>45383</v>
      </c>
      <c r="B41" s="1" t="s">
        <v>241</v>
      </c>
      <c r="C41" s="2" t="s">
        <v>226</v>
      </c>
      <c r="D41" s="2" t="s">
        <v>194</v>
      </c>
      <c r="E41" s="2" t="s">
        <v>195</v>
      </c>
      <c r="F41" s="2" t="s">
        <v>196</v>
      </c>
      <c r="G41" s="2" t="s">
        <v>227</v>
      </c>
      <c r="H41" s="2" t="s">
        <v>228</v>
      </c>
      <c r="I41" t="s">
        <v>198</v>
      </c>
      <c r="J41" s="18">
        <v>14867.06</v>
      </c>
      <c r="K41" s="18"/>
      <c r="L41" s="18">
        <v>15174.500962073</v>
      </c>
      <c r="M41" s="18">
        <v>-294.23451886891797</v>
      </c>
      <c r="N41" s="18"/>
      <c r="O41" s="18"/>
      <c r="P41" s="3">
        <v>0</v>
      </c>
      <c r="Q41" s="3">
        <v>0</v>
      </c>
      <c r="R41" s="3">
        <v>0</v>
      </c>
      <c r="S41" s="3"/>
      <c r="T41" s="3" t="b">
        <v>0</v>
      </c>
      <c r="U41" s="3">
        <v>2100</v>
      </c>
      <c r="V41" s="3">
        <v>1</v>
      </c>
      <c r="W41" s="3">
        <v>1475</v>
      </c>
      <c r="X41" s="3">
        <v>19.84</v>
      </c>
    </row>
    <row r="42" spans="1:24" hidden="1">
      <c r="A42" s="1">
        <v>45413</v>
      </c>
      <c r="B42" s="1" t="s">
        <v>242</v>
      </c>
      <c r="C42" s="2" t="s">
        <v>226</v>
      </c>
      <c r="D42" s="2" t="s">
        <v>194</v>
      </c>
      <c r="E42" s="2" t="s">
        <v>195</v>
      </c>
      <c r="F42" s="2" t="s">
        <v>196</v>
      </c>
      <c r="G42" s="2" t="s">
        <v>227</v>
      </c>
      <c r="H42" s="2" t="s">
        <v>228</v>
      </c>
      <c r="I42" t="s">
        <v>198</v>
      </c>
      <c r="J42" s="18">
        <v>14968.64</v>
      </c>
      <c r="K42" s="18"/>
      <c r="L42" s="18">
        <v>15238.520333004901</v>
      </c>
      <c r="M42" s="18">
        <v>-262.02923963417697</v>
      </c>
      <c r="N42" s="18"/>
      <c r="O42" s="18"/>
      <c r="P42" s="3">
        <v>0</v>
      </c>
      <c r="Q42" s="3">
        <v>0</v>
      </c>
      <c r="R42" s="3">
        <v>0</v>
      </c>
      <c r="S42" s="3"/>
      <c r="T42" s="3" t="b">
        <v>0</v>
      </c>
      <c r="U42" s="3">
        <v>2660</v>
      </c>
      <c r="V42" s="3">
        <v>0</v>
      </c>
      <c r="W42" s="3">
        <v>2534</v>
      </c>
      <c r="X42" s="3">
        <v>19.05</v>
      </c>
    </row>
    <row r="43" spans="1:24" hidden="1">
      <c r="A43" s="1">
        <v>45444</v>
      </c>
      <c r="B43" s="1" t="s">
        <v>243</v>
      </c>
      <c r="C43" s="2" t="s">
        <v>226</v>
      </c>
      <c r="D43" s="2" t="s">
        <v>194</v>
      </c>
      <c r="E43" s="2" t="s">
        <v>195</v>
      </c>
      <c r="F43" s="2" t="s">
        <v>196</v>
      </c>
      <c r="G43" s="2" t="s">
        <v>227</v>
      </c>
      <c r="H43" s="2" t="s">
        <v>228</v>
      </c>
      <c r="I43" t="s">
        <v>198</v>
      </c>
      <c r="J43" s="18">
        <v>15214.6</v>
      </c>
      <c r="K43" s="18"/>
      <c r="L43" s="18">
        <v>15304.6627856949</v>
      </c>
      <c r="M43" s="18">
        <v>-211.34280607085</v>
      </c>
      <c r="N43" s="18"/>
      <c r="O43" s="18"/>
      <c r="P43" s="3">
        <v>0</v>
      </c>
      <c r="Q43" s="3">
        <v>0</v>
      </c>
      <c r="R43" s="3">
        <v>0</v>
      </c>
      <c r="S43" s="3"/>
      <c r="T43" s="3" t="b">
        <v>0</v>
      </c>
      <c r="U43" s="3">
        <v>3681</v>
      </c>
      <c r="V43" s="3">
        <v>0</v>
      </c>
      <c r="W43" s="3">
        <v>2485</v>
      </c>
      <c r="X43" s="3">
        <v>18.739999999999998</v>
      </c>
    </row>
    <row r="44" spans="1:24" hidden="1">
      <c r="A44" s="1">
        <v>45474</v>
      </c>
      <c r="B44" s="1" t="s">
        <v>244</v>
      </c>
      <c r="C44" s="2" t="s">
        <v>226</v>
      </c>
      <c r="D44" s="2" t="s">
        <v>194</v>
      </c>
      <c r="E44" s="2" t="s">
        <v>195</v>
      </c>
      <c r="F44" s="2" t="s">
        <v>196</v>
      </c>
      <c r="G44" s="2" t="s">
        <v>227</v>
      </c>
      <c r="H44" s="2" t="s">
        <v>228</v>
      </c>
      <c r="I44" t="s">
        <v>198</v>
      </c>
      <c r="J44" s="18">
        <v>15390.51</v>
      </c>
      <c r="K44" s="18">
        <v>15507.14</v>
      </c>
      <c r="L44" s="18">
        <v>15368.6716108787</v>
      </c>
      <c r="M44" s="18">
        <v>91.788952616864506</v>
      </c>
      <c r="N44" s="18">
        <v>15707.14</v>
      </c>
      <c r="O44" s="18">
        <v>15307.14</v>
      </c>
      <c r="P44" s="3">
        <v>0</v>
      </c>
      <c r="Q44" s="3">
        <v>0</v>
      </c>
      <c r="R44" s="3">
        <v>0</v>
      </c>
      <c r="S44" s="3"/>
      <c r="T44" s="3" t="b">
        <v>0</v>
      </c>
      <c r="U44" s="3">
        <v>2242</v>
      </c>
      <c r="V44" s="3">
        <v>1</v>
      </c>
      <c r="W44" s="3">
        <v>1052</v>
      </c>
      <c r="X44" s="3">
        <v>17.350000000000001</v>
      </c>
    </row>
    <row r="45" spans="1:24" hidden="1">
      <c r="A45" s="1">
        <v>45505</v>
      </c>
      <c r="B45" s="1" t="s">
        <v>245</v>
      </c>
      <c r="C45" s="2" t="s">
        <v>226</v>
      </c>
      <c r="D45" s="2" t="s">
        <v>194</v>
      </c>
      <c r="E45" s="2" t="s">
        <v>195</v>
      </c>
      <c r="F45" s="2" t="s">
        <v>196</v>
      </c>
      <c r="G45" s="2" t="s">
        <v>227</v>
      </c>
      <c r="H45" s="2" t="s">
        <v>228</v>
      </c>
      <c r="I45" t="s">
        <v>198</v>
      </c>
      <c r="J45" s="18">
        <v>15104.23</v>
      </c>
      <c r="K45" s="18">
        <v>15157.33</v>
      </c>
      <c r="L45" s="18">
        <v>15434.8140635687</v>
      </c>
      <c r="M45" s="18">
        <v>-262.97584388309099</v>
      </c>
      <c r="N45" s="18">
        <v>15357.33</v>
      </c>
      <c r="O45" s="18">
        <v>14957.33</v>
      </c>
      <c r="P45" s="3">
        <v>0</v>
      </c>
      <c r="Q45" s="3">
        <v>0</v>
      </c>
      <c r="R45" s="3">
        <v>0</v>
      </c>
      <c r="S45" s="3"/>
      <c r="T45" s="3" t="b">
        <v>0</v>
      </c>
      <c r="U45" s="3">
        <v>4800</v>
      </c>
      <c r="V45" s="3">
        <v>1</v>
      </c>
      <c r="W45" s="3">
        <v>1753</v>
      </c>
      <c r="X45" s="3">
        <v>17.48</v>
      </c>
    </row>
    <row r="46" spans="1:24" hidden="1">
      <c r="A46" s="1">
        <v>45536</v>
      </c>
      <c r="B46" s="1" t="s">
        <v>246</v>
      </c>
      <c r="C46" s="2" t="s">
        <v>226</v>
      </c>
      <c r="D46" s="2" t="s">
        <v>194</v>
      </c>
      <c r="E46" s="2" t="s">
        <v>195</v>
      </c>
      <c r="F46" s="2" t="s">
        <v>196</v>
      </c>
      <c r="G46" s="2" t="s">
        <v>227</v>
      </c>
      <c r="H46" s="2" t="s">
        <v>228</v>
      </c>
      <c r="I46" t="s">
        <v>198</v>
      </c>
      <c r="J46" s="18">
        <v>15485.68</v>
      </c>
      <c r="K46" s="18">
        <v>15267.86</v>
      </c>
      <c r="L46" s="18">
        <v>15500.9565162586</v>
      </c>
      <c r="M46" s="18">
        <v>-38.051244489679704</v>
      </c>
      <c r="N46" s="18">
        <v>15467.86</v>
      </c>
      <c r="O46" s="18">
        <v>15067.86</v>
      </c>
      <c r="P46" s="3">
        <v>0</v>
      </c>
      <c r="Q46" s="3">
        <v>0</v>
      </c>
      <c r="R46" s="3">
        <v>0</v>
      </c>
      <c r="S46" s="3"/>
      <c r="T46" s="3" t="b">
        <v>0</v>
      </c>
      <c r="U46" s="3">
        <v>2511</v>
      </c>
      <c r="V46" s="3">
        <v>0</v>
      </c>
      <c r="W46" s="3">
        <v>1485</v>
      </c>
      <c r="X46" s="3">
        <v>19.14</v>
      </c>
    </row>
    <row r="47" spans="1:24" hidden="1">
      <c r="A47" s="1">
        <v>45566</v>
      </c>
      <c r="B47" s="1" t="s">
        <v>247</v>
      </c>
      <c r="C47" s="2" t="s">
        <v>226</v>
      </c>
      <c r="D47" s="2" t="s">
        <v>194</v>
      </c>
      <c r="E47" s="2" t="s">
        <v>195</v>
      </c>
      <c r="F47" s="2" t="s">
        <v>196</v>
      </c>
      <c r="G47" s="2" t="s">
        <v>227</v>
      </c>
      <c r="H47" s="2" t="s">
        <v>228</v>
      </c>
      <c r="I47" t="s">
        <v>224</v>
      </c>
      <c r="J47" s="18"/>
      <c r="K47" s="18">
        <v>15101.03</v>
      </c>
      <c r="L47" s="18">
        <v>15564.965341442499</v>
      </c>
      <c r="M47" s="18">
        <v>-540.889591562188</v>
      </c>
      <c r="N47" s="18">
        <v>15301.03</v>
      </c>
      <c r="O47" s="18">
        <v>14901.03</v>
      </c>
      <c r="P47" s="3"/>
      <c r="Q47" s="3"/>
      <c r="R47" s="3"/>
      <c r="S47" s="3"/>
      <c r="T47" s="3"/>
      <c r="U47" s="3"/>
      <c r="V47" s="3"/>
      <c r="W47" s="3">
        <v>2667</v>
      </c>
      <c r="X47" s="3">
        <v>18.71</v>
      </c>
    </row>
    <row r="48" spans="1:24" hidden="1">
      <c r="A48" s="1">
        <v>45597</v>
      </c>
      <c r="B48" s="1" t="s">
        <v>248</v>
      </c>
      <c r="C48" s="2" t="s">
        <v>226</v>
      </c>
      <c r="D48" s="2" t="s">
        <v>194</v>
      </c>
      <c r="E48" s="2" t="s">
        <v>195</v>
      </c>
      <c r="F48" s="2" t="s">
        <v>196</v>
      </c>
      <c r="G48" s="2" t="s">
        <v>227</v>
      </c>
      <c r="H48" s="2" t="s">
        <v>228</v>
      </c>
      <c r="I48" t="s">
        <v>224</v>
      </c>
      <c r="J48" s="18"/>
      <c r="K48" s="18">
        <v>15856.86</v>
      </c>
      <c r="L48" s="18">
        <v>15631.1077941324</v>
      </c>
      <c r="M48" s="18">
        <v>643.15451905835903</v>
      </c>
      <c r="N48" s="18">
        <v>16056.86</v>
      </c>
      <c r="O48" s="18">
        <v>15656.86</v>
      </c>
      <c r="P48" s="3"/>
      <c r="Q48" s="3"/>
      <c r="R48" s="3"/>
      <c r="S48" s="3"/>
      <c r="T48" s="3"/>
      <c r="U48" s="3"/>
      <c r="V48" s="3"/>
      <c r="W48" s="3">
        <v>2513</v>
      </c>
      <c r="X48" s="3">
        <v>20.09</v>
      </c>
    </row>
    <row r="49" spans="1:24" hidden="1">
      <c r="A49" s="1">
        <v>45627</v>
      </c>
      <c r="B49" s="1" t="s">
        <v>249</v>
      </c>
      <c r="C49" s="2" t="s">
        <v>226</v>
      </c>
      <c r="D49" s="2" t="s">
        <v>194</v>
      </c>
      <c r="E49" s="2" t="s">
        <v>195</v>
      </c>
      <c r="F49" s="2" t="s">
        <v>196</v>
      </c>
      <c r="G49" s="2" t="s">
        <v>227</v>
      </c>
      <c r="H49" s="2" t="s">
        <v>228</v>
      </c>
      <c r="I49" t="s">
        <v>224</v>
      </c>
      <c r="J49" s="18"/>
      <c r="K49" s="18">
        <v>15935.07</v>
      </c>
      <c r="L49" s="18">
        <v>15695.116619316301</v>
      </c>
      <c r="M49" s="18">
        <v>469.88495555204702</v>
      </c>
      <c r="N49" s="18">
        <v>16135.07</v>
      </c>
      <c r="O49" s="18">
        <v>15735.07</v>
      </c>
      <c r="P49" s="3"/>
      <c r="Q49" s="3"/>
      <c r="R49" s="3"/>
      <c r="S49" s="3"/>
      <c r="T49" s="3"/>
      <c r="U49" s="3"/>
      <c r="V49" s="3"/>
      <c r="W49" s="3">
        <v>2387</v>
      </c>
      <c r="X49" s="3">
        <v>20.53</v>
      </c>
    </row>
    <row r="50" spans="1:24" hidden="1">
      <c r="A50" s="1">
        <v>44835</v>
      </c>
      <c r="B50" s="1" t="s">
        <v>250</v>
      </c>
      <c r="C50" s="2" t="s">
        <v>251</v>
      </c>
      <c r="D50" s="2" t="s">
        <v>194</v>
      </c>
      <c r="E50" s="2" t="s">
        <v>195</v>
      </c>
      <c r="F50" s="2" t="s">
        <v>196</v>
      </c>
      <c r="G50" s="2" t="s">
        <v>155</v>
      </c>
      <c r="H50" s="2" t="s">
        <v>252</v>
      </c>
      <c r="I50" t="s">
        <v>198</v>
      </c>
      <c r="J50" s="18">
        <v>10046.65</v>
      </c>
      <c r="K50" s="18"/>
      <c r="L50" s="18">
        <v>10147.6555144999</v>
      </c>
      <c r="M50" s="18">
        <v>-320.24234973557702</v>
      </c>
      <c r="N50" s="18"/>
      <c r="O50" s="18"/>
      <c r="P50" s="3">
        <v>0</v>
      </c>
      <c r="Q50" s="3">
        <v>0</v>
      </c>
      <c r="R50" s="3">
        <v>0</v>
      </c>
      <c r="S50" s="3"/>
      <c r="T50" s="3" t="b">
        <v>1</v>
      </c>
      <c r="U50" s="3">
        <v>2144</v>
      </c>
      <c r="V50" s="3">
        <v>1</v>
      </c>
      <c r="W50" s="3">
        <v>2330</v>
      </c>
      <c r="X50" s="3">
        <v>14.15</v>
      </c>
    </row>
    <row r="51" spans="1:24" hidden="1">
      <c r="A51" s="1">
        <v>44866</v>
      </c>
      <c r="B51" s="1" t="s">
        <v>253</v>
      </c>
      <c r="C51" s="2" t="s">
        <v>251</v>
      </c>
      <c r="D51" s="2" t="s">
        <v>194</v>
      </c>
      <c r="E51" s="2" t="s">
        <v>195</v>
      </c>
      <c r="F51" s="2" t="s">
        <v>196</v>
      </c>
      <c r="G51" s="2" t="s">
        <v>155</v>
      </c>
      <c r="H51" s="2" t="s">
        <v>252</v>
      </c>
      <c r="I51" t="s">
        <v>198</v>
      </c>
      <c r="J51" s="18">
        <v>9601.15</v>
      </c>
      <c r="K51" s="18"/>
      <c r="L51" s="18">
        <v>10155.005160750799</v>
      </c>
      <c r="M51" s="18">
        <v>-561.00591124525795</v>
      </c>
      <c r="N51" s="18"/>
      <c r="O51" s="18"/>
      <c r="P51" s="3">
        <v>0</v>
      </c>
      <c r="Q51" s="3">
        <v>0</v>
      </c>
      <c r="R51" s="3">
        <v>0</v>
      </c>
      <c r="S51" s="3"/>
      <c r="T51" s="3" t="b">
        <v>0</v>
      </c>
      <c r="U51" s="3">
        <v>2761</v>
      </c>
      <c r="V51" s="3">
        <v>0</v>
      </c>
      <c r="W51" s="3">
        <v>2377</v>
      </c>
      <c r="X51" s="3">
        <v>13.93</v>
      </c>
    </row>
    <row r="52" spans="1:24" hidden="1">
      <c r="A52" s="1">
        <v>44896</v>
      </c>
      <c r="B52" s="1" t="s">
        <v>254</v>
      </c>
      <c r="C52" s="2" t="s">
        <v>251</v>
      </c>
      <c r="D52" s="2" t="s">
        <v>194</v>
      </c>
      <c r="E52" s="2" t="s">
        <v>195</v>
      </c>
      <c r="F52" s="2" t="s">
        <v>196</v>
      </c>
      <c r="G52" s="2" t="s">
        <v>155</v>
      </c>
      <c r="H52" s="2" t="s">
        <v>252</v>
      </c>
      <c r="I52" t="s">
        <v>198</v>
      </c>
      <c r="J52" s="18">
        <v>9180.58</v>
      </c>
      <c r="K52" s="18"/>
      <c r="L52" s="18">
        <v>10162.117721956</v>
      </c>
      <c r="M52" s="18">
        <v>-642.64643507613198</v>
      </c>
      <c r="N52" s="18"/>
      <c r="O52" s="18"/>
      <c r="P52" s="3">
        <v>0</v>
      </c>
      <c r="Q52" s="3">
        <v>0</v>
      </c>
      <c r="R52" s="3">
        <v>0</v>
      </c>
      <c r="S52" s="3"/>
      <c r="T52" s="3" t="b">
        <v>0</v>
      </c>
      <c r="U52" s="3">
        <v>3377</v>
      </c>
      <c r="V52" s="3">
        <v>0</v>
      </c>
      <c r="W52" s="3">
        <v>1392</v>
      </c>
      <c r="X52" s="3">
        <v>14.12</v>
      </c>
    </row>
    <row r="53" spans="1:24" hidden="1">
      <c r="A53" s="1">
        <v>44927</v>
      </c>
      <c r="B53" s="1" t="s">
        <v>255</v>
      </c>
      <c r="C53" s="2" t="s">
        <v>251</v>
      </c>
      <c r="D53" s="2" t="s">
        <v>194</v>
      </c>
      <c r="E53" s="2" t="s">
        <v>195</v>
      </c>
      <c r="F53" s="2" t="s">
        <v>196</v>
      </c>
      <c r="G53" s="2" t="s">
        <v>155</v>
      </c>
      <c r="H53" s="2" t="s">
        <v>252</v>
      </c>
      <c r="I53" t="s">
        <v>198</v>
      </c>
      <c r="J53" s="18">
        <v>9735.9599999999991</v>
      </c>
      <c r="K53" s="18"/>
      <c r="L53" s="18">
        <v>10169.4673688777</v>
      </c>
      <c r="M53" s="18">
        <v>-212.125712206164</v>
      </c>
      <c r="N53" s="18"/>
      <c r="O53" s="18"/>
      <c r="P53" s="3">
        <v>0</v>
      </c>
      <c r="Q53" s="3">
        <v>0</v>
      </c>
      <c r="R53" s="3">
        <v>0</v>
      </c>
      <c r="S53" s="3"/>
      <c r="T53" s="3" t="b">
        <v>0</v>
      </c>
      <c r="U53" s="3">
        <v>3825</v>
      </c>
      <c r="V53" s="3">
        <v>1</v>
      </c>
      <c r="W53" s="3">
        <v>1203</v>
      </c>
      <c r="X53" s="3">
        <v>14.1</v>
      </c>
    </row>
    <row r="54" spans="1:24" hidden="1">
      <c r="A54" s="1">
        <v>44958</v>
      </c>
      <c r="B54" s="1" t="s">
        <v>256</v>
      </c>
      <c r="C54" s="2" t="s">
        <v>251</v>
      </c>
      <c r="D54" s="2" t="s">
        <v>194</v>
      </c>
      <c r="E54" s="2" t="s">
        <v>195</v>
      </c>
      <c r="F54" s="2" t="s">
        <v>196</v>
      </c>
      <c r="G54" s="2" t="s">
        <v>155</v>
      </c>
      <c r="H54" s="2" t="s">
        <v>252</v>
      </c>
      <c r="I54" t="s">
        <v>198</v>
      </c>
      <c r="J54" s="18">
        <v>9496.06</v>
      </c>
      <c r="K54" s="18"/>
      <c r="L54" s="18">
        <v>10176.817016066399</v>
      </c>
      <c r="M54" s="18">
        <v>-534.35280266899804</v>
      </c>
      <c r="N54" s="18"/>
      <c r="O54" s="18"/>
      <c r="P54" s="3">
        <v>0</v>
      </c>
      <c r="Q54" s="3">
        <v>0</v>
      </c>
      <c r="R54" s="3">
        <v>0</v>
      </c>
      <c r="S54" s="3"/>
      <c r="T54" s="3" t="b">
        <v>0</v>
      </c>
      <c r="U54" s="3">
        <v>2928</v>
      </c>
      <c r="V54" s="3">
        <v>1</v>
      </c>
      <c r="W54" s="3">
        <v>1257</v>
      </c>
      <c r="X54" s="3">
        <v>14.12</v>
      </c>
    </row>
    <row r="55" spans="1:24" hidden="1">
      <c r="A55" s="1">
        <v>44986</v>
      </c>
      <c r="B55" s="1" t="s">
        <v>257</v>
      </c>
      <c r="C55" s="2" t="s">
        <v>251</v>
      </c>
      <c r="D55" s="2" t="s">
        <v>194</v>
      </c>
      <c r="E55" s="2" t="s">
        <v>195</v>
      </c>
      <c r="F55" s="2" t="s">
        <v>196</v>
      </c>
      <c r="G55" s="2" t="s">
        <v>155</v>
      </c>
      <c r="H55" s="2" t="s">
        <v>252</v>
      </c>
      <c r="I55" t="s">
        <v>198</v>
      </c>
      <c r="J55" s="18">
        <v>9896.98</v>
      </c>
      <c r="K55" s="18"/>
      <c r="L55" s="18">
        <v>10183.4554067874</v>
      </c>
      <c r="M55" s="18">
        <v>-359.59044482903602</v>
      </c>
      <c r="N55" s="18"/>
      <c r="O55" s="18"/>
      <c r="P55" s="3">
        <v>0</v>
      </c>
      <c r="Q55" s="3">
        <v>0</v>
      </c>
      <c r="R55" s="3">
        <v>0</v>
      </c>
      <c r="S55" s="3"/>
      <c r="T55" s="3" t="b">
        <v>0</v>
      </c>
      <c r="U55" s="3">
        <v>2793</v>
      </c>
      <c r="V55" s="3">
        <v>0</v>
      </c>
      <c r="W55" s="3">
        <v>1485</v>
      </c>
      <c r="X55" s="3">
        <v>15.85</v>
      </c>
    </row>
    <row r="56" spans="1:24" hidden="1">
      <c r="A56" s="1">
        <v>45017</v>
      </c>
      <c r="B56" s="1" t="s">
        <v>258</v>
      </c>
      <c r="C56" s="2" t="s">
        <v>251</v>
      </c>
      <c r="D56" s="2" t="s">
        <v>194</v>
      </c>
      <c r="E56" s="2" t="s">
        <v>195</v>
      </c>
      <c r="F56" s="2" t="s">
        <v>196</v>
      </c>
      <c r="G56" s="2" t="s">
        <v>155</v>
      </c>
      <c r="H56" s="2" t="s">
        <v>252</v>
      </c>
      <c r="I56" t="s">
        <v>198</v>
      </c>
      <c r="J56" s="18">
        <v>11249.05</v>
      </c>
      <c r="K56" s="18"/>
      <c r="L56" s="18">
        <v>10190.8050536558</v>
      </c>
      <c r="M56" s="18">
        <v>704.48202306872895</v>
      </c>
      <c r="N56" s="18"/>
      <c r="O56" s="18"/>
      <c r="P56" s="3">
        <v>0</v>
      </c>
      <c r="Q56" s="3">
        <v>0</v>
      </c>
      <c r="R56" s="3">
        <v>1</v>
      </c>
      <c r="S56" s="3"/>
      <c r="T56" s="3" t="b">
        <v>0</v>
      </c>
      <c r="U56" s="3">
        <v>3601</v>
      </c>
      <c r="V56" s="3">
        <v>1</v>
      </c>
      <c r="W56" s="3">
        <v>2540</v>
      </c>
      <c r="X56" s="3">
        <v>12.78</v>
      </c>
    </row>
    <row r="57" spans="1:24" hidden="1">
      <c r="A57" s="1">
        <v>45047</v>
      </c>
      <c r="B57" s="1" t="s">
        <v>259</v>
      </c>
      <c r="C57" s="2" t="s">
        <v>251</v>
      </c>
      <c r="D57" s="2" t="s">
        <v>194</v>
      </c>
      <c r="E57" s="2" t="s">
        <v>195</v>
      </c>
      <c r="F57" s="2" t="s">
        <v>196</v>
      </c>
      <c r="G57" s="2" t="s">
        <v>155</v>
      </c>
      <c r="H57" s="2" t="s">
        <v>252</v>
      </c>
      <c r="I57" t="s">
        <v>198</v>
      </c>
      <c r="J57" s="18">
        <v>10155.39</v>
      </c>
      <c r="K57" s="18"/>
      <c r="L57" s="18">
        <v>10197.9176146262</v>
      </c>
      <c r="M57" s="18">
        <v>-101.67715237073701</v>
      </c>
      <c r="N57" s="18"/>
      <c r="O57" s="18"/>
      <c r="P57" s="3">
        <v>0</v>
      </c>
      <c r="Q57" s="3">
        <v>0</v>
      </c>
      <c r="R57" s="3">
        <v>0</v>
      </c>
      <c r="S57" s="3"/>
      <c r="T57" s="3" t="b">
        <v>0</v>
      </c>
      <c r="U57" s="3">
        <v>3660</v>
      </c>
      <c r="V57" s="3">
        <v>1</v>
      </c>
      <c r="W57" s="3">
        <v>1445</v>
      </c>
      <c r="X57" s="3">
        <v>10.92</v>
      </c>
    </row>
    <row r="58" spans="1:24" hidden="1">
      <c r="A58" s="1">
        <v>45078</v>
      </c>
      <c r="B58" s="1" t="s">
        <v>260</v>
      </c>
      <c r="C58" s="2" t="s">
        <v>251</v>
      </c>
      <c r="D58" s="2" t="s">
        <v>194</v>
      </c>
      <c r="E58" s="2" t="s">
        <v>195</v>
      </c>
      <c r="F58" s="2" t="s">
        <v>196</v>
      </c>
      <c r="G58" s="2" t="s">
        <v>155</v>
      </c>
      <c r="H58" s="2" t="s">
        <v>252</v>
      </c>
      <c r="I58" t="s">
        <v>198</v>
      </c>
      <c r="J58" s="18">
        <v>10159.4</v>
      </c>
      <c r="K58" s="18"/>
      <c r="L58" s="18">
        <v>10205.2490312349</v>
      </c>
      <c r="M58" s="18">
        <v>73.672251653707406</v>
      </c>
      <c r="N58" s="18"/>
      <c r="O58" s="18"/>
      <c r="P58" s="3">
        <v>0</v>
      </c>
      <c r="Q58" s="3">
        <v>0</v>
      </c>
      <c r="R58" s="3">
        <v>0</v>
      </c>
      <c r="S58" s="3"/>
      <c r="T58" s="3" t="b">
        <v>1</v>
      </c>
      <c r="U58" s="3">
        <v>2318</v>
      </c>
      <c r="V58" s="3">
        <v>1</v>
      </c>
      <c r="W58" s="3">
        <v>2732</v>
      </c>
      <c r="X58" s="3">
        <v>13.48</v>
      </c>
    </row>
    <row r="59" spans="1:24" hidden="1">
      <c r="A59" s="1">
        <v>45108</v>
      </c>
      <c r="B59" s="1" t="s">
        <v>261</v>
      </c>
      <c r="C59" s="2" t="s">
        <v>251</v>
      </c>
      <c r="D59" s="2" t="s">
        <v>194</v>
      </c>
      <c r="E59" s="2" t="s">
        <v>195</v>
      </c>
      <c r="F59" s="2" t="s">
        <v>196</v>
      </c>
      <c r="G59" s="2" t="s">
        <v>155</v>
      </c>
      <c r="H59" s="2" t="s">
        <v>252</v>
      </c>
      <c r="I59" t="s">
        <v>198</v>
      </c>
      <c r="J59" s="18">
        <v>10617.67</v>
      </c>
      <c r="K59" s="18"/>
      <c r="L59" s="18">
        <v>10212.328253583601</v>
      </c>
      <c r="M59" s="18">
        <v>290.80744376387401</v>
      </c>
      <c r="N59" s="18"/>
      <c r="O59" s="18"/>
      <c r="P59" s="3">
        <v>0</v>
      </c>
      <c r="Q59" s="3">
        <v>0</v>
      </c>
      <c r="R59" s="3">
        <v>0</v>
      </c>
      <c r="S59" s="3"/>
      <c r="T59" s="3" t="b">
        <v>0</v>
      </c>
      <c r="U59" s="3">
        <v>3110</v>
      </c>
      <c r="V59" s="3">
        <v>0</v>
      </c>
      <c r="W59" s="3">
        <v>2203</v>
      </c>
      <c r="X59" s="3">
        <v>14.91</v>
      </c>
    </row>
    <row r="60" spans="1:24" hidden="1">
      <c r="A60" s="1">
        <v>45200</v>
      </c>
      <c r="B60" s="1" t="s">
        <v>262</v>
      </c>
      <c r="C60" s="2" t="s">
        <v>251</v>
      </c>
      <c r="D60" s="2" t="s">
        <v>194</v>
      </c>
      <c r="E60" s="2" t="s">
        <v>195</v>
      </c>
      <c r="F60" s="2" t="s">
        <v>196</v>
      </c>
      <c r="G60" s="2" t="s">
        <v>155</v>
      </c>
      <c r="H60" s="2" t="s">
        <v>252</v>
      </c>
      <c r="I60" t="s">
        <v>198</v>
      </c>
      <c r="J60" s="18">
        <v>9767.25</v>
      </c>
      <c r="K60" s="18"/>
      <c r="L60" s="18">
        <v>10234.008932423199</v>
      </c>
      <c r="M60" s="18">
        <v>-249.658688453515</v>
      </c>
      <c r="N60" s="18"/>
      <c r="O60" s="18"/>
      <c r="P60" s="3">
        <v>0</v>
      </c>
      <c r="Q60" s="3">
        <v>1</v>
      </c>
      <c r="R60" s="3">
        <v>0</v>
      </c>
      <c r="S60" s="3"/>
      <c r="T60" s="3" t="b">
        <v>0</v>
      </c>
      <c r="U60" s="3">
        <v>2846</v>
      </c>
      <c r="V60" s="3">
        <v>0</v>
      </c>
      <c r="W60" s="3">
        <v>1132</v>
      </c>
      <c r="X60" s="3">
        <v>13.39</v>
      </c>
    </row>
    <row r="61" spans="1:24" hidden="1">
      <c r="A61" s="1">
        <v>45231</v>
      </c>
      <c r="B61" s="1" t="s">
        <v>263</v>
      </c>
      <c r="C61" s="2" t="s">
        <v>251</v>
      </c>
      <c r="D61" s="2" t="s">
        <v>194</v>
      </c>
      <c r="E61" s="2" t="s">
        <v>195</v>
      </c>
      <c r="F61" s="2" t="s">
        <v>196</v>
      </c>
      <c r="G61" s="2" t="s">
        <v>155</v>
      </c>
      <c r="H61" s="2" t="s">
        <v>252</v>
      </c>
      <c r="I61" t="s">
        <v>198</v>
      </c>
      <c r="J61" s="18">
        <v>9605.0400000000009</v>
      </c>
      <c r="K61" s="18"/>
      <c r="L61" s="18">
        <v>10241.289769777501</v>
      </c>
      <c r="M61" s="18">
        <v>-624.20881377236606</v>
      </c>
      <c r="N61" s="18"/>
      <c r="O61" s="18"/>
      <c r="P61" s="3">
        <v>0</v>
      </c>
      <c r="Q61" s="3">
        <v>1</v>
      </c>
      <c r="R61" s="3">
        <v>0</v>
      </c>
      <c r="S61" s="3"/>
      <c r="T61" s="3" t="b">
        <v>0</v>
      </c>
      <c r="U61" s="3">
        <v>3801</v>
      </c>
      <c r="V61" s="3">
        <v>0</v>
      </c>
      <c r="W61" s="3">
        <v>1442</v>
      </c>
      <c r="X61" s="3">
        <v>3</v>
      </c>
    </row>
    <row r="62" spans="1:24" hidden="1">
      <c r="A62" s="1">
        <v>45261</v>
      </c>
      <c r="B62" s="1" t="s">
        <v>264</v>
      </c>
      <c r="C62" s="2" t="s">
        <v>251</v>
      </c>
      <c r="D62" s="2" t="s">
        <v>194</v>
      </c>
      <c r="E62" s="2" t="s">
        <v>195</v>
      </c>
      <c r="F62" s="2" t="s">
        <v>196</v>
      </c>
      <c r="G62" s="2" t="s">
        <v>155</v>
      </c>
      <c r="H62" s="2" t="s">
        <v>252</v>
      </c>
      <c r="I62" t="s">
        <v>198</v>
      </c>
      <c r="J62" s="18">
        <v>10006.83</v>
      </c>
      <c r="K62" s="18"/>
      <c r="L62" s="18">
        <v>10248.126492712599</v>
      </c>
      <c r="M62" s="18">
        <v>-580.738136592415</v>
      </c>
      <c r="N62" s="18"/>
      <c r="O62" s="18"/>
      <c r="P62" s="3">
        <v>0</v>
      </c>
      <c r="Q62" s="3">
        <v>1</v>
      </c>
      <c r="R62" s="3">
        <v>0</v>
      </c>
      <c r="S62" s="3"/>
      <c r="T62" s="3" t="b">
        <v>1</v>
      </c>
      <c r="U62" s="3">
        <v>2782</v>
      </c>
      <c r="V62" s="3">
        <v>1</v>
      </c>
      <c r="W62" s="3">
        <v>2859</v>
      </c>
      <c r="X62" s="3">
        <v>13.02</v>
      </c>
    </row>
    <row r="63" spans="1:24" hidden="1">
      <c r="A63" s="1">
        <v>45292</v>
      </c>
      <c r="B63" s="1" t="s">
        <v>265</v>
      </c>
      <c r="C63" s="2" t="s">
        <v>251</v>
      </c>
      <c r="D63" s="2" t="s">
        <v>194</v>
      </c>
      <c r="E63" s="2" t="s">
        <v>195</v>
      </c>
      <c r="F63" s="2" t="s">
        <v>196</v>
      </c>
      <c r="G63" s="2" t="s">
        <v>155</v>
      </c>
      <c r="H63" s="2" t="s">
        <v>252</v>
      </c>
      <c r="I63" t="s">
        <v>198</v>
      </c>
      <c r="J63" s="18">
        <v>10042.700000000001</v>
      </c>
      <c r="K63" s="18"/>
      <c r="L63" s="18">
        <v>10098.4086354554</v>
      </c>
      <c r="M63" s="18">
        <v>-277.19024022534501</v>
      </c>
      <c r="N63" s="18"/>
      <c r="O63" s="18"/>
      <c r="P63" s="3">
        <v>0</v>
      </c>
      <c r="Q63" s="3">
        <v>1</v>
      </c>
      <c r="R63" s="3">
        <v>0</v>
      </c>
      <c r="S63" s="3"/>
      <c r="T63" s="3" t="b">
        <v>0</v>
      </c>
      <c r="U63" s="3">
        <v>4089</v>
      </c>
      <c r="V63" s="3">
        <v>0</v>
      </c>
      <c r="W63" s="3">
        <v>1252</v>
      </c>
      <c r="X63" s="3">
        <v>15.84</v>
      </c>
    </row>
    <row r="64" spans="1:24" hidden="1">
      <c r="A64" s="1">
        <v>45323</v>
      </c>
      <c r="B64" s="1" t="s">
        <v>266</v>
      </c>
      <c r="C64" s="2" t="s">
        <v>251</v>
      </c>
      <c r="D64" s="2" t="s">
        <v>194</v>
      </c>
      <c r="E64" s="2" t="s">
        <v>195</v>
      </c>
      <c r="F64" s="2" t="s">
        <v>196</v>
      </c>
      <c r="G64" s="2" t="s">
        <v>155</v>
      </c>
      <c r="H64" s="2" t="s">
        <v>252</v>
      </c>
      <c r="I64" t="s">
        <v>198</v>
      </c>
      <c r="J64" s="18">
        <v>9624.69</v>
      </c>
      <c r="K64" s="18"/>
      <c r="L64" s="18">
        <v>9948.6554784257696</v>
      </c>
      <c r="M64" s="18">
        <v>-472.24081937557497</v>
      </c>
      <c r="N64" s="18"/>
      <c r="O64" s="18"/>
      <c r="P64" s="3">
        <v>0</v>
      </c>
      <c r="Q64" s="3">
        <v>1</v>
      </c>
      <c r="R64" s="3">
        <v>0</v>
      </c>
      <c r="S64" s="3"/>
      <c r="T64" s="3" t="b">
        <v>0</v>
      </c>
      <c r="U64" s="3">
        <v>3116</v>
      </c>
      <c r="V64" s="3">
        <v>0</v>
      </c>
      <c r="W64" s="3">
        <v>1264</v>
      </c>
      <c r="X64" s="3">
        <v>13.02</v>
      </c>
    </row>
    <row r="65" spans="1:24" hidden="1">
      <c r="A65" s="1">
        <v>45352</v>
      </c>
      <c r="B65" s="1" t="s">
        <v>267</v>
      </c>
      <c r="C65" s="2" t="s">
        <v>251</v>
      </c>
      <c r="D65" s="2" t="s">
        <v>194</v>
      </c>
      <c r="E65" s="2" t="s">
        <v>195</v>
      </c>
      <c r="F65" s="2" t="s">
        <v>196</v>
      </c>
      <c r="G65" s="2" t="s">
        <v>155</v>
      </c>
      <c r="H65" s="2" t="s">
        <v>252</v>
      </c>
      <c r="I65" t="s">
        <v>198</v>
      </c>
      <c r="J65" s="18">
        <v>9569.48</v>
      </c>
      <c r="K65" s="18"/>
      <c r="L65" s="18">
        <v>9808.5391820197201</v>
      </c>
      <c r="M65" s="18">
        <v>-160.355256605954</v>
      </c>
      <c r="N65" s="18"/>
      <c r="O65" s="18"/>
      <c r="P65" s="3">
        <v>0</v>
      </c>
      <c r="Q65" s="3">
        <v>1</v>
      </c>
      <c r="R65" s="3">
        <v>0</v>
      </c>
      <c r="S65" s="3"/>
      <c r="T65" s="3" t="b">
        <v>0</v>
      </c>
      <c r="U65" s="3">
        <v>3750</v>
      </c>
      <c r="V65" s="3">
        <v>0</v>
      </c>
      <c r="W65" s="3">
        <v>1092</v>
      </c>
      <c r="X65" s="3">
        <v>13.54</v>
      </c>
    </row>
    <row r="66" spans="1:24" hidden="1">
      <c r="A66" s="1">
        <v>45383</v>
      </c>
      <c r="B66" s="1" t="s">
        <v>268</v>
      </c>
      <c r="C66" s="2" t="s">
        <v>251</v>
      </c>
      <c r="D66" s="2" t="s">
        <v>194</v>
      </c>
      <c r="E66" s="2" t="s">
        <v>195</v>
      </c>
      <c r="F66" s="2" t="s">
        <v>196</v>
      </c>
      <c r="G66" s="2" t="s">
        <v>155</v>
      </c>
      <c r="H66" s="2" t="s">
        <v>252</v>
      </c>
      <c r="I66" t="s">
        <v>198</v>
      </c>
      <c r="J66" s="18">
        <v>9826.75</v>
      </c>
      <c r="K66" s="18"/>
      <c r="L66" s="18">
        <v>9658.7596925178896</v>
      </c>
      <c r="M66" s="18">
        <v>524.08242299245796</v>
      </c>
      <c r="N66" s="18"/>
      <c r="O66" s="18"/>
      <c r="P66" s="3">
        <v>0</v>
      </c>
      <c r="Q66" s="3">
        <v>1</v>
      </c>
      <c r="R66" s="3">
        <v>0</v>
      </c>
      <c r="S66" s="3"/>
      <c r="T66" s="3" t="b">
        <v>0</v>
      </c>
      <c r="U66" s="3">
        <v>4576</v>
      </c>
      <c r="V66" s="3">
        <v>1</v>
      </c>
      <c r="W66" s="3">
        <v>2685</v>
      </c>
      <c r="X66" s="3">
        <v>14.77</v>
      </c>
    </row>
    <row r="67" spans="1:24" hidden="1">
      <c r="A67" s="1">
        <v>45413</v>
      </c>
      <c r="B67" s="1" t="s">
        <v>269</v>
      </c>
      <c r="C67" s="2" t="s">
        <v>251</v>
      </c>
      <c r="D67" s="2" t="s">
        <v>194</v>
      </c>
      <c r="E67" s="2" t="s">
        <v>195</v>
      </c>
      <c r="F67" s="2" t="s">
        <v>196</v>
      </c>
      <c r="G67" s="2" t="s">
        <v>155</v>
      </c>
      <c r="H67" s="2" t="s">
        <v>252</v>
      </c>
      <c r="I67" t="s">
        <v>198</v>
      </c>
      <c r="J67" s="18">
        <v>9532.4599999999991</v>
      </c>
      <c r="K67" s="18"/>
      <c r="L67" s="18">
        <v>9513.8117992077405</v>
      </c>
      <c r="M67" s="18">
        <v>65.517361623535706</v>
      </c>
      <c r="N67" s="18"/>
      <c r="O67" s="18"/>
      <c r="P67" s="3">
        <v>0</v>
      </c>
      <c r="Q67" s="3">
        <v>1</v>
      </c>
      <c r="R67" s="3">
        <v>0</v>
      </c>
      <c r="S67" s="3"/>
      <c r="T67" s="3" t="b">
        <v>0</v>
      </c>
      <c r="U67" s="3">
        <v>3649</v>
      </c>
      <c r="V67" s="3">
        <v>0</v>
      </c>
      <c r="W67" s="3">
        <v>2434</v>
      </c>
      <c r="X67" s="3">
        <v>15.21</v>
      </c>
    </row>
    <row r="68" spans="1:24" hidden="1">
      <c r="A68" s="1">
        <v>45444</v>
      </c>
      <c r="B68" s="1" t="s">
        <v>270</v>
      </c>
      <c r="C68" s="2" t="s">
        <v>251</v>
      </c>
      <c r="D68" s="2" t="s">
        <v>194</v>
      </c>
      <c r="E68" s="2" t="s">
        <v>195</v>
      </c>
      <c r="F68" s="2" t="s">
        <v>196</v>
      </c>
      <c r="G68" s="2" t="s">
        <v>155</v>
      </c>
      <c r="H68" s="2" t="s">
        <v>252</v>
      </c>
      <c r="I68" t="s">
        <v>198</v>
      </c>
      <c r="J68" s="18">
        <v>9378.85</v>
      </c>
      <c r="K68" s="18"/>
      <c r="L68" s="18">
        <v>9364.0323094539108</v>
      </c>
      <c r="M68" s="18">
        <v>-99.479578117550105</v>
      </c>
      <c r="N68" s="18"/>
      <c r="O68" s="18"/>
      <c r="P68" s="3">
        <v>0</v>
      </c>
      <c r="Q68" s="3">
        <v>1</v>
      </c>
      <c r="R68" s="3">
        <v>0</v>
      </c>
      <c r="S68" s="3"/>
      <c r="T68" s="3" t="b">
        <v>0</v>
      </c>
      <c r="U68" s="3">
        <v>2291</v>
      </c>
      <c r="V68" s="3">
        <v>1</v>
      </c>
      <c r="W68" s="3">
        <v>1137</v>
      </c>
      <c r="X68" s="3">
        <v>13.66</v>
      </c>
    </row>
    <row r="69" spans="1:24" hidden="1">
      <c r="A69" s="1">
        <v>45474</v>
      </c>
      <c r="B69" s="1" t="s">
        <v>271</v>
      </c>
      <c r="C69" s="2" t="s">
        <v>251</v>
      </c>
      <c r="D69" s="2" t="s">
        <v>194</v>
      </c>
      <c r="E69" s="2" t="s">
        <v>195</v>
      </c>
      <c r="F69" s="2" t="s">
        <v>196</v>
      </c>
      <c r="G69" s="2" t="s">
        <v>155</v>
      </c>
      <c r="H69" s="2" t="s">
        <v>252</v>
      </c>
      <c r="I69" t="s">
        <v>198</v>
      </c>
      <c r="J69" s="18">
        <v>9585.85</v>
      </c>
      <c r="K69" s="18">
        <v>10909.76</v>
      </c>
      <c r="L69" s="18">
        <v>9219.0844161437599</v>
      </c>
      <c r="M69" s="18">
        <v>482.21872126072998</v>
      </c>
      <c r="N69" s="18">
        <v>11109.76</v>
      </c>
      <c r="O69" s="18">
        <v>10709.76</v>
      </c>
      <c r="P69" s="3">
        <v>0</v>
      </c>
      <c r="Q69" s="3">
        <v>1</v>
      </c>
      <c r="R69" s="3">
        <v>0</v>
      </c>
      <c r="S69" s="3"/>
      <c r="T69" s="3" t="b">
        <v>0</v>
      </c>
      <c r="U69" s="3">
        <v>2968</v>
      </c>
      <c r="V69" s="3">
        <v>0</v>
      </c>
      <c r="W69" s="3">
        <v>2231</v>
      </c>
      <c r="X69" s="3">
        <v>12.37</v>
      </c>
    </row>
    <row r="70" spans="1:24" hidden="1">
      <c r="A70" s="1">
        <v>45505</v>
      </c>
      <c r="B70" s="1" t="s">
        <v>272</v>
      </c>
      <c r="C70" s="2" t="s">
        <v>251</v>
      </c>
      <c r="D70" s="2" t="s">
        <v>194</v>
      </c>
      <c r="E70" s="2" t="s">
        <v>195</v>
      </c>
      <c r="F70" s="2" t="s">
        <v>196</v>
      </c>
      <c r="G70" s="2" t="s">
        <v>155</v>
      </c>
      <c r="H70" s="2" t="s">
        <v>252</v>
      </c>
      <c r="I70" t="s">
        <v>198</v>
      </c>
      <c r="J70" s="18">
        <v>9489.2800000000007</v>
      </c>
      <c r="K70" s="18">
        <v>10881</v>
      </c>
      <c r="L70" s="18">
        <v>9069.3049263899393</v>
      </c>
      <c r="M70" s="18">
        <v>417.35997630940199</v>
      </c>
      <c r="N70" s="18">
        <v>11081</v>
      </c>
      <c r="O70" s="18">
        <v>10681</v>
      </c>
      <c r="P70" s="3">
        <v>0</v>
      </c>
      <c r="Q70" s="3">
        <v>1</v>
      </c>
      <c r="R70" s="3">
        <v>0</v>
      </c>
      <c r="S70" s="3"/>
      <c r="T70" s="3" t="b">
        <v>0</v>
      </c>
      <c r="U70" s="3">
        <v>3487</v>
      </c>
      <c r="V70" s="3">
        <v>1</v>
      </c>
      <c r="W70" s="3">
        <v>2001</v>
      </c>
      <c r="X70" s="3">
        <v>14.01</v>
      </c>
    </row>
    <row r="71" spans="1:24" hidden="1">
      <c r="A71" s="1">
        <v>45536</v>
      </c>
      <c r="B71" s="1" t="s">
        <v>273</v>
      </c>
      <c r="C71" s="2" t="s">
        <v>251</v>
      </c>
      <c r="D71" s="2" t="s">
        <v>194</v>
      </c>
      <c r="E71" s="2" t="s">
        <v>195</v>
      </c>
      <c r="F71" s="2" t="s">
        <v>196</v>
      </c>
      <c r="G71" s="2" t="s">
        <v>155</v>
      </c>
      <c r="H71" s="2" t="s">
        <v>252</v>
      </c>
      <c r="I71" t="s">
        <v>198</v>
      </c>
      <c r="J71" s="18">
        <v>9745.69</v>
      </c>
      <c r="K71" s="18">
        <v>11242.26</v>
      </c>
      <c r="L71" s="18">
        <v>8919.5254366361205</v>
      </c>
      <c r="M71" s="18">
        <v>826.63339669166703</v>
      </c>
      <c r="N71" s="18">
        <v>11442.26</v>
      </c>
      <c r="O71" s="18">
        <v>11042.26</v>
      </c>
      <c r="P71" s="3">
        <v>0</v>
      </c>
      <c r="Q71" s="3">
        <v>1</v>
      </c>
      <c r="R71" s="3">
        <v>0</v>
      </c>
      <c r="S71" s="3"/>
      <c r="T71" s="3" t="b">
        <v>0</v>
      </c>
      <c r="U71" s="3">
        <v>3842</v>
      </c>
      <c r="V71" s="3">
        <v>2</v>
      </c>
      <c r="W71" s="3">
        <v>2660</v>
      </c>
      <c r="X71" s="3">
        <v>14.63</v>
      </c>
    </row>
    <row r="72" spans="1:24" hidden="1">
      <c r="A72" s="1">
        <v>45566</v>
      </c>
      <c r="B72" s="1" t="s">
        <v>274</v>
      </c>
      <c r="C72" s="2" t="s">
        <v>251</v>
      </c>
      <c r="D72" s="2" t="s">
        <v>194</v>
      </c>
      <c r="E72" s="2" t="s">
        <v>195</v>
      </c>
      <c r="F72" s="2" t="s">
        <v>196</v>
      </c>
      <c r="G72" s="2" t="s">
        <v>155</v>
      </c>
      <c r="H72" s="2" t="s">
        <v>252</v>
      </c>
      <c r="I72" t="s">
        <v>224</v>
      </c>
      <c r="J72" s="18"/>
      <c r="K72" s="18">
        <v>11292.34</v>
      </c>
      <c r="L72" s="18">
        <v>8774.5775433259696</v>
      </c>
      <c r="M72" s="18">
        <v>-461.17482188456</v>
      </c>
      <c r="N72" s="18">
        <v>11492.34</v>
      </c>
      <c r="O72" s="18">
        <v>11092.34</v>
      </c>
      <c r="P72" s="3"/>
      <c r="Q72" s="3"/>
      <c r="R72" s="3"/>
      <c r="S72" s="3"/>
      <c r="T72" s="3"/>
      <c r="U72" s="3"/>
      <c r="V72" s="3"/>
      <c r="W72" s="3">
        <v>2769</v>
      </c>
      <c r="X72" s="3">
        <v>13.59</v>
      </c>
    </row>
    <row r="73" spans="1:24" hidden="1">
      <c r="A73" s="1">
        <v>45597</v>
      </c>
      <c r="B73" s="1" t="s">
        <v>275</v>
      </c>
      <c r="C73" s="2" t="s">
        <v>251</v>
      </c>
      <c r="D73" s="2" t="s">
        <v>194</v>
      </c>
      <c r="E73" s="2" t="s">
        <v>195</v>
      </c>
      <c r="F73" s="2" t="s">
        <v>196</v>
      </c>
      <c r="G73" s="2" t="s">
        <v>155</v>
      </c>
      <c r="H73" s="2" t="s">
        <v>252</v>
      </c>
      <c r="I73" t="s">
        <v>224</v>
      </c>
      <c r="J73" s="18"/>
      <c r="K73" s="18">
        <v>11635.78</v>
      </c>
      <c r="L73" s="18">
        <v>8624.7980535721508</v>
      </c>
      <c r="M73" s="18">
        <v>-434.85628980263903</v>
      </c>
      <c r="N73" s="18">
        <v>11835.78</v>
      </c>
      <c r="O73" s="18">
        <v>11435.78</v>
      </c>
      <c r="P73" s="3"/>
      <c r="Q73" s="3"/>
      <c r="R73" s="3"/>
      <c r="S73" s="3"/>
      <c r="T73" s="3"/>
      <c r="U73" s="3"/>
      <c r="V73" s="3"/>
      <c r="W73" s="3">
        <v>2596</v>
      </c>
      <c r="X73" s="3">
        <v>11.96</v>
      </c>
    </row>
    <row r="74" spans="1:24" hidden="1">
      <c r="A74" s="1">
        <v>45627</v>
      </c>
      <c r="B74" s="1" t="s">
        <v>276</v>
      </c>
      <c r="C74" s="2" t="s">
        <v>251</v>
      </c>
      <c r="D74" s="2" t="s">
        <v>194</v>
      </c>
      <c r="E74" s="2" t="s">
        <v>195</v>
      </c>
      <c r="F74" s="2" t="s">
        <v>196</v>
      </c>
      <c r="G74" s="2" t="s">
        <v>155</v>
      </c>
      <c r="H74" s="2" t="s">
        <v>252</v>
      </c>
      <c r="I74" t="s">
        <v>224</v>
      </c>
      <c r="J74" s="18"/>
      <c r="K74" s="18">
        <v>12125.47</v>
      </c>
      <c r="L74" s="18">
        <v>8479.8501602619999</v>
      </c>
      <c r="M74" s="18">
        <v>-766.32503702233896</v>
      </c>
      <c r="N74" s="18">
        <v>12325.47</v>
      </c>
      <c r="O74" s="18">
        <v>11925.47</v>
      </c>
      <c r="P74" s="3"/>
      <c r="Q74" s="3"/>
      <c r="R74" s="3"/>
      <c r="S74" s="3"/>
      <c r="T74" s="3"/>
      <c r="U74" s="3"/>
      <c r="V74" s="3"/>
      <c r="W74" s="3">
        <v>1306</v>
      </c>
      <c r="X74" s="3">
        <v>13.35</v>
      </c>
    </row>
    <row r="75" spans="1:24" hidden="1">
      <c r="A75" s="1">
        <v>44562</v>
      </c>
      <c r="B75" s="1" t="s">
        <v>277</v>
      </c>
      <c r="C75" s="2" t="s">
        <v>278</v>
      </c>
      <c r="D75" s="2" t="s">
        <v>279</v>
      </c>
      <c r="E75" s="2" t="s">
        <v>280</v>
      </c>
      <c r="F75" s="2" t="s">
        <v>281</v>
      </c>
      <c r="G75" s="2" t="s">
        <v>282</v>
      </c>
      <c r="H75" s="2" t="s">
        <v>283</v>
      </c>
      <c r="I75" t="s">
        <v>198</v>
      </c>
      <c r="J75" s="18">
        <v>16454.84</v>
      </c>
      <c r="K75" s="18"/>
      <c r="L75" s="18">
        <v>15711.95482015</v>
      </c>
      <c r="M75" s="18">
        <v>445.66926153638201</v>
      </c>
      <c r="N75" s="18"/>
      <c r="O75" s="18"/>
      <c r="P75" s="3">
        <v>0</v>
      </c>
      <c r="Q75" s="3">
        <v>0</v>
      </c>
      <c r="R75" s="3">
        <v>0</v>
      </c>
      <c r="S75" s="3"/>
      <c r="T75" s="3" t="b">
        <v>0</v>
      </c>
      <c r="U75" s="3">
        <v>3553</v>
      </c>
      <c r="V75" s="3">
        <v>0</v>
      </c>
      <c r="W75" s="3">
        <v>2099</v>
      </c>
      <c r="X75" s="3">
        <v>13.53</v>
      </c>
    </row>
    <row r="76" spans="1:24" hidden="1">
      <c r="A76" s="1">
        <v>44713</v>
      </c>
      <c r="B76" s="1" t="s">
        <v>284</v>
      </c>
      <c r="C76" s="2" t="s">
        <v>278</v>
      </c>
      <c r="D76" s="2" t="s">
        <v>279</v>
      </c>
      <c r="E76" s="2" t="s">
        <v>280</v>
      </c>
      <c r="F76" s="2" t="s">
        <v>281</v>
      </c>
      <c r="G76" s="2" t="s">
        <v>282</v>
      </c>
      <c r="H76" s="2" t="s">
        <v>283</v>
      </c>
      <c r="I76" t="s">
        <v>198</v>
      </c>
      <c r="J76" s="18">
        <v>17304.41</v>
      </c>
      <c r="K76" s="18"/>
      <c r="L76" s="18">
        <v>16535.3567580897</v>
      </c>
      <c r="M76" s="18">
        <v>901.520412420664</v>
      </c>
      <c r="N76" s="18"/>
      <c r="O76" s="18"/>
      <c r="P76" s="3">
        <v>0</v>
      </c>
      <c r="Q76" s="3">
        <v>0</v>
      </c>
      <c r="R76" s="3">
        <v>0</v>
      </c>
      <c r="S76" s="3"/>
      <c r="T76" s="3" t="b">
        <v>0</v>
      </c>
      <c r="U76" s="3">
        <v>2018</v>
      </c>
      <c r="V76" s="3">
        <v>0</v>
      </c>
      <c r="W76" s="3">
        <v>1108</v>
      </c>
      <c r="X76" s="3">
        <v>12.78</v>
      </c>
    </row>
    <row r="77" spans="1:24" hidden="1">
      <c r="A77" s="1">
        <v>44743</v>
      </c>
      <c r="B77" s="1" t="s">
        <v>285</v>
      </c>
      <c r="C77" s="2" t="s">
        <v>278</v>
      </c>
      <c r="D77" s="2" t="s">
        <v>279</v>
      </c>
      <c r="E77" s="2" t="s">
        <v>280</v>
      </c>
      <c r="F77" s="2" t="s">
        <v>281</v>
      </c>
      <c r="G77" s="2" t="s">
        <v>282</v>
      </c>
      <c r="H77" s="2" t="s">
        <v>283</v>
      </c>
      <c r="I77" t="s">
        <v>198</v>
      </c>
      <c r="J77" s="18">
        <v>17395.439999999999</v>
      </c>
      <c r="K77" s="18"/>
      <c r="L77" s="18">
        <v>16698.946547226202</v>
      </c>
      <c r="M77" s="18">
        <v>468.10738066208597</v>
      </c>
      <c r="N77" s="18"/>
      <c r="O77" s="18"/>
      <c r="P77" s="3">
        <v>0</v>
      </c>
      <c r="Q77" s="3">
        <v>0</v>
      </c>
      <c r="R77" s="3">
        <v>0</v>
      </c>
      <c r="S77" s="3"/>
      <c r="T77" s="3" t="b">
        <v>0</v>
      </c>
      <c r="U77" s="3">
        <v>3407</v>
      </c>
      <c r="V77" s="3">
        <v>0</v>
      </c>
      <c r="W77" s="3">
        <v>1640</v>
      </c>
      <c r="X77" s="3">
        <v>12.76</v>
      </c>
    </row>
    <row r="78" spans="1:24" hidden="1">
      <c r="A78" s="1">
        <v>44774</v>
      </c>
      <c r="B78" s="1" t="s">
        <v>286</v>
      </c>
      <c r="C78" s="2" t="s">
        <v>278</v>
      </c>
      <c r="D78" s="2" t="s">
        <v>279</v>
      </c>
      <c r="E78" s="2" t="s">
        <v>280</v>
      </c>
      <c r="F78" s="2" t="s">
        <v>281</v>
      </c>
      <c r="G78" s="2" t="s">
        <v>282</v>
      </c>
      <c r="H78" s="2" t="s">
        <v>283</v>
      </c>
      <c r="I78" t="s">
        <v>198</v>
      </c>
      <c r="J78" s="18">
        <v>17301.93</v>
      </c>
      <c r="K78" s="18"/>
      <c r="L78" s="18">
        <v>16867.989329288899</v>
      </c>
      <c r="M78" s="18">
        <v>-685.23015727956499</v>
      </c>
      <c r="N78" s="18"/>
      <c r="O78" s="18"/>
      <c r="P78" s="3">
        <v>0</v>
      </c>
      <c r="Q78" s="3">
        <v>0</v>
      </c>
      <c r="R78" s="3">
        <v>0</v>
      </c>
      <c r="S78" s="3"/>
      <c r="T78" s="3" t="b">
        <v>0</v>
      </c>
      <c r="U78" s="3">
        <v>3216</v>
      </c>
      <c r="V78" s="3">
        <v>0</v>
      </c>
      <c r="W78" s="3">
        <v>2545</v>
      </c>
      <c r="X78" s="3">
        <v>11.52</v>
      </c>
    </row>
    <row r="79" spans="1:24" hidden="1">
      <c r="A79" s="1">
        <v>44805</v>
      </c>
      <c r="B79" s="1" t="s">
        <v>287</v>
      </c>
      <c r="C79" s="2" t="s">
        <v>278</v>
      </c>
      <c r="D79" s="2" t="s">
        <v>279</v>
      </c>
      <c r="E79" s="2" t="s">
        <v>280</v>
      </c>
      <c r="F79" s="2" t="s">
        <v>281</v>
      </c>
      <c r="G79" s="2" t="s">
        <v>282</v>
      </c>
      <c r="H79" s="2" t="s">
        <v>283</v>
      </c>
      <c r="I79" t="s">
        <v>198</v>
      </c>
      <c r="J79" s="18">
        <v>17405.599999999999</v>
      </c>
      <c r="K79" s="18"/>
      <c r="L79" s="18">
        <v>17037.032111087799</v>
      </c>
      <c r="M79" s="18">
        <v>-990.16779381259596</v>
      </c>
      <c r="N79" s="18"/>
      <c r="O79" s="18"/>
      <c r="P79" s="3">
        <v>0</v>
      </c>
      <c r="Q79" s="3">
        <v>0</v>
      </c>
      <c r="R79" s="3">
        <v>0</v>
      </c>
      <c r="S79" s="3"/>
      <c r="T79" s="3" t="b">
        <v>0</v>
      </c>
      <c r="U79" s="3">
        <v>4284</v>
      </c>
      <c r="V79" s="3">
        <v>1</v>
      </c>
      <c r="W79" s="3">
        <v>2070</v>
      </c>
      <c r="X79" s="3">
        <v>14.36</v>
      </c>
    </row>
    <row r="80" spans="1:24" hidden="1">
      <c r="A80" s="1">
        <v>44835</v>
      </c>
      <c r="B80" s="1" t="s">
        <v>288</v>
      </c>
      <c r="C80" s="2" t="s">
        <v>278</v>
      </c>
      <c r="D80" s="2" t="s">
        <v>279</v>
      </c>
      <c r="E80" s="2" t="s">
        <v>280</v>
      </c>
      <c r="F80" s="2" t="s">
        <v>281</v>
      </c>
      <c r="G80" s="2" t="s">
        <v>282</v>
      </c>
      <c r="H80" s="2" t="s">
        <v>283</v>
      </c>
      <c r="I80" t="s">
        <v>198</v>
      </c>
      <c r="J80" s="18">
        <v>17592.03</v>
      </c>
      <c r="K80" s="18"/>
      <c r="L80" s="18">
        <v>17200.621899695201</v>
      </c>
      <c r="M80" s="18">
        <v>365.167635019579</v>
      </c>
      <c r="N80" s="18"/>
      <c r="O80" s="18"/>
      <c r="P80" s="3">
        <v>0</v>
      </c>
      <c r="Q80" s="3">
        <v>0</v>
      </c>
      <c r="R80" s="3">
        <v>0</v>
      </c>
      <c r="S80" s="3"/>
      <c r="T80" s="3" t="b">
        <v>0</v>
      </c>
      <c r="U80" s="3">
        <v>3410</v>
      </c>
      <c r="V80" s="3">
        <v>2</v>
      </c>
      <c r="W80" s="3">
        <v>1378</v>
      </c>
      <c r="X80" s="3">
        <v>13.05</v>
      </c>
    </row>
    <row r="81" spans="1:24" hidden="1">
      <c r="A81" s="1">
        <v>44866</v>
      </c>
      <c r="B81" s="1" t="s">
        <v>289</v>
      </c>
      <c r="C81" s="2" t="s">
        <v>278</v>
      </c>
      <c r="D81" s="2" t="s">
        <v>279</v>
      </c>
      <c r="E81" s="2" t="s">
        <v>280</v>
      </c>
      <c r="F81" s="2" t="s">
        <v>281</v>
      </c>
      <c r="G81" s="2" t="s">
        <v>282</v>
      </c>
      <c r="H81" s="2" t="s">
        <v>283</v>
      </c>
      <c r="I81" t="s">
        <v>198</v>
      </c>
      <c r="J81" s="18">
        <v>17849.39</v>
      </c>
      <c r="K81" s="18"/>
      <c r="L81" s="18">
        <v>17369.6646812988</v>
      </c>
      <c r="M81" s="18">
        <v>501.42039691930199</v>
      </c>
      <c r="N81" s="18"/>
      <c r="O81" s="18"/>
      <c r="P81" s="3">
        <v>0</v>
      </c>
      <c r="Q81" s="3">
        <v>0</v>
      </c>
      <c r="R81" s="3">
        <v>0</v>
      </c>
      <c r="S81" s="3"/>
      <c r="T81" s="3" t="b">
        <v>1</v>
      </c>
      <c r="U81" s="3">
        <v>2276</v>
      </c>
      <c r="V81" s="3">
        <v>0</v>
      </c>
      <c r="W81" s="3">
        <v>2850</v>
      </c>
      <c r="X81" s="3">
        <v>13.43</v>
      </c>
    </row>
    <row r="82" spans="1:24" hidden="1">
      <c r="A82" s="1">
        <v>44896</v>
      </c>
      <c r="B82" s="1" t="s">
        <v>290</v>
      </c>
      <c r="C82" s="2" t="s">
        <v>278</v>
      </c>
      <c r="D82" s="2" t="s">
        <v>279</v>
      </c>
      <c r="E82" s="2" t="s">
        <v>280</v>
      </c>
      <c r="F82" s="2" t="s">
        <v>281</v>
      </c>
      <c r="G82" s="2" t="s">
        <v>282</v>
      </c>
      <c r="H82" s="2" t="s">
        <v>283</v>
      </c>
      <c r="I82" t="s">
        <v>198</v>
      </c>
      <c r="J82" s="18">
        <v>17643.169999999998</v>
      </c>
      <c r="K82" s="18"/>
      <c r="L82" s="18">
        <v>17533.254470190801</v>
      </c>
      <c r="M82" s="18">
        <v>95.810988738140097</v>
      </c>
      <c r="N82" s="18"/>
      <c r="O82" s="18"/>
      <c r="P82" s="3">
        <v>0</v>
      </c>
      <c r="Q82" s="3">
        <v>0</v>
      </c>
      <c r="R82" s="3">
        <v>0</v>
      </c>
      <c r="S82" s="3"/>
      <c r="T82" s="3" t="b">
        <v>0</v>
      </c>
      <c r="U82" s="3">
        <v>2744</v>
      </c>
      <c r="V82" s="3">
        <v>0</v>
      </c>
      <c r="W82" s="3">
        <v>2119</v>
      </c>
      <c r="X82" s="3">
        <v>11.18</v>
      </c>
    </row>
    <row r="83" spans="1:24" hidden="1">
      <c r="A83" s="1">
        <v>44927</v>
      </c>
      <c r="B83" s="1" t="s">
        <v>291</v>
      </c>
      <c r="C83" s="2" t="s">
        <v>278</v>
      </c>
      <c r="D83" s="2" t="s">
        <v>279</v>
      </c>
      <c r="E83" s="2" t="s">
        <v>280</v>
      </c>
      <c r="F83" s="2" t="s">
        <v>281</v>
      </c>
      <c r="G83" s="2" t="s">
        <v>282</v>
      </c>
      <c r="H83" s="2" t="s">
        <v>283</v>
      </c>
      <c r="I83" t="s">
        <v>198</v>
      </c>
      <c r="J83" s="18">
        <v>17650.75</v>
      </c>
      <c r="K83" s="18"/>
      <c r="L83" s="18">
        <v>17702.297252162301</v>
      </c>
      <c r="M83" s="18">
        <v>266.14413029172499</v>
      </c>
      <c r="N83" s="18"/>
      <c r="O83" s="18"/>
      <c r="P83" s="3">
        <v>0</v>
      </c>
      <c r="Q83" s="3">
        <v>0</v>
      </c>
      <c r="R83" s="3">
        <v>0</v>
      </c>
      <c r="S83" s="3"/>
      <c r="T83" s="3" t="b">
        <v>0</v>
      </c>
      <c r="U83" s="3">
        <v>2551</v>
      </c>
      <c r="V83" s="3">
        <v>0</v>
      </c>
      <c r="W83" s="3">
        <v>1957</v>
      </c>
      <c r="X83" s="3">
        <v>13.02</v>
      </c>
    </row>
    <row r="84" spans="1:24" hidden="1">
      <c r="A84" s="1">
        <v>44958</v>
      </c>
      <c r="B84" s="1" t="s">
        <v>292</v>
      </c>
      <c r="C84" s="2" t="s">
        <v>278</v>
      </c>
      <c r="D84" s="2" t="s">
        <v>279</v>
      </c>
      <c r="E84" s="2" t="s">
        <v>280</v>
      </c>
      <c r="F84" s="2" t="s">
        <v>281</v>
      </c>
      <c r="G84" s="2" t="s">
        <v>282</v>
      </c>
      <c r="H84" s="2" t="s">
        <v>283</v>
      </c>
      <c r="I84" t="s">
        <v>198</v>
      </c>
      <c r="J84" s="18">
        <v>17297.18</v>
      </c>
      <c r="K84" s="18"/>
      <c r="L84" s="18">
        <v>17871.340033931101</v>
      </c>
      <c r="M84" s="18">
        <v>-595.20748687756395</v>
      </c>
      <c r="N84" s="18"/>
      <c r="O84" s="18"/>
      <c r="P84" s="3">
        <v>0</v>
      </c>
      <c r="Q84" s="3">
        <v>0</v>
      </c>
      <c r="R84" s="3">
        <v>0</v>
      </c>
      <c r="S84" s="3"/>
      <c r="T84" s="3" t="b">
        <v>0</v>
      </c>
      <c r="U84" s="3">
        <v>3176</v>
      </c>
      <c r="V84" s="3">
        <v>0</v>
      </c>
      <c r="W84" s="3">
        <v>1102</v>
      </c>
      <c r="X84" s="3">
        <v>14.18</v>
      </c>
    </row>
    <row r="85" spans="1:24" hidden="1">
      <c r="A85" s="1">
        <v>44986</v>
      </c>
      <c r="B85" s="1" t="s">
        <v>293</v>
      </c>
      <c r="C85" s="2" t="s">
        <v>278</v>
      </c>
      <c r="D85" s="2" t="s">
        <v>279</v>
      </c>
      <c r="E85" s="2" t="s">
        <v>280</v>
      </c>
      <c r="F85" s="2" t="s">
        <v>281</v>
      </c>
      <c r="G85" s="2" t="s">
        <v>282</v>
      </c>
      <c r="H85" s="2" t="s">
        <v>283</v>
      </c>
      <c r="I85" t="s">
        <v>198</v>
      </c>
      <c r="J85" s="18">
        <v>17807.830000000002</v>
      </c>
      <c r="K85" s="18"/>
      <c r="L85" s="18">
        <v>18024.023836876699</v>
      </c>
      <c r="M85" s="18">
        <v>617.37835093189506</v>
      </c>
      <c r="N85" s="18"/>
      <c r="O85" s="18"/>
      <c r="P85" s="3">
        <v>0</v>
      </c>
      <c r="Q85" s="3">
        <v>0</v>
      </c>
      <c r="R85" s="3">
        <v>0</v>
      </c>
      <c r="S85" s="3"/>
      <c r="T85" s="3" t="b">
        <v>0</v>
      </c>
      <c r="U85" s="3">
        <v>2638</v>
      </c>
      <c r="V85" s="3">
        <v>0</v>
      </c>
      <c r="W85" s="3">
        <v>1891</v>
      </c>
      <c r="X85" s="3">
        <v>12.32</v>
      </c>
    </row>
    <row r="86" spans="1:24" hidden="1">
      <c r="A86" s="1">
        <v>45017</v>
      </c>
      <c r="B86" s="1" t="s">
        <v>294</v>
      </c>
      <c r="C86" s="2" t="s">
        <v>278</v>
      </c>
      <c r="D86" s="2" t="s">
        <v>279</v>
      </c>
      <c r="E86" s="2" t="s">
        <v>280</v>
      </c>
      <c r="F86" s="2" t="s">
        <v>281</v>
      </c>
      <c r="G86" s="2" t="s">
        <v>282</v>
      </c>
      <c r="H86" s="2" t="s">
        <v>283</v>
      </c>
      <c r="I86" t="s">
        <v>198</v>
      </c>
      <c r="J86" s="18">
        <v>17993.29</v>
      </c>
      <c r="K86" s="18"/>
      <c r="L86" s="18">
        <v>18193.066618812201</v>
      </c>
      <c r="M86" s="18">
        <v>1335.9464186279799</v>
      </c>
      <c r="N86" s="18"/>
      <c r="O86" s="18"/>
      <c r="P86" s="3">
        <v>0</v>
      </c>
      <c r="Q86" s="3">
        <v>0</v>
      </c>
      <c r="R86" s="3">
        <v>0</v>
      </c>
      <c r="S86" s="3"/>
      <c r="T86" s="3" t="b">
        <v>0</v>
      </c>
      <c r="U86" s="3">
        <v>2236</v>
      </c>
      <c r="V86" s="3">
        <v>2</v>
      </c>
      <c r="W86" s="3">
        <v>1853</v>
      </c>
      <c r="X86" s="3">
        <v>12.91</v>
      </c>
    </row>
    <row r="87" spans="1:24" hidden="1">
      <c r="A87" s="1">
        <v>45047</v>
      </c>
      <c r="B87" s="1" t="s">
        <v>295</v>
      </c>
      <c r="C87" s="2" t="s">
        <v>278</v>
      </c>
      <c r="D87" s="2" t="s">
        <v>279</v>
      </c>
      <c r="E87" s="2" t="s">
        <v>280</v>
      </c>
      <c r="F87" s="2" t="s">
        <v>281</v>
      </c>
      <c r="G87" s="2" t="s">
        <v>282</v>
      </c>
      <c r="H87" s="2" t="s">
        <v>283</v>
      </c>
      <c r="I87" t="s">
        <v>198</v>
      </c>
      <c r="J87" s="18">
        <v>10477.58</v>
      </c>
      <c r="K87" s="18"/>
      <c r="L87" s="18">
        <v>18356.656407980001</v>
      </c>
      <c r="M87" s="18">
        <v>-3372.8667148075101</v>
      </c>
      <c r="N87" s="18"/>
      <c r="O87" s="18"/>
      <c r="P87" s="3">
        <v>0</v>
      </c>
      <c r="Q87" s="3">
        <v>0</v>
      </c>
      <c r="R87" s="3">
        <v>1</v>
      </c>
      <c r="S87" s="3"/>
      <c r="T87" s="3" t="b">
        <v>0</v>
      </c>
      <c r="U87" s="3">
        <v>2997</v>
      </c>
      <c r="V87" s="3">
        <v>1</v>
      </c>
      <c r="W87" s="3">
        <v>2169</v>
      </c>
      <c r="X87" s="3">
        <v>13.1</v>
      </c>
    </row>
    <row r="88" spans="1:24" hidden="1">
      <c r="A88" s="1">
        <v>45078</v>
      </c>
      <c r="B88" s="1" t="s">
        <v>296</v>
      </c>
      <c r="C88" s="2" t="s">
        <v>278</v>
      </c>
      <c r="D88" s="2" t="s">
        <v>279</v>
      </c>
      <c r="E88" s="2" t="s">
        <v>280</v>
      </c>
      <c r="F88" s="2" t="s">
        <v>281</v>
      </c>
      <c r="G88" s="2" t="s">
        <v>282</v>
      </c>
      <c r="H88" s="2" t="s">
        <v>283</v>
      </c>
      <c r="I88" t="s">
        <v>198</v>
      </c>
      <c r="J88" s="18">
        <v>18512.400000000001</v>
      </c>
      <c r="K88" s="18"/>
      <c r="L88" s="18">
        <v>18525.703651310901</v>
      </c>
      <c r="M88" s="18">
        <v>1053.63015926823</v>
      </c>
      <c r="N88" s="18"/>
      <c r="O88" s="18"/>
      <c r="P88" s="3">
        <v>0</v>
      </c>
      <c r="Q88" s="3">
        <v>0</v>
      </c>
      <c r="R88" s="3">
        <v>0</v>
      </c>
      <c r="S88" s="3"/>
      <c r="T88" s="3" t="b">
        <v>0</v>
      </c>
      <c r="U88" s="3">
        <v>4102</v>
      </c>
      <c r="V88" s="3">
        <v>0</v>
      </c>
      <c r="W88" s="3">
        <v>2903</v>
      </c>
      <c r="X88" s="3">
        <v>13.2</v>
      </c>
    </row>
    <row r="89" spans="1:24" hidden="1">
      <c r="A89" s="1">
        <v>45108</v>
      </c>
      <c r="B89" s="1" t="s">
        <v>297</v>
      </c>
      <c r="C89" s="2" t="s">
        <v>278</v>
      </c>
      <c r="D89" s="2" t="s">
        <v>279</v>
      </c>
      <c r="E89" s="2" t="s">
        <v>280</v>
      </c>
      <c r="F89" s="2" t="s">
        <v>281</v>
      </c>
      <c r="G89" s="2" t="s">
        <v>282</v>
      </c>
      <c r="H89" s="2" t="s">
        <v>283</v>
      </c>
      <c r="I89" t="s">
        <v>198</v>
      </c>
      <c r="J89" s="18">
        <v>21351.27</v>
      </c>
      <c r="K89" s="18"/>
      <c r="L89" s="18">
        <v>18689.2977576636</v>
      </c>
      <c r="M89" s="18">
        <v>303.807807555963</v>
      </c>
      <c r="N89" s="18"/>
      <c r="O89" s="18"/>
      <c r="P89" s="3">
        <v>1</v>
      </c>
      <c r="Q89" s="3">
        <v>0</v>
      </c>
      <c r="R89" s="3">
        <v>0</v>
      </c>
      <c r="S89" s="3"/>
      <c r="T89" s="3" t="b">
        <v>0</v>
      </c>
      <c r="U89" s="3">
        <v>4003</v>
      </c>
      <c r="V89" s="3">
        <v>0</v>
      </c>
      <c r="W89" s="3">
        <v>2965</v>
      </c>
      <c r="X89" s="3">
        <v>13.24</v>
      </c>
    </row>
    <row r="90" spans="1:24" hidden="1">
      <c r="A90" s="1">
        <v>45352</v>
      </c>
      <c r="B90" s="1" t="s">
        <v>298</v>
      </c>
      <c r="C90" s="2" t="s">
        <v>278</v>
      </c>
      <c r="D90" s="2" t="s">
        <v>279</v>
      </c>
      <c r="E90" s="2" t="s">
        <v>280</v>
      </c>
      <c r="F90" s="2" t="s">
        <v>281</v>
      </c>
      <c r="G90" s="2" t="s">
        <v>282</v>
      </c>
      <c r="H90" s="2" t="s">
        <v>283</v>
      </c>
      <c r="I90" t="s">
        <v>198</v>
      </c>
      <c r="J90" s="18">
        <v>22059.56</v>
      </c>
      <c r="K90" s="18"/>
      <c r="L90" s="18">
        <v>20019.863155064799</v>
      </c>
      <c r="M90" s="18">
        <v>1197.0214609371201</v>
      </c>
      <c r="N90" s="18"/>
      <c r="O90" s="18"/>
      <c r="P90" s="3">
        <v>1</v>
      </c>
      <c r="Q90" s="3">
        <v>0</v>
      </c>
      <c r="R90" s="3">
        <v>0</v>
      </c>
      <c r="S90" s="3"/>
      <c r="T90" s="3" t="b">
        <v>0</v>
      </c>
      <c r="U90" s="3">
        <v>3394</v>
      </c>
      <c r="V90" s="3">
        <v>1</v>
      </c>
      <c r="W90" s="3">
        <v>2105</v>
      </c>
      <c r="X90" s="3">
        <v>12.38</v>
      </c>
    </row>
    <row r="91" spans="1:24" hidden="1">
      <c r="A91" s="1">
        <v>45383</v>
      </c>
      <c r="B91" s="1" t="s">
        <v>299</v>
      </c>
      <c r="C91" s="2" t="s">
        <v>278</v>
      </c>
      <c r="D91" s="2" t="s">
        <v>279</v>
      </c>
      <c r="E91" s="2" t="s">
        <v>280</v>
      </c>
      <c r="F91" s="2" t="s">
        <v>281</v>
      </c>
      <c r="G91" s="2" t="s">
        <v>282</v>
      </c>
      <c r="H91" s="2" t="s">
        <v>283</v>
      </c>
      <c r="I91" t="s">
        <v>198</v>
      </c>
      <c r="J91" s="18">
        <v>22499.81</v>
      </c>
      <c r="K91" s="18"/>
      <c r="L91" s="18">
        <v>20188.910398042601</v>
      </c>
      <c r="M91" s="18">
        <v>697.83032534836002</v>
      </c>
      <c r="N91" s="18"/>
      <c r="O91" s="18"/>
      <c r="P91" s="3">
        <v>1</v>
      </c>
      <c r="Q91" s="3">
        <v>0</v>
      </c>
      <c r="R91" s="3">
        <v>0</v>
      </c>
      <c r="S91" s="3"/>
      <c r="T91" s="3" t="b">
        <v>0</v>
      </c>
      <c r="U91" s="3">
        <v>2372</v>
      </c>
      <c r="V91" s="3">
        <v>0</v>
      </c>
      <c r="W91" s="3">
        <v>1427</v>
      </c>
      <c r="X91" s="3">
        <v>3</v>
      </c>
    </row>
    <row r="92" spans="1:24" hidden="1">
      <c r="A92" s="1">
        <v>45413</v>
      </c>
      <c r="B92" s="1" t="s">
        <v>300</v>
      </c>
      <c r="C92" s="2" t="s">
        <v>278</v>
      </c>
      <c r="D92" s="2" t="s">
        <v>279</v>
      </c>
      <c r="E92" s="2" t="s">
        <v>280</v>
      </c>
      <c r="F92" s="2" t="s">
        <v>281</v>
      </c>
      <c r="G92" s="2" t="s">
        <v>282</v>
      </c>
      <c r="H92" s="2" t="s">
        <v>283</v>
      </c>
      <c r="I92" t="s">
        <v>198</v>
      </c>
      <c r="J92" s="18">
        <v>22056.57</v>
      </c>
      <c r="K92" s="18"/>
      <c r="L92" s="18">
        <v>20352.504504253</v>
      </c>
      <c r="M92" s="18">
        <v>-2834.2113696483102</v>
      </c>
      <c r="N92" s="18"/>
      <c r="O92" s="18"/>
      <c r="P92" s="3">
        <v>1</v>
      </c>
      <c r="Q92" s="3">
        <v>0</v>
      </c>
      <c r="R92" s="3">
        <v>0</v>
      </c>
      <c r="S92" s="3"/>
      <c r="T92" s="3" t="b">
        <v>0</v>
      </c>
      <c r="U92" s="3">
        <v>3520</v>
      </c>
      <c r="V92" s="3">
        <v>0</v>
      </c>
      <c r="W92" s="3">
        <v>2607</v>
      </c>
      <c r="X92" s="3">
        <v>14.94</v>
      </c>
    </row>
    <row r="93" spans="1:24" hidden="1">
      <c r="A93" s="1">
        <v>45444</v>
      </c>
      <c r="B93" s="1" t="s">
        <v>301</v>
      </c>
      <c r="C93" s="2" t="s">
        <v>278</v>
      </c>
      <c r="D93" s="2" t="s">
        <v>279</v>
      </c>
      <c r="E93" s="2" t="s">
        <v>280</v>
      </c>
      <c r="F93" s="2" t="s">
        <v>281</v>
      </c>
      <c r="G93" s="2" t="s">
        <v>282</v>
      </c>
      <c r="H93" s="2" t="s">
        <v>283</v>
      </c>
      <c r="I93" t="s">
        <v>198</v>
      </c>
      <c r="J93" s="18">
        <v>22177.93</v>
      </c>
      <c r="K93" s="18"/>
      <c r="L93" s="18">
        <v>20521.551747337198</v>
      </c>
      <c r="M93" s="18">
        <v>595.84648813797605</v>
      </c>
      <c r="N93" s="18"/>
      <c r="O93" s="18"/>
      <c r="P93" s="3">
        <v>1</v>
      </c>
      <c r="Q93" s="3">
        <v>0</v>
      </c>
      <c r="R93" s="3">
        <v>0</v>
      </c>
      <c r="S93" s="3"/>
      <c r="T93" s="3" t="b">
        <v>0</v>
      </c>
      <c r="U93" s="3">
        <v>4248</v>
      </c>
      <c r="V93" s="3">
        <v>0</v>
      </c>
      <c r="W93" s="3">
        <v>1821</v>
      </c>
      <c r="X93" s="3">
        <v>10.74</v>
      </c>
    </row>
    <row r="94" spans="1:24" hidden="1">
      <c r="A94" s="1">
        <v>45474</v>
      </c>
      <c r="B94" s="1" t="s">
        <v>302</v>
      </c>
      <c r="C94" s="2" t="s">
        <v>278</v>
      </c>
      <c r="D94" s="2" t="s">
        <v>279</v>
      </c>
      <c r="E94" s="2" t="s">
        <v>280</v>
      </c>
      <c r="F94" s="2" t="s">
        <v>281</v>
      </c>
      <c r="G94" s="2" t="s">
        <v>282</v>
      </c>
      <c r="H94" s="2" t="s">
        <v>283</v>
      </c>
      <c r="I94" t="s">
        <v>198</v>
      </c>
      <c r="J94" s="18">
        <v>18922.169999999998</v>
      </c>
      <c r="K94" s="18">
        <v>20312</v>
      </c>
      <c r="L94" s="18">
        <v>20685.145853547601</v>
      </c>
      <c r="M94" s="18">
        <v>797.36591617172201</v>
      </c>
      <c r="N94" s="18">
        <v>20512</v>
      </c>
      <c r="O94" s="18">
        <v>20112</v>
      </c>
      <c r="P94" s="3">
        <v>1</v>
      </c>
      <c r="Q94" s="3">
        <v>1</v>
      </c>
      <c r="R94" s="3">
        <v>0</v>
      </c>
      <c r="S94" s="3"/>
      <c r="T94" s="3" t="b">
        <v>0</v>
      </c>
      <c r="U94" s="3">
        <v>2848</v>
      </c>
      <c r="V94" s="3">
        <v>0</v>
      </c>
      <c r="W94" s="3">
        <v>2502</v>
      </c>
      <c r="X94" s="3">
        <v>13.85</v>
      </c>
    </row>
    <row r="95" spans="1:24" hidden="1">
      <c r="A95" s="1">
        <v>45505</v>
      </c>
      <c r="B95" s="1" t="s">
        <v>303</v>
      </c>
      <c r="C95" s="2" t="s">
        <v>278</v>
      </c>
      <c r="D95" s="2" t="s">
        <v>279</v>
      </c>
      <c r="E95" s="2" t="s">
        <v>280</v>
      </c>
      <c r="F95" s="2" t="s">
        <v>281</v>
      </c>
      <c r="G95" s="2" t="s">
        <v>282</v>
      </c>
      <c r="H95" s="2" t="s">
        <v>283</v>
      </c>
      <c r="I95" t="s">
        <v>198</v>
      </c>
      <c r="J95" s="18">
        <v>18712.849999999999</v>
      </c>
      <c r="K95" s="18">
        <v>19914.2</v>
      </c>
      <c r="L95" s="18">
        <v>20854.1930966318</v>
      </c>
      <c r="M95" s="18">
        <v>-1069.11013115579</v>
      </c>
      <c r="N95" s="18">
        <v>20114.2</v>
      </c>
      <c r="O95" s="18">
        <v>19714.2</v>
      </c>
      <c r="P95" s="3">
        <v>1</v>
      </c>
      <c r="Q95" s="3">
        <v>1</v>
      </c>
      <c r="R95" s="3">
        <v>0</v>
      </c>
      <c r="S95" s="3"/>
      <c r="T95" s="3" t="b">
        <v>0</v>
      </c>
      <c r="U95" s="3">
        <v>4556</v>
      </c>
      <c r="V95" s="3">
        <v>1</v>
      </c>
      <c r="W95" s="3">
        <v>2789</v>
      </c>
      <c r="X95" s="3">
        <v>14.5</v>
      </c>
    </row>
    <row r="96" spans="1:24" hidden="1">
      <c r="A96" s="1">
        <v>45536</v>
      </c>
      <c r="B96" s="1" t="s">
        <v>304</v>
      </c>
      <c r="C96" s="2" t="s">
        <v>278</v>
      </c>
      <c r="D96" s="2" t="s">
        <v>279</v>
      </c>
      <c r="E96" s="2" t="s">
        <v>280</v>
      </c>
      <c r="F96" s="2" t="s">
        <v>281</v>
      </c>
      <c r="G96" s="2" t="s">
        <v>282</v>
      </c>
      <c r="H96" s="2" t="s">
        <v>283</v>
      </c>
      <c r="I96" t="s">
        <v>198</v>
      </c>
      <c r="J96" s="18">
        <v>19069.21</v>
      </c>
      <c r="K96" s="18">
        <v>20469.59</v>
      </c>
      <c r="L96" s="18">
        <v>21023.2403397159</v>
      </c>
      <c r="M96" s="18">
        <v>-612.17984729221996</v>
      </c>
      <c r="N96" s="18">
        <v>20669.59</v>
      </c>
      <c r="O96" s="18">
        <v>20269.59</v>
      </c>
      <c r="P96" s="3">
        <v>1</v>
      </c>
      <c r="Q96" s="3">
        <v>1</v>
      </c>
      <c r="R96" s="3">
        <v>0</v>
      </c>
      <c r="S96" s="3"/>
      <c r="T96" s="3" t="b">
        <v>0</v>
      </c>
      <c r="U96" s="3">
        <v>3345</v>
      </c>
      <c r="V96" s="3">
        <v>0</v>
      </c>
      <c r="W96" s="3">
        <v>2185</v>
      </c>
      <c r="X96" s="3">
        <v>12.41</v>
      </c>
    </row>
    <row r="97" spans="1:24" hidden="1">
      <c r="A97" s="1">
        <v>45566</v>
      </c>
      <c r="B97" s="1" t="s">
        <v>305</v>
      </c>
      <c r="C97" s="2" t="s">
        <v>278</v>
      </c>
      <c r="D97" s="2" t="s">
        <v>279</v>
      </c>
      <c r="E97" s="2" t="s">
        <v>280</v>
      </c>
      <c r="F97" s="2" t="s">
        <v>281</v>
      </c>
      <c r="G97" s="2" t="s">
        <v>282</v>
      </c>
      <c r="H97" s="2" t="s">
        <v>283</v>
      </c>
      <c r="I97" t="s">
        <v>224</v>
      </c>
      <c r="J97" s="18"/>
      <c r="K97" s="18">
        <v>20645.82</v>
      </c>
      <c r="L97" s="18">
        <v>21186.834445926299</v>
      </c>
      <c r="M97" s="18">
        <v>19.476241270262001</v>
      </c>
      <c r="N97" s="18">
        <v>20845.82</v>
      </c>
      <c r="O97" s="18">
        <v>20445.82</v>
      </c>
      <c r="P97" s="3"/>
      <c r="Q97" s="3"/>
      <c r="R97" s="3"/>
      <c r="S97" s="3"/>
      <c r="T97" s="3"/>
      <c r="U97" s="3"/>
      <c r="V97" s="3"/>
      <c r="W97" s="3">
        <v>2862</v>
      </c>
      <c r="X97" s="3">
        <v>14.25</v>
      </c>
    </row>
    <row r="98" spans="1:24" hidden="1">
      <c r="A98" s="1">
        <v>45597</v>
      </c>
      <c r="B98" s="1" t="s">
        <v>306</v>
      </c>
      <c r="C98" s="2" t="s">
        <v>278</v>
      </c>
      <c r="D98" s="2" t="s">
        <v>279</v>
      </c>
      <c r="E98" s="2" t="s">
        <v>280</v>
      </c>
      <c r="F98" s="2" t="s">
        <v>281</v>
      </c>
      <c r="G98" s="2" t="s">
        <v>282</v>
      </c>
      <c r="H98" s="2" t="s">
        <v>283</v>
      </c>
      <c r="I98" t="s">
        <v>224</v>
      </c>
      <c r="J98" s="18"/>
      <c r="K98" s="18">
        <v>21038.86</v>
      </c>
      <c r="L98" s="18">
        <v>21355.881689010501</v>
      </c>
      <c r="M98" s="18">
        <v>854.92099155530605</v>
      </c>
      <c r="N98" s="18">
        <v>21238.86</v>
      </c>
      <c r="O98" s="18">
        <v>20838.86</v>
      </c>
      <c r="P98" s="3"/>
      <c r="Q98" s="3"/>
      <c r="R98" s="3"/>
      <c r="S98" s="3"/>
      <c r="T98" s="3"/>
      <c r="U98" s="3"/>
      <c r="V98" s="3"/>
      <c r="W98" s="3">
        <v>1931</v>
      </c>
      <c r="X98" s="3">
        <v>13.34</v>
      </c>
    </row>
    <row r="99" spans="1:24" hidden="1">
      <c r="A99" s="1">
        <v>45627</v>
      </c>
      <c r="B99" s="1" t="s">
        <v>307</v>
      </c>
      <c r="C99" s="2" t="s">
        <v>278</v>
      </c>
      <c r="D99" s="2" t="s">
        <v>279</v>
      </c>
      <c r="E99" s="2" t="s">
        <v>280</v>
      </c>
      <c r="F99" s="2" t="s">
        <v>281</v>
      </c>
      <c r="G99" s="2" t="s">
        <v>282</v>
      </c>
      <c r="H99" s="2" t="s">
        <v>283</v>
      </c>
      <c r="I99" t="s">
        <v>224</v>
      </c>
      <c r="J99" s="18"/>
      <c r="K99" s="18">
        <v>21233.66</v>
      </c>
      <c r="L99" s="18">
        <v>21519.4757952209</v>
      </c>
      <c r="M99" s="18">
        <v>-266.551883305741</v>
      </c>
      <c r="N99" s="18">
        <v>21433.66</v>
      </c>
      <c r="O99" s="18">
        <v>21033.66</v>
      </c>
      <c r="P99" s="3"/>
      <c r="Q99" s="3"/>
      <c r="R99" s="3"/>
      <c r="S99" s="3"/>
      <c r="T99" s="3"/>
      <c r="U99" s="3"/>
      <c r="V99" s="3"/>
      <c r="W99" s="3">
        <v>2425</v>
      </c>
      <c r="X99" s="3">
        <v>11.99</v>
      </c>
    </row>
    <row r="100" spans="1:24" hidden="1">
      <c r="A100" s="1">
        <v>44652</v>
      </c>
      <c r="B100" s="1" t="s">
        <v>308</v>
      </c>
      <c r="C100" s="2" t="s">
        <v>309</v>
      </c>
      <c r="D100" s="2" t="s">
        <v>279</v>
      </c>
      <c r="E100" s="2" t="s">
        <v>280</v>
      </c>
      <c r="F100" s="2" t="s">
        <v>281</v>
      </c>
      <c r="G100" s="2" t="s">
        <v>310</v>
      </c>
      <c r="H100" s="2" t="s">
        <v>311</v>
      </c>
      <c r="I100" t="s">
        <v>198</v>
      </c>
      <c r="J100" s="18">
        <v>14762.58</v>
      </c>
      <c r="K100" s="18"/>
      <c r="L100" s="18">
        <v>0</v>
      </c>
      <c r="M100" s="18">
        <v>0</v>
      </c>
      <c r="N100" s="18"/>
      <c r="O100" s="18"/>
      <c r="P100" s="3">
        <v>0</v>
      </c>
      <c r="Q100" s="3">
        <v>0</v>
      </c>
      <c r="R100" s="3">
        <v>0</v>
      </c>
      <c r="S100" s="3"/>
      <c r="T100" s="3" t="b">
        <v>0</v>
      </c>
      <c r="U100" s="3">
        <v>3741</v>
      </c>
      <c r="V100" s="3">
        <v>0</v>
      </c>
      <c r="W100" s="3">
        <v>2864</v>
      </c>
      <c r="X100" s="3">
        <v>17.739999999999998</v>
      </c>
    </row>
    <row r="101" spans="1:24" hidden="1">
      <c r="A101" s="1">
        <v>44713</v>
      </c>
      <c r="B101" s="1" t="s">
        <v>312</v>
      </c>
      <c r="C101" s="2" t="s">
        <v>309</v>
      </c>
      <c r="D101" s="2" t="s">
        <v>279</v>
      </c>
      <c r="E101" s="2" t="s">
        <v>280</v>
      </c>
      <c r="F101" s="2" t="s">
        <v>281</v>
      </c>
      <c r="G101" s="2" t="s">
        <v>310</v>
      </c>
      <c r="H101" s="2" t="s">
        <v>311</v>
      </c>
      <c r="I101" t="s">
        <v>198</v>
      </c>
      <c r="J101" s="18">
        <v>15002.53</v>
      </c>
      <c r="K101" s="18"/>
      <c r="L101" s="18">
        <v>0</v>
      </c>
      <c r="M101" s="18">
        <v>0</v>
      </c>
      <c r="N101" s="18"/>
      <c r="O101" s="18"/>
      <c r="P101" s="3">
        <v>0</v>
      </c>
      <c r="Q101" s="3">
        <v>0</v>
      </c>
      <c r="R101" s="3">
        <v>0</v>
      </c>
      <c r="S101" s="3"/>
      <c r="T101" s="3" t="b">
        <v>0</v>
      </c>
      <c r="U101" s="3">
        <v>3734</v>
      </c>
      <c r="V101" s="3">
        <v>0</v>
      </c>
      <c r="W101" s="3">
        <v>2168</v>
      </c>
      <c r="X101" s="3">
        <v>15.08</v>
      </c>
    </row>
    <row r="102" spans="1:24" hidden="1">
      <c r="A102" s="1">
        <v>44743</v>
      </c>
      <c r="B102" s="1" t="s">
        <v>313</v>
      </c>
      <c r="C102" s="2" t="s">
        <v>309</v>
      </c>
      <c r="D102" s="2" t="s">
        <v>279</v>
      </c>
      <c r="E102" s="2" t="s">
        <v>280</v>
      </c>
      <c r="F102" s="2" t="s">
        <v>281</v>
      </c>
      <c r="G102" s="2" t="s">
        <v>310</v>
      </c>
      <c r="H102" s="2" t="s">
        <v>311</v>
      </c>
      <c r="I102" t="s">
        <v>198</v>
      </c>
      <c r="J102" s="18">
        <v>15263.42</v>
      </c>
      <c r="K102" s="18"/>
      <c r="L102" s="18">
        <v>0</v>
      </c>
      <c r="M102" s="18">
        <v>0</v>
      </c>
      <c r="N102" s="18"/>
      <c r="O102" s="18"/>
      <c r="P102" s="3">
        <v>0</v>
      </c>
      <c r="Q102" s="3">
        <v>0</v>
      </c>
      <c r="R102" s="3">
        <v>0</v>
      </c>
      <c r="S102" s="3"/>
      <c r="T102" s="3" t="b">
        <v>1</v>
      </c>
      <c r="U102" s="3">
        <v>2625</v>
      </c>
      <c r="V102" s="3">
        <v>0</v>
      </c>
      <c r="W102" s="3">
        <v>2979</v>
      </c>
      <c r="X102" s="3">
        <v>15.11</v>
      </c>
    </row>
    <row r="103" spans="1:24" hidden="1">
      <c r="A103" s="1">
        <v>44562</v>
      </c>
      <c r="B103" s="1" t="s">
        <v>314</v>
      </c>
      <c r="C103" s="2" t="s">
        <v>6</v>
      </c>
      <c r="D103" s="2" t="s">
        <v>279</v>
      </c>
      <c r="E103" s="2" t="s">
        <v>280</v>
      </c>
      <c r="F103" s="2" t="s">
        <v>281</v>
      </c>
      <c r="G103" s="2" t="s">
        <v>133</v>
      </c>
      <c r="H103" s="2" t="s">
        <v>315</v>
      </c>
      <c r="I103" t="s">
        <v>198</v>
      </c>
      <c r="J103" s="18">
        <v>705042</v>
      </c>
      <c r="K103" s="18"/>
      <c r="L103" s="18">
        <v>675656.33110499999</v>
      </c>
      <c r="M103" s="18">
        <v>81513.002590956297</v>
      </c>
      <c r="N103" s="18"/>
      <c r="O103" s="18"/>
      <c r="P103" s="3">
        <v>0</v>
      </c>
      <c r="Q103" s="3">
        <v>0</v>
      </c>
      <c r="R103" s="3">
        <v>0</v>
      </c>
      <c r="S103" s="3">
        <v>5</v>
      </c>
      <c r="T103" s="3" t="b">
        <v>1</v>
      </c>
      <c r="U103" s="3">
        <v>2825</v>
      </c>
      <c r="V103" s="3">
        <v>0</v>
      </c>
      <c r="W103" s="3">
        <v>2856</v>
      </c>
      <c r="X103">
        <v>7.835</v>
      </c>
    </row>
    <row r="104" spans="1:24" hidden="1">
      <c r="A104" s="1">
        <v>44593</v>
      </c>
      <c r="B104" s="1" t="s">
        <v>316</v>
      </c>
      <c r="C104" s="2" t="s">
        <v>6</v>
      </c>
      <c r="D104" s="2" t="s">
        <v>279</v>
      </c>
      <c r="E104" s="2" t="s">
        <v>280</v>
      </c>
      <c r="F104" s="2" t="s">
        <v>281</v>
      </c>
      <c r="G104" s="2" t="s">
        <v>133</v>
      </c>
      <c r="H104" s="2" t="s">
        <v>315</v>
      </c>
      <c r="I104" t="s">
        <v>198</v>
      </c>
      <c r="J104" s="18">
        <v>901143</v>
      </c>
      <c r="K104" s="18"/>
      <c r="L104" s="18">
        <v>686173.40568247903</v>
      </c>
      <c r="M104" s="18">
        <v>273852.51978058502</v>
      </c>
      <c r="N104" s="18"/>
      <c r="O104" s="18"/>
      <c r="P104" s="3">
        <v>0</v>
      </c>
      <c r="Q104" s="3">
        <v>0</v>
      </c>
      <c r="R104" s="3">
        <v>0</v>
      </c>
      <c r="S104" s="3">
        <v>5</v>
      </c>
      <c r="T104" s="3" t="b">
        <v>0</v>
      </c>
      <c r="U104" s="3">
        <v>3649</v>
      </c>
      <c r="V104" s="3">
        <v>1</v>
      </c>
      <c r="W104" s="3">
        <v>2365</v>
      </c>
      <c r="X104">
        <v>7.3849999999999998</v>
      </c>
    </row>
    <row r="105" spans="1:24" hidden="1">
      <c r="A105" s="1">
        <v>44621</v>
      </c>
      <c r="B105" s="1" t="s">
        <v>317</v>
      </c>
      <c r="C105" s="2" t="s">
        <v>6</v>
      </c>
      <c r="D105" s="2" t="s">
        <v>279</v>
      </c>
      <c r="E105" s="2" t="s">
        <v>280</v>
      </c>
      <c r="F105" s="2" t="s">
        <v>281</v>
      </c>
      <c r="G105" s="2" t="s">
        <v>133</v>
      </c>
      <c r="H105" s="2" t="s">
        <v>315</v>
      </c>
      <c r="I105" t="s">
        <v>198</v>
      </c>
      <c r="J105" s="18">
        <v>1101708</v>
      </c>
      <c r="K105" s="18"/>
      <c r="L105" s="18">
        <v>695672.69886493403</v>
      </c>
      <c r="M105" s="18">
        <v>577932.83306776197</v>
      </c>
      <c r="N105" s="18"/>
      <c r="O105" s="18"/>
      <c r="P105" s="3">
        <v>0</v>
      </c>
      <c r="Q105" s="3">
        <v>0</v>
      </c>
      <c r="R105" s="3">
        <v>0</v>
      </c>
      <c r="S105" s="3">
        <v>5</v>
      </c>
      <c r="T105" s="3" t="b">
        <v>0</v>
      </c>
      <c r="U105" s="3">
        <v>3516</v>
      </c>
      <c r="V105" s="3">
        <v>0</v>
      </c>
      <c r="W105" s="3">
        <v>1499</v>
      </c>
      <c r="X105">
        <v>8.06</v>
      </c>
    </row>
    <row r="106" spans="1:24" hidden="1">
      <c r="A106" s="1">
        <v>44652</v>
      </c>
      <c r="B106" s="1" t="s">
        <v>318</v>
      </c>
      <c r="C106" s="2" t="s">
        <v>6</v>
      </c>
      <c r="D106" s="2" t="s">
        <v>279</v>
      </c>
      <c r="E106" s="2" t="s">
        <v>280</v>
      </c>
      <c r="F106" s="2" t="s">
        <v>281</v>
      </c>
      <c r="G106" s="2" t="s">
        <v>133</v>
      </c>
      <c r="H106" s="2" t="s">
        <v>315</v>
      </c>
      <c r="I106" t="s">
        <v>198</v>
      </c>
      <c r="J106" s="18">
        <v>665568.15</v>
      </c>
      <c r="K106" s="18"/>
      <c r="L106" s="18">
        <v>706189.77346144605</v>
      </c>
      <c r="M106" s="18">
        <v>405549.57004673599</v>
      </c>
      <c r="N106" s="18"/>
      <c r="O106" s="18"/>
      <c r="P106" s="3">
        <v>0</v>
      </c>
      <c r="Q106" s="3">
        <v>0</v>
      </c>
      <c r="R106" s="3">
        <v>0</v>
      </c>
      <c r="S106" s="3">
        <v>5</v>
      </c>
      <c r="T106" s="3" t="b">
        <v>1</v>
      </c>
      <c r="U106" s="3">
        <v>2412</v>
      </c>
      <c r="V106" s="3">
        <v>0</v>
      </c>
      <c r="W106" s="3">
        <v>2680</v>
      </c>
      <c r="X106">
        <v>8.49</v>
      </c>
    </row>
    <row r="107" spans="1:24" hidden="1">
      <c r="A107" s="1">
        <v>44682</v>
      </c>
      <c r="B107" s="1" t="s">
        <v>319</v>
      </c>
      <c r="C107" s="2" t="s">
        <v>6</v>
      </c>
      <c r="D107" s="2" t="s">
        <v>279</v>
      </c>
      <c r="E107" s="2" t="s">
        <v>280</v>
      </c>
      <c r="F107" s="2" t="s">
        <v>281</v>
      </c>
      <c r="G107" s="2" t="s">
        <v>133</v>
      </c>
      <c r="H107" s="2" t="s">
        <v>315</v>
      </c>
      <c r="I107" t="s">
        <v>198</v>
      </c>
      <c r="J107" s="18">
        <v>1169856</v>
      </c>
      <c r="K107" s="18"/>
      <c r="L107" s="18">
        <v>716367.58759825397</v>
      </c>
      <c r="M107" s="18">
        <v>483586.45726658602</v>
      </c>
      <c r="N107" s="18"/>
      <c r="O107" s="18"/>
      <c r="P107" s="3">
        <v>0</v>
      </c>
      <c r="Q107" s="3">
        <v>0</v>
      </c>
      <c r="R107" s="3">
        <v>0</v>
      </c>
      <c r="S107" s="3">
        <v>5</v>
      </c>
      <c r="T107" s="3" t="b">
        <v>0</v>
      </c>
      <c r="U107" s="3">
        <v>2728</v>
      </c>
      <c r="V107" s="3">
        <v>1</v>
      </c>
      <c r="W107" s="3">
        <v>1510</v>
      </c>
      <c r="X107">
        <v>7.96</v>
      </c>
    </row>
    <row r="108" spans="1:24" hidden="1">
      <c r="A108" s="1">
        <v>44713</v>
      </c>
      <c r="B108" s="1" t="s">
        <v>320</v>
      </c>
      <c r="C108" s="2" t="s">
        <v>6</v>
      </c>
      <c r="D108" s="2" t="s">
        <v>279</v>
      </c>
      <c r="E108" s="2" t="s">
        <v>280</v>
      </c>
      <c r="F108" s="2" t="s">
        <v>281</v>
      </c>
      <c r="G108" s="2" t="s">
        <v>133</v>
      </c>
      <c r="H108" s="2" t="s">
        <v>315</v>
      </c>
      <c r="I108" t="s">
        <v>198</v>
      </c>
      <c r="J108" s="18">
        <v>517308</v>
      </c>
      <c r="K108" s="18"/>
      <c r="L108" s="18">
        <v>726884.66221610794</v>
      </c>
      <c r="M108" s="18">
        <v>-250961.25394960601</v>
      </c>
      <c r="N108" s="18"/>
      <c r="O108" s="18"/>
      <c r="P108" s="3">
        <v>0</v>
      </c>
      <c r="Q108" s="3">
        <v>0</v>
      </c>
      <c r="R108" s="3">
        <v>0</v>
      </c>
      <c r="S108" s="3">
        <v>5</v>
      </c>
      <c r="T108" s="3" t="b">
        <v>0</v>
      </c>
      <c r="U108" s="3">
        <v>4808</v>
      </c>
      <c r="V108" s="3">
        <v>1</v>
      </c>
      <c r="W108" s="3">
        <v>2350</v>
      </c>
      <c r="X108">
        <v>7.14</v>
      </c>
    </row>
    <row r="109" spans="1:24" hidden="1">
      <c r="A109" s="1">
        <v>44743</v>
      </c>
      <c r="B109" s="1" t="s">
        <v>321</v>
      </c>
      <c r="C109" s="2" t="s">
        <v>6</v>
      </c>
      <c r="D109" s="2" t="s">
        <v>279</v>
      </c>
      <c r="E109" s="2" t="s">
        <v>280</v>
      </c>
      <c r="F109" s="2" t="s">
        <v>281</v>
      </c>
      <c r="G109" s="2" t="s">
        <v>133</v>
      </c>
      <c r="H109" s="2" t="s">
        <v>315</v>
      </c>
      <c r="I109" t="s">
        <v>198</v>
      </c>
      <c r="J109" s="18">
        <v>258951</v>
      </c>
      <c r="K109" s="18"/>
      <c r="L109" s="18">
        <v>737062.47635828098</v>
      </c>
      <c r="M109" s="18">
        <v>-565590.23839049903</v>
      </c>
      <c r="N109" s="18"/>
      <c r="O109" s="18"/>
      <c r="P109" s="3">
        <v>0</v>
      </c>
      <c r="Q109" s="3">
        <v>0</v>
      </c>
      <c r="R109" s="3">
        <v>0</v>
      </c>
      <c r="S109" s="3">
        <v>5</v>
      </c>
      <c r="T109" s="3" t="b">
        <v>0</v>
      </c>
      <c r="U109" s="3">
        <v>2675</v>
      </c>
      <c r="V109" s="3">
        <v>0</v>
      </c>
      <c r="W109" s="3">
        <v>1216</v>
      </c>
      <c r="X109">
        <v>8.2149999999999999</v>
      </c>
    </row>
    <row r="110" spans="1:24" hidden="1">
      <c r="A110" s="1">
        <v>44774</v>
      </c>
      <c r="B110" s="1" t="s">
        <v>322</v>
      </c>
      <c r="C110" s="2" t="s">
        <v>6</v>
      </c>
      <c r="D110" s="2" t="s">
        <v>279</v>
      </c>
      <c r="E110" s="2" t="s">
        <v>280</v>
      </c>
      <c r="F110" s="2" t="s">
        <v>281</v>
      </c>
      <c r="G110" s="2" t="s">
        <v>133</v>
      </c>
      <c r="H110" s="2" t="s">
        <v>315</v>
      </c>
      <c r="I110" t="s">
        <v>198</v>
      </c>
      <c r="J110" s="18">
        <v>416727</v>
      </c>
      <c r="K110" s="18"/>
      <c r="L110" s="18">
        <v>747579.55097909004</v>
      </c>
      <c r="M110" s="18">
        <v>-446572.64845591702</v>
      </c>
      <c r="N110" s="18"/>
      <c r="O110" s="18"/>
      <c r="P110" s="3">
        <v>0</v>
      </c>
      <c r="Q110" s="3">
        <v>0</v>
      </c>
      <c r="R110" s="3">
        <v>0</v>
      </c>
      <c r="S110" s="3">
        <v>5</v>
      </c>
      <c r="T110" s="3" t="b">
        <v>0</v>
      </c>
      <c r="U110" s="3">
        <v>3892</v>
      </c>
      <c r="V110" s="3">
        <v>0</v>
      </c>
      <c r="W110" s="3">
        <v>2324</v>
      </c>
      <c r="X110">
        <v>7.19</v>
      </c>
    </row>
    <row r="111" spans="1:24" hidden="1">
      <c r="A111" s="1">
        <v>44805</v>
      </c>
      <c r="B111" s="1" t="s">
        <v>323</v>
      </c>
      <c r="C111" s="2" t="s">
        <v>6</v>
      </c>
      <c r="D111" s="2" t="s">
        <v>279</v>
      </c>
      <c r="E111" s="2" t="s">
        <v>280</v>
      </c>
      <c r="F111" s="2" t="s">
        <v>281</v>
      </c>
      <c r="G111" s="2" t="s">
        <v>133</v>
      </c>
      <c r="H111" s="2" t="s">
        <v>315</v>
      </c>
      <c r="I111" t="s">
        <v>198</v>
      </c>
      <c r="J111" s="18">
        <v>601380</v>
      </c>
      <c r="K111" s="18"/>
      <c r="L111" s="18">
        <v>758096.62560998905</v>
      </c>
      <c r="M111" s="18">
        <v>-191353.37844258899</v>
      </c>
      <c r="N111" s="18"/>
      <c r="O111" s="18"/>
      <c r="P111" s="3">
        <v>0</v>
      </c>
      <c r="Q111" s="3">
        <v>0</v>
      </c>
      <c r="R111" s="3">
        <v>0</v>
      </c>
      <c r="S111" s="3">
        <v>5</v>
      </c>
      <c r="T111" s="3" t="b">
        <v>0</v>
      </c>
      <c r="U111" s="3">
        <v>4504</v>
      </c>
      <c r="V111" s="3">
        <v>0</v>
      </c>
      <c r="W111" s="3">
        <v>2155</v>
      </c>
      <c r="X111">
        <v>7.7750000000000004</v>
      </c>
    </row>
    <row r="112" spans="1:24" hidden="1">
      <c r="A112" s="1">
        <v>44835</v>
      </c>
      <c r="B112" s="1" t="s">
        <v>324</v>
      </c>
      <c r="C112" s="2" t="s">
        <v>6</v>
      </c>
      <c r="D112" s="2" t="s">
        <v>279</v>
      </c>
      <c r="E112" s="2" t="s">
        <v>280</v>
      </c>
      <c r="F112" s="2" t="s">
        <v>281</v>
      </c>
      <c r="G112" s="2" t="s">
        <v>133</v>
      </c>
      <c r="H112" s="2" t="s">
        <v>315</v>
      </c>
      <c r="I112" t="s">
        <v>198</v>
      </c>
      <c r="J112" s="18">
        <v>537699</v>
      </c>
      <c r="K112" s="18"/>
      <c r="L112" s="18">
        <v>768274.36947051901</v>
      </c>
      <c r="M112" s="18">
        <v>-205898.481173379</v>
      </c>
      <c r="N112" s="18"/>
      <c r="O112" s="18"/>
      <c r="P112" s="3">
        <v>0</v>
      </c>
      <c r="Q112" s="3">
        <v>0</v>
      </c>
      <c r="R112" s="3">
        <v>0</v>
      </c>
      <c r="S112" s="3">
        <v>5</v>
      </c>
      <c r="T112" s="3" t="b">
        <v>0</v>
      </c>
      <c r="U112" s="3">
        <v>4967</v>
      </c>
      <c r="V112" s="3">
        <v>0</v>
      </c>
      <c r="W112" s="3">
        <v>2827</v>
      </c>
      <c r="X112">
        <v>7.29</v>
      </c>
    </row>
    <row r="113" spans="1:24" hidden="1">
      <c r="A113" s="1">
        <v>44866</v>
      </c>
      <c r="B113" s="1" t="s">
        <v>325</v>
      </c>
      <c r="C113" s="2" t="s">
        <v>6</v>
      </c>
      <c r="D113" s="2" t="s">
        <v>279</v>
      </c>
      <c r="E113" s="2" t="s">
        <v>280</v>
      </c>
      <c r="F113" s="2" t="s">
        <v>281</v>
      </c>
      <c r="G113" s="2" t="s">
        <v>133</v>
      </c>
      <c r="H113" s="2" t="s">
        <v>315</v>
      </c>
      <c r="I113" t="s">
        <v>198</v>
      </c>
      <c r="J113" s="18">
        <v>884340</v>
      </c>
      <c r="K113" s="18"/>
      <c r="L113" s="18">
        <v>778791.37143388798</v>
      </c>
      <c r="M113" s="18">
        <v>10652.629711248201</v>
      </c>
      <c r="N113" s="18"/>
      <c r="O113" s="18"/>
      <c r="P113" s="3">
        <v>0</v>
      </c>
      <c r="Q113" s="3">
        <v>0</v>
      </c>
      <c r="R113" s="3">
        <v>0</v>
      </c>
      <c r="S113" s="3">
        <v>5</v>
      </c>
      <c r="T113" s="3" t="b">
        <v>0</v>
      </c>
      <c r="U113" s="3">
        <v>4239</v>
      </c>
      <c r="V113" s="3">
        <v>0</v>
      </c>
      <c r="W113" s="3">
        <v>2093</v>
      </c>
      <c r="X113">
        <v>7.7949999999999999</v>
      </c>
    </row>
    <row r="114" spans="1:24" hidden="1">
      <c r="A114" s="1">
        <v>44896</v>
      </c>
      <c r="B114" s="1" t="s">
        <v>326</v>
      </c>
      <c r="C114" s="2" t="s">
        <v>6</v>
      </c>
      <c r="D114" s="2" t="s">
        <v>279</v>
      </c>
      <c r="E114" s="2" t="s">
        <v>280</v>
      </c>
      <c r="F114" s="2" t="s">
        <v>281</v>
      </c>
      <c r="G114" s="2" t="s">
        <v>133</v>
      </c>
      <c r="H114" s="2" t="s">
        <v>315</v>
      </c>
      <c r="I114" t="s">
        <v>198</v>
      </c>
      <c r="J114" s="18">
        <v>614850</v>
      </c>
      <c r="K114" s="18"/>
      <c r="L114" s="18">
        <v>788969.11525934504</v>
      </c>
      <c r="M114" s="18">
        <v>-130020.86522979201</v>
      </c>
      <c r="N114" s="18"/>
      <c r="O114" s="18"/>
      <c r="P114" s="3">
        <v>0</v>
      </c>
      <c r="Q114" s="3">
        <v>0</v>
      </c>
      <c r="R114" s="3">
        <v>0</v>
      </c>
      <c r="S114" s="3">
        <v>5</v>
      </c>
      <c r="T114" s="3" t="b">
        <v>0</v>
      </c>
      <c r="U114" s="3">
        <v>4786</v>
      </c>
      <c r="V114" s="3">
        <v>0</v>
      </c>
      <c r="W114" s="3">
        <v>2275</v>
      </c>
      <c r="X114">
        <v>8.15</v>
      </c>
    </row>
    <row r="115" spans="1:24" hidden="1">
      <c r="A115" s="1">
        <v>44927</v>
      </c>
      <c r="B115" s="1" t="s">
        <v>327</v>
      </c>
      <c r="C115" s="2" t="s">
        <v>6</v>
      </c>
      <c r="D115" s="2" t="s">
        <v>279</v>
      </c>
      <c r="E115" s="2" t="s">
        <v>280</v>
      </c>
      <c r="F115" s="2" t="s">
        <v>281</v>
      </c>
      <c r="G115" s="2" t="s">
        <v>133</v>
      </c>
      <c r="H115" s="2" t="s">
        <v>315</v>
      </c>
      <c r="I115" t="s">
        <v>198</v>
      </c>
      <c r="J115" s="18">
        <v>871347</v>
      </c>
      <c r="K115" s="18"/>
      <c r="L115" s="18">
        <v>799482.41184221499</v>
      </c>
      <c r="M115" s="18">
        <v>81509.382040402299</v>
      </c>
      <c r="N115" s="18"/>
      <c r="O115" s="18"/>
      <c r="P115" s="3">
        <v>0</v>
      </c>
      <c r="Q115" s="3">
        <v>0</v>
      </c>
      <c r="R115" s="3">
        <v>0</v>
      </c>
      <c r="S115" s="3">
        <v>5</v>
      </c>
      <c r="T115" s="3" t="b">
        <v>0</v>
      </c>
      <c r="U115" s="3">
        <v>3122</v>
      </c>
      <c r="V115" s="3">
        <v>1</v>
      </c>
      <c r="W115" s="3">
        <v>2438</v>
      </c>
      <c r="X115">
        <v>7.085</v>
      </c>
    </row>
    <row r="116" spans="1:24" hidden="1">
      <c r="A116" s="1">
        <v>44958</v>
      </c>
      <c r="B116" s="1" t="s">
        <v>328</v>
      </c>
      <c r="C116" s="2" t="s">
        <v>6</v>
      </c>
      <c r="D116" s="2" t="s">
        <v>279</v>
      </c>
      <c r="E116" s="2" t="s">
        <v>280</v>
      </c>
      <c r="F116" s="2" t="s">
        <v>281</v>
      </c>
      <c r="G116" s="2" t="s">
        <v>133</v>
      </c>
      <c r="H116" s="2" t="s">
        <v>315</v>
      </c>
      <c r="I116" t="s">
        <v>198</v>
      </c>
      <c r="J116" s="18">
        <v>1040190</v>
      </c>
      <c r="K116" s="18"/>
      <c r="L116" s="18">
        <v>809992.01062470803</v>
      </c>
      <c r="M116" s="18">
        <v>269425.97104370798</v>
      </c>
      <c r="N116" s="18"/>
      <c r="O116" s="18"/>
      <c r="P116" s="3">
        <v>0</v>
      </c>
      <c r="Q116" s="3">
        <v>0</v>
      </c>
      <c r="R116" s="3">
        <v>0</v>
      </c>
      <c r="S116" s="3">
        <v>5</v>
      </c>
      <c r="T116" s="3" t="b">
        <v>0</v>
      </c>
      <c r="U116" s="3">
        <v>3571</v>
      </c>
      <c r="V116" s="3">
        <v>1</v>
      </c>
      <c r="W116" s="3">
        <v>2810</v>
      </c>
      <c r="X116">
        <v>7.7949999999999999</v>
      </c>
    </row>
    <row r="117" spans="1:24" hidden="1">
      <c r="A117" s="1">
        <v>44986</v>
      </c>
      <c r="B117" s="1" t="s">
        <v>329</v>
      </c>
      <c r="C117" s="2" t="s">
        <v>6</v>
      </c>
      <c r="D117" s="2" t="s">
        <v>279</v>
      </c>
      <c r="E117" s="2" t="s">
        <v>280</v>
      </c>
      <c r="F117" s="2" t="s">
        <v>281</v>
      </c>
      <c r="G117" s="2" t="s">
        <v>133</v>
      </c>
      <c r="H117" s="2" t="s">
        <v>315</v>
      </c>
      <c r="I117" t="s">
        <v>198</v>
      </c>
      <c r="J117" s="18">
        <v>1672545</v>
      </c>
      <c r="K117" s="18"/>
      <c r="L117" s="18">
        <v>819481.008132371</v>
      </c>
      <c r="M117" s="18">
        <v>578984.45937066502</v>
      </c>
      <c r="N117" s="18"/>
      <c r="O117" s="18"/>
      <c r="P117" s="3">
        <v>0</v>
      </c>
      <c r="Q117" s="3">
        <v>0</v>
      </c>
      <c r="R117" s="3">
        <v>0</v>
      </c>
      <c r="S117" s="3">
        <v>5</v>
      </c>
      <c r="T117" s="3" t="b">
        <v>0</v>
      </c>
      <c r="U117" s="3">
        <v>2977</v>
      </c>
      <c r="V117" s="3">
        <v>1</v>
      </c>
      <c r="W117" s="3">
        <v>1444</v>
      </c>
      <c r="X117">
        <v>7.8250000000000002</v>
      </c>
    </row>
    <row r="118" spans="1:24" hidden="1">
      <c r="A118" s="1">
        <v>45017</v>
      </c>
      <c r="B118" s="1" t="s">
        <v>330</v>
      </c>
      <c r="C118" s="2" t="s">
        <v>6</v>
      </c>
      <c r="D118" s="2" t="s">
        <v>279</v>
      </c>
      <c r="E118" s="2" t="s">
        <v>280</v>
      </c>
      <c r="F118" s="2" t="s">
        <v>281</v>
      </c>
      <c r="G118" s="2" t="s">
        <v>133</v>
      </c>
      <c r="H118" s="2" t="s">
        <v>315</v>
      </c>
      <c r="I118" t="s">
        <v>198</v>
      </c>
      <c r="J118" s="18">
        <v>1552584</v>
      </c>
      <c r="K118" s="18"/>
      <c r="L118" s="18">
        <v>829971.88449181104</v>
      </c>
      <c r="M118" s="18">
        <v>404238.88417441602</v>
      </c>
      <c r="N118" s="18"/>
      <c r="O118" s="18"/>
      <c r="P118" s="3">
        <v>0</v>
      </c>
      <c r="Q118" s="3">
        <v>0</v>
      </c>
      <c r="R118" s="3">
        <v>0</v>
      </c>
      <c r="S118" s="3">
        <v>5</v>
      </c>
      <c r="T118" s="3" t="b">
        <v>0</v>
      </c>
      <c r="U118" s="3">
        <v>3008</v>
      </c>
      <c r="V118" s="3">
        <v>0</v>
      </c>
      <c r="W118" s="3">
        <v>1875</v>
      </c>
      <c r="X118">
        <v>7.5</v>
      </c>
    </row>
    <row r="119" spans="1:24" hidden="1">
      <c r="A119" s="1">
        <v>45047</v>
      </c>
      <c r="B119" s="1" t="s">
        <v>331</v>
      </c>
      <c r="C119" s="2" t="s">
        <v>6</v>
      </c>
      <c r="D119" s="2" t="s">
        <v>279</v>
      </c>
      <c r="E119" s="2" t="s">
        <v>280</v>
      </c>
      <c r="F119" s="2" t="s">
        <v>281</v>
      </c>
      <c r="G119" s="2" t="s">
        <v>133</v>
      </c>
      <c r="H119" s="2" t="s">
        <v>315</v>
      </c>
      <c r="I119" t="s">
        <v>198</v>
      </c>
      <c r="J119" s="18">
        <v>1538388</v>
      </c>
      <c r="K119" s="18"/>
      <c r="L119" s="18">
        <v>840104.94495878997</v>
      </c>
      <c r="M119" s="18">
        <v>486984.86935571203</v>
      </c>
      <c r="N119" s="18"/>
      <c r="O119" s="18"/>
      <c r="P119" s="3">
        <v>0</v>
      </c>
      <c r="Q119" s="3">
        <v>0</v>
      </c>
      <c r="R119" s="3">
        <v>0</v>
      </c>
      <c r="S119" s="3">
        <v>5</v>
      </c>
      <c r="T119" s="3" t="b">
        <v>0</v>
      </c>
      <c r="U119" s="3">
        <v>4143</v>
      </c>
      <c r="V119" s="3">
        <v>0</v>
      </c>
      <c r="W119" s="3">
        <v>2205</v>
      </c>
      <c r="X119">
        <v>7.4450000000000003</v>
      </c>
    </row>
    <row r="120" spans="1:24" hidden="1">
      <c r="A120" s="1">
        <v>45078</v>
      </c>
      <c r="B120" s="1" t="s">
        <v>332</v>
      </c>
      <c r="C120" s="2" t="s">
        <v>6</v>
      </c>
      <c r="D120" s="2" t="s">
        <v>279</v>
      </c>
      <c r="E120" s="2" t="s">
        <v>280</v>
      </c>
      <c r="F120" s="2" t="s">
        <v>281</v>
      </c>
      <c r="G120" s="2" t="s">
        <v>133</v>
      </c>
      <c r="H120" s="2" t="s">
        <v>315</v>
      </c>
      <c r="I120" t="s">
        <v>198</v>
      </c>
      <c r="J120" s="18">
        <v>749922</v>
      </c>
      <c r="K120" s="18"/>
      <c r="L120" s="18">
        <v>850558.27207166003</v>
      </c>
      <c r="M120" s="18">
        <v>-246062.798727938</v>
      </c>
      <c r="N120" s="18"/>
      <c r="O120" s="18"/>
      <c r="P120" s="3">
        <v>0</v>
      </c>
      <c r="Q120" s="3">
        <v>0</v>
      </c>
      <c r="R120" s="3">
        <v>0</v>
      </c>
      <c r="S120" s="3">
        <v>5</v>
      </c>
      <c r="T120" s="3" t="b">
        <v>0</v>
      </c>
      <c r="U120" s="3">
        <v>3687</v>
      </c>
      <c r="V120" s="3">
        <v>0</v>
      </c>
      <c r="W120" s="3">
        <v>1166</v>
      </c>
      <c r="X120">
        <v>7.5</v>
      </c>
    </row>
    <row r="121" spans="1:24" hidden="1">
      <c r="A121" s="1">
        <v>45108</v>
      </c>
      <c r="B121" s="1" t="s">
        <v>333</v>
      </c>
      <c r="C121" s="2" t="s">
        <v>6</v>
      </c>
      <c r="D121" s="2" t="s">
        <v>279</v>
      </c>
      <c r="E121" s="2" t="s">
        <v>280</v>
      </c>
      <c r="F121" s="2" t="s">
        <v>281</v>
      </c>
      <c r="G121" s="2" t="s">
        <v>133</v>
      </c>
      <c r="H121" s="2" t="s">
        <v>315</v>
      </c>
      <c r="I121" t="s">
        <v>198</v>
      </c>
      <c r="J121" s="18">
        <v>317928</v>
      </c>
      <c r="K121" s="18"/>
      <c r="L121" s="18">
        <v>860665.07675894396</v>
      </c>
      <c r="M121" s="18">
        <v>-564157.85842084</v>
      </c>
      <c r="N121" s="18"/>
      <c r="O121" s="18"/>
      <c r="P121" s="3">
        <v>0</v>
      </c>
      <c r="Q121" s="3">
        <v>0</v>
      </c>
      <c r="R121" s="3">
        <v>0</v>
      </c>
      <c r="S121" s="3">
        <v>5</v>
      </c>
      <c r="T121" s="3" t="b">
        <v>0</v>
      </c>
      <c r="U121" s="3">
        <v>4710</v>
      </c>
      <c r="V121" s="3">
        <v>0</v>
      </c>
      <c r="W121" s="3">
        <v>1090</v>
      </c>
      <c r="X121">
        <v>8.58</v>
      </c>
    </row>
    <row r="122" spans="1:24" hidden="1">
      <c r="A122" s="1">
        <v>45139</v>
      </c>
      <c r="B122" s="1" t="s">
        <v>334</v>
      </c>
      <c r="C122" s="2" t="s">
        <v>6</v>
      </c>
      <c r="D122" s="2" t="s">
        <v>279</v>
      </c>
      <c r="E122" s="2" t="s">
        <v>280</v>
      </c>
      <c r="F122" s="2" t="s">
        <v>281</v>
      </c>
      <c r="G122" s="2" t="s">
        <v>133</v>
      </c>
      <c r="H122" s="2" t="s">
        <v>315</v>
      </c>
      <c r="I122" t="s">
        <v>198</v>
      </c>
      <c r="J122" s="18">
        <v>479640</v>
      </c>
      <c r="K122" s="18"/>
      <c r="L122" s="18">
        <v>871107.48765656503</v>
      </c>
      <c r="M122" s="18">
        <v>-450295.11861496302</v>
      </c>
      <c r="N122" s="18"/>
      <c r="O122" s="18"/>
      <c r="P122" s="3">
        <v>0</v>
      </c>
      <c r="Q122" s="3">
        <v>0</v>
      </c>
      <c r="R122" s="3">
        <v>0</v>
      </c>
      <c r="S122" s="3">
        <v>5</v>
      </c>
      <c r="T122" s="3" t="b">
        <v>0</v>
      </c>
      <c r="U122" s="3">
        <v>2036</v>
      </c>
      <c r="V122" s="3">
        <v>0</v>
      </c>
      <c r="W122" s="3">
        <v>1713</v>
      </c>
      <c r="X122">
        <v>8.2249999999999996</v>
      </c>
    </row>
    <row r="123" spans="1:24" hidden="1">
      <c r="A123" s="1">
        <v>45170</v>
      </c>
      <c r="B123" s="1" t="s">
        <v>335</v>
      </c>
      <c r="C123" s="2" t="s">
        <v>6</v>
      </c>
      <c r="D123" s="2" t="s">
        <v>279</v>
      </c>
      <c r="E123" s="2" t="s">
        <v>280</v>
      </c>
      <c r="F123" s="2" t="s">
        <v>281</v>
      </c>
      <c r="G123" s="2" t="s">
        <v>133</v>
      </c>
      <c r="H123" s="2" t="s">
        <v>315</v>
      </c>
      <c r="I123" t="s">
        <v>198</v>
      </c>
      <c r="J123" s="18">
        <v>645000</v>
      </c>
      <c r="K123" s="18"/>
      <c r="L123" s="18">
        <v>881546.90457860404</v>
      </c>
      <c r="M123" s="18">
        <v>-190228.995957987</v>
      </c>
      <c r="N123" s="18"/>
      <c r="O123" s="18"/>
      <c r="P123" s="3">
        <v>0</v>
      </c>
      <c r="Q123" s="3">
        <v>0</v>
      </c>
      <c r="R123" s="3">
        <v>1</v>
      </c>
      <c r="S123" s="3">
        <v>5</v>
      </c>
      <c r="T123" s="3" t="b">
        <v>0</v>
      </c>
      <c r="U123" s="3">
        <v>3548</v>
      </c>
      <c r="V123" s="3">
        <v>1</v>
      </c>
      <c r="W123" s="3">
        <v>2881</v>
      </c>
      <c r="X123">
        <v>8.2349999999999994</v>
      </c>
    </row>
    <row r="124" spans="1:24" hidden="1">
      <c r="A124" s="1">
        <v>45200</v>
      </c>
      <c r="B124" s="1" t="s">
        <v>336</v>
      </c>
      <c r="C124" s="2" t="s">
        <v>6</v>
      </c>
      <c r="D124" s="2" t="s">
        <v>279</v>
      </c>
      <c r="E124" s="2" t="s">
        <v>280</v>
      </c>
      <c r="F124" s="2" t="s">
        <v>281</v>
      </c>
      <c r="G124" s="2" t="s">
        <v>133</v>
      </c>
      <c r="H124" s="2" t="s">
        <v>315</v>
      </c>
      <c r="I124" t="s">
        <v>198</v>
      </c>
      <c r="J124" s="18">
        <v>706329</v>
      </c>
      <c r="K124" s="18"/>
      <c r="L124" s="18">
        <v>891649.01103375002</v>
      </c>
      <c r="M124" s="18">
        <v>-208654.92752430399</v>
      </c>
      <c r="N124" s="18"/>
      <c r="O124" s="18"/>
      <c r="P124" s="3">
        <v>0</v>
      </c>
      <c r="Q124" s="3">
        <v>0</v>
      </c>
      <c r="R124" s="3">
        <v>0</v>
      </c>
      <c r="S124" s="3">
        <v>5</v>
      </c>
      <c r="T124" s="3" t="b">
        <v>0</v>
      </c>
      <c r="U124" s="3">
        <v>4326</v>
      </c>
      <c r="V124" s="3">
        <v>0</v>
      </c>
      <c r="W124" s="3">
        <v>2554</v>
      </c>
      <c r="X124">
        <v>8.2949999999999999</v>
      </c>
    </row>
    <row r="125" spans="1:24" hidden="1">
      <c r="A125" s="1">
        <v>45231</v>
      </c>
      <c r="B125" s="1" t="s">
        <v>337</v>
      </c>
      <c r="C125" s="2" t="s">
        <v>6</v>
      </c>
      <c r="D125" s="2" t="s">
        <v>279</v>
      </c>
      <c r="E125" s="2" t="s">
        <v>280</v>
      </c>
      <c r="F125" s="2" t="s">
        <v>281</v>
      </c>
      <c r="G125" s="2" t="s">
        <v>133</v>
      </c>
      <c r="H125" s="2" t="s">
        <v>315</v>
      </c>
      <c r="I125" t="s">
        <v>198</v>
      </c>
      <c r="J125" s="18">
        <v>821017</v>
      </c>
      <c r="K125" s="18"/>
      <c r="L125" s="18">
        <v>902087.85437645903</v>
      </c>
      <c r="M125" s="18">
        <v>12176.5730451954</v>
      </c>
      <c r="N125" s="18"/>
      <c r="O125" s="18"/>
      <c r="P125" s="3">
        <v>0</v>
      </c>
      <c r="Q125" s="3">
        <v>0</v>
      </c>
      <c r="R125" s="3">
        <v>0</v>
      </c>
      <c r="S125" s="3">
        <v>5</v>
      </c>
      <c r="T125" s="3" t="b">
        <v>0</v>
      </c>
      <c r="U125" s="3">
        <v>4264</v>
      </c>
      <c r="V125" s="3">
        <v>0</v>
      </c>
      <c r="W125" s="3">
        <v>1038</v>
      </c>
      <c r="X125">
        <v>20</v>
      </c>
    </row>
    <row r="126" spans="1:24" hidden="1">
      <c r="A126" s="1">
        <v>45261</v>
      </c>
      <c r="B126" s="1" t="s">
        <v>338</v>
      </c>
      <c r="C126" s="2" t="s">
        <v>6</v>
      </c>
      <c r="D126" s="2" t="s">
        <v>279</v>
      </c>
      <c r="E126" s="2" t="s">
        <v>280</v>
      </c>
      <c r="F126" s="2" t="s">
        <v>281</v>
      </c>
      <c r="G126" s="2" t="s">
        <v>133</v>
      </c>
      <c r="H126" s="2" t="s">
        <v>315</v>
      </c>
      <c r="I126" t="s">
        <v>198</v>
      </c>
      <c r="J126" s="18">
        <v>821784</v>
      </c>
      <c r="K126" s="18"/>
      <c r="L126" s="18">
        <v>912189.96083014505</v>
      </c>
      <c r="M126" s="18">
        <v>-131535.11329189001</v>
      </c>
      <c r="N126" s="18"/>
      <c r="O126" s="18"/>
      <c r="P126" s="3">
        <v>0</v>
      </c>
      <c r="Q126" s="3">
        <v>0</v>
      </c>
      <c r="R126" s="3">
        <v>0</v>
      </c>
      <c r="S126" s="3">
        <v>5</v>
      </c>
      <c r="T126" s="3" t="b">
        <v>0</v>
      </c>
      <c r="U126" s="3">
        <v>4914</v>
      </c>
      <c r="V126" s="3">
        <v>0</v>
      </c>
      <c r="W126" s="3">
        <v>2149</v>
      </c>
      <c r="X126">
        <v>8.24</v>
      </c>
    </row>
    <row r="127" spans="1:24" hidden="1">
      <c r="A127" s="1">
        <v>45292</v>
      </c>
      <c r="B127" s="1" t="s">
        <v>339</v>
      </c>
      <c r="C127" s="2" t="s">
        <v>6</v>
      </c>
      <c r="D127" s="2" t="s">
        <v>279</v>
      </c>
      <c r="E127" s="2" t="s">
        <v>280</v>
      </c>
      <c r="F127" s="2" t="s">
        <v>281</v>
      </c>
      <c r="G127" s="2" t="s">
        <v>133</v>
      </c>
      <c r="H127" s="2" t="s">
        <v>315</v>
      </c>
      <c r="I127" t="s">
        <v>198</v>
      </c>
      <c r="J127" s="18">
        <v>1067677</v>
      </c>
      <c r="K127" s="18"/>
      <c r="L127" s="18">
        <v>922628.80413878104</v>
      </c>
      <c r="M127" s="18">
        <v>81483.338575373098</v>
      </c>
      <c r="N127" s="18"/>
      <c r="O127" s="18"/>
      <c r="P127" s="3">
        <v>0</v>
      </c>
      <c r="Q127" s="3">
        <v>0</v>
      </c>
      <c r="R127" s="3">
        <v>0</v>
      </c>
      <c r="S127" s="3">
        <v>6</v>
      </c>
      <c r="T127" s="3" t="b">
        <v>0</v>
      </c>
      <c r="U127" s="3">
        <v>2872</v>
      </c>
      <c r="V127" s="3">
        <v>1</v>
      </c>
      <c r="W127" s="3">
        <v>2474</v>
      </c>
      <c r="X127">
        <v>7.74</v>
      </c>
    </row>
    <row r="128" spans="1:24" hidden="1">
      <c r="A128" s="1">
        <v>45323</v>
      </c>
      <c r="B128" s="1" t="s">
        <v>340</v>
      </c>
      <c r="C128" s="2" t="s">
        <v>6</v>
      </c>
      <c r="D128" s="2" t="s">
        <v>279</v>
      </c>
      <c r="E128" s="2" t="s">
        <v>280</v>
      </c>
      <c r="F128" s="2" t="s">
        <v>281</v>
      </c>
      <c r="G128" s="2" t="s">
        <v>133</v>
      </c>
      <c r="H128" s="2" t="s">
        <v>315</v>
      </c>
      <c r="I128" t="s">
        <v>198</v>
      </c>
      <c r="J128" s="18">
        <v>1291718</v>
      </c>
      <c r="K128" s="18"/>
      <c r="L128" s="18">
        <v>933067.64744827698</v>
      </c>
      <c r="M128" s="18">
        <v>265027.91507893702</v>
      </c>
      <c r="N128" s="18"/>
      <c r="O128" s="18"/>
      <c r="P128" s="3">
        <v>0</v>
      </c>
      <c r="Q128" s="3">
        <v>0</v>
      </c>
      <c r="R128" s="3">
        <v>0</v>
      </c>
      <c r="S128" s="3">
        <v>6</v>
      </c>
      <c r="T128" s="3" t="b">
        <v>0</v>
      </c>
      <c r="U128" s="3">
        <v>3821</v>
      </c>
      <c r="V128" s="3">
        <v>0</v>
      </c>
      <c r="W128" s="3">
        <v>1172</v>
      </c>
      <c r="X128">
        <v>7.66</v>
      </c>
    </row>
    <row r="129" spans="1:24" hidden="1">
      <c r="A129" s="1">
        <v>45352</v>
      </c>
      <c r="B129" s="1" t="s">
        <v>341</v>
      </c>
      <c r="C129" s="2" t="s">
        <v>6</v>
      </c>
      <c r="D129" s="2" t="s">
        <v>279</v>
      </c>
      <c r="E129" s="2" t="s">
        <v>280</v>
      </c>
      <c r="F129" s="2" t="s">
        <v>281</v>
      </c>
      <c r="G129" s="2" t="s">
        <v>133</v>
      </c>
      <c r="H129" s="2" t="s">
        <v>315</v>
      </c>
      <c r="I129" t="s">
        <v>198</v>
      </c>
      <c r="J129" s="18">
        <v>1418154</v>
      </c>
      <c r="K129" s="18"/>
      <c r="L129" s="18">
        <v>942833.016997147</v>
      </c>
      <c r="M129" s="18">
        <v>575625.17744382995</v>
      </c>
      <c r="N129" s="18"/>
      <c r="O129" s="18"/>
      <c r="P129" s="3">
        <v>0</v>
      </c>
      <c r="Q129" s="3">
        <v>0</v>
      </c>
      <c r="R129" s="3">
        <v>0</v>
      </c>
      <c r="S129" s="3">
        <v>6</v>
      </c>
      <c r="T129" s="3" t="b">
        <v>0</v>
      </c>
      <c r="U129" s="3">
        <v>3296</v>
      </c>
      <c r="V129" s="3">
        <v>0</v>
      </c>
      <c r="W129" s="3">
        <v>1652</v>
      </c>
      <c r="X129">
        <v>7.9050000000000002</v>
      </c>
    </row>
    <row r="130" spans="1:24" hidden="1">
      <c r="A130" s="1">
        <v>45383</v>
      </c>
      <c r="B130" s="1" t="s">
        <v>342</v>
      </c>
      <c r="C130" s="2" t="s">
        <v>6</v>
      </c>
      <c r="D130" s="2" t="s">
        <v>279</v>
      </c>
      <c r="E130" s="2" t="s">
        <v>280</v>
      </c>
      <c r="F130" s="2" t="s">
        <v>281</v>
      </c>
      <c r="G130" s="2" t="s">
        <v>133</v>
      </c>
      <c r="H130" s="2" t="s">
        <v>315</v>
      </c>
      <c r="I130" t="s">
        <v>198</v>
      </c>
      <c r="J130" s="18">
        <v>1489530</v>
      </c>
      <c r="K130" s="18"/>
      <c r="L130" s="18">
        <v>953271.86030800699</v>
      </c>
      <c r="M130" s="18">
        <v>408328.15783216897</v>
      </c>
      <c r="N130" s="18"/>
      <c r="O130" s="18"/>
      <c r="P130" s="3">
        <v>0</v>
      </c>
      <c r="Q130" s="3">
        <v>0</v>
      </c>
      <c r="R130" s="3">
        <v>0</v>
      </c>
      <c r="S130" s="3">
        <v>6</v>
      </c>
      <c r="T130" s="3" t="b">
        <v>0</v>
      </c>
      <c r="U130" s="3">
        <v>4109</v>
      </c>
      <c r="V130" s="3">
        <v>0</v>
      </c>
      <c r="W130" s="3">
        <v>1753</v>
      </c>
      <c r="X130">
        <v>8.1199999999999992</v>
      </c>
    </row>
    <row r="131" spans="1:24" hidden="1">
      <c r="A131" s="1">
        <v>45413</v>
      </c>
      <c r="B131" s="1" t="s">
        <v>343</v>
      </c>
      <c r="C131" s="2" t="s">
        <v>6</v>
      </c>
      <c r="D131" s="2" t="s">
        <v>279</v>
      </c>
      <c r="E131" s="2" t="s">
        <v>280</v>
      </c>
      <c r="F131" s="2" t="s">
        <v>281</v>
      </c>
      <c r="G131" s="2" t="s">
        <v>133</v>
      </c>
      <c r="H131" s="2" t="s">
        <v>315</v>
      </c>
      <c r="I131" t="s">
        <v>198</v>
      </c>
      <c r="J131" s="18">
        <v>1253460</v>
      </c>
      <c r="K131" s="18"/>
      <c r="L131" s="18">
        <v>963373.96673787199</v>
      </c>
      <c r="M131" s="18">
        <v>476510.67524528399</v>
      </c>
      <c r="N131" s="18"/>
      <c r="O131" s="18"/>
      <c r="P131" s="3">
        <v>0</v>
      </c>
      <c r="Q131" s="3">
        <v>0</v>
      </c>
      <c r="R131" s="3">
        <v>0</v>
      </c>
      <c r="S131" s="3">
        <v>6</v>
      </c>
      <c r="T131" s="3" t="b">
        <v>0</v>
      </c>
      <c r="U131" s="3">
        <v>2595</v>
      </c>
      <c r="V131" s="3">
        <v>0</v>
      </c>
      <c r="W131" s="3">
        <v>2243</v>
      </c>
      <c r="X131">
        <v>7.27</v>
      </c>
    </row>
    <row r="132" spans="1:24" hidden="1">
      <c r="A132" s="1">
        <v>45444</v>
      </c>
      <c r="B132" s="1" t="s">
        <v>344</v>
      </c>
      <c r="C132" s="2" t="s">
        <v>6</v>
      </c>
      <c r="D132" s="2" t="s">
        <v>279</v>
      </c>
      <c r="E132" s="2" t="s">
        <v>280</v>
      </c>
      <c r="F132" s="2" t="s">
        <v>281</v>
      </c>
      <c r="G132" s="2" t="s">
        <v>133</v>
      </c>
      <c r="H132" s="2" t="s">
        <v>315</v>
      </c>
      <c r="I132" t="s">
        <v>198</v>
      </c>
      <c r="J132" s="18">
        <v>531312</v>
      </c>
      <c r="K132" s="18"/>
      <c r="L132" s="18">
        <v>973812.81004873302</v>
      </c>
      <c r="M132" s="18">
        <v>-260595.62689230801</v>
      </c>
      <c r="N132" s="18"/>
      <c r="O132" s="18"/>
      <c r="P132" s="3">
        <v>0</v>
      </c>
      <c r="Q132" s="3">
        <v>0</v>
      </c>
      <c r="R132" s="3">
        <v>0</v>
      </c>
      <c r="S132" s="3">
        <v>6</v>
      </c>
      <c r="T132" s="3" t="b">
        <v>0</v>
      </c>
      <c r="U132" s="3">
        <v>3903</v>
      </c>
      <c r="V132" s="3">
        <v>0</v>
      </c>
      <c r="W132" s="3">
        <v>2661</v>
      </c>
      <c r="X132">
        <v>7.95</v>
      </c>
    </row>
    <row r="133" spans="1:24" hidden="1">
      <c r="A133" s="1">
        <v>45474</v>
      </c>
      <c r="B133" s="1" t="s">
        <v>345</v>
      </c>
      <c r="C133" s="2" t="s">
        <v>6</v>
      </c>
      <c r="D133" s="2" t="s">
        <v>279</v>
      </c>
      <c r="E133" s="2" t="s">
        <v>280</v>
      </c>
      <c r="F133" s="2" t="s">
        <v>281</v>
      </c>
      <c r="G133" s="2" t="s">
        <v>133</v>
      </c>
      <c r="H133" s="2" t="s">
        <v>315</v>
      </c>
      <c r="I133" t="s">
        <v>198</v>
      </c>
      <c r="J133" s="18">
        <v>304932</v>
      </c>
      <c r="K133" s="18">
        <v>323227.92000000004</v>
      </c>
      <c r="L133" s="18">
        <v>983914.91647859802</v>
      </c>
      <c r="M133" s="18">
        <v>-568404.89717965305</v>
      </c>
      <c r="N133" s="18">
        <v>294137.40720000002</v>
      </c>
      <c r="O133" s="18">
        <v>378176.6664000001</v>
      </c>
      <c r="P133" s="3">
        <v>0</v>
      </c>
      <c r="Q133" s="3">
        <v>0</v>
      </c>
      <c r="R133" s="3">
        <v>0</v>
      </c>
      <c r="S133" s="3">
        <v>6</v>
      </c>
      <c r="T133" s="3" t="b">
        <v>0</v>
      </c>
      <c r="U133" s="3">
        <v>2728</v>
      </c>
      <c r="V133" s="3">
        <v>1</v>
      </c>
      <c r="W133" s="3">
        <v>2081</v>
      </c>
      <c r="X133">
        <v>7.4349999999999996</v>
      </c>
    </row>
    <row r="134" spans="1:24" hidden="1">
      <c r="A134" s="1">
        <v>45505</v>
      </c>
      <c r="B134" s="1" t="s">
        <v>346</v>
      </c>
      <c r="C134" s="2" t="s">
        <v>6</v>
      </c>
      <c r="D134" s="2" t="s">
        <v>279</v>
      </c>
      <c r="E134" s="2" t="s">
        <v>280</v>
      </c>
      <c r="F134" s="2" t="s">
        <v>281</v>
      </c>
      <c r="G134" s="2" t="s">
        <v>133</v>
      </c>
      <c r="H134" s="2" t="s">
        <v>315</v>
      </c>
      <c r="I134" t="s">
        <v>198</v>
      </c>
      <c r="J134" s="18">
        <v>383112</v>
      </c>
      <c r="K134" s="18">
        <v>317982.95999999996</v>
      </c>
      <c r="L134" s="18">
        <v>994353.75978945801</v>
      </c>
      <c r="M134" s="18">
        <v>-439060.59239330201</v>
      </c>
      <c r="N134" s="18">
        <v>276645.17519999994</v>
      </c>
      <c r="O134" s="18">
        <v>375219.89279999991</v>
      </c>
      <c r="P134" s="3">
        <v>0</v>
      </c>
      <c r="Q134" s="3">
        <v>0</v>
      </c>
      <c r="R134" s="3">
        <v>0</v>
      </c>
      <c r="S134" s="3">
        <v>6</v>
      </c>
      <c r="T134" s="3" t="b">
        <v>1</v>
      </c>
      <c r="U134" s="3">
        <v>1365</v>
      </c>
      <c r="V134" s="3">
        <v>4</v>
      </c>
      <c r="W134" s="3">
        <v>2683</v>
      </c>
      <c r="X134">
        <v>8.19</v>
      </c>
    </row>
    <row r="135" spans="1:24" hidden="1">
      <c r="A135" s="1">
        <v>45536</v>
      </c>
      <c r="B135" s="1" t="s">
        <v>347</v>
      </c>
      <c r="C135" s="2" t="s">
        <v>6</v>
      </c>
      <c r="D135" s="2" t="s">
        <v>279</v>
      </c>
      <c r="E135" s="2" t="s">
        <v>280</v>
      </c>
      <c r="F135" s="2" t="s">
        <v>281</v>
      </c>
      <c r="G135" s="2" t="s">
        <v>133</v>
      </c>
      <c r="H135" s="2" t="s">
        <v>315</v>
      </c>
      <c r="I135" t="s">
        <v>198</v>
      </c>
      <c r="J135" s="18">
        <v>925078</v>
      </c>
      <c r="K135" s="18">
        <v>559071.76</v>
      </c>
      <c r="L135" s="18">
        <v>1004792.60310031</v>
      </c>
      <c r="M135" s="18">
        <v>-193712.13977166201</v>
      </c>
      <c r="N135" s="18">
        <v>660392.43119999999</v>
      </c>
      <c r="O135" s="18">
        <v>834978.93599999999</v>
      </c>
      <c r="P135" s="3">
        <v>0</v>
      </c>
      <c r="Q135" s="3">
        <v>0</v>
      </c>
      <c r="R135" s="3">
        <v>1</v>
      </c>
      <c r="S135" s="3">
        <v>6</v>
      </c>
      <c r="T135" s="3" t="b">
        <v>0</v>
      </c>
      <c r="U135" s="3">
        <v>2396</v>
      </c>
      <c r="V135" s="3">
        <v>0</v>
      </c>
      <c r="W135" s="3">
        <v>1475</v>
      </c>
      <c r="X135" s="3">
        <v>15</v>
      </c>
    </row>
    <row r="136" spans="1:24" hidden="1">
      <c r="A136" s="1">
        <v>45566</v>
      </c>
      <c r="B136" s="1" t="s">
        <v>348</v>
      </c>
      <c r="C136" s="2" t="s">
        <v>6</v>
      </c>
      <c r="D136" s="2" t="s">
        <v>279</v>
      </c>
      <c r="E136" s="2" t="s">
        <v>280</v>
      </c>
      <c r="F136" s="2" t="s">
        <v>281</v>
      </c>
      <c r="G136" s="2" t="s">
        <v>133</v>
      </c>
      <c r="H136" s="2" t="s">
        <v>315</v>
      </c>
      <c r="I136" t="s">
        <v>224</v>
      </c>
      <c r="J136" s="18"/>
      <c r="K136" s="18">
        <v>651746.16</v>
      </c>
      <c r="L136" s="18">
        <v>1014894.70953018</v>
      </c>
      <c r="M136" s="18">
        <v>-200263.64799092701</v>
      </c>
      <c r="N136" s="18">
        <v>547466.77439999999</v>
      </c>
      <c r="O136" s="18">
        <v>736473.16079999995</v>
      </c>
      <c r="P136" s="3"/>
      <c r="Q136" s="3"/>
      <c r="R136" s="3"/>
      <c r="S136" s="3"/>
      <c r="T136" s="3"/>
      <c r="U136" s="3"/>
      <c r="V136" s="3"/>
      <c r="W136" s="3">
        <v>1455</v>
      </c>
      <c r="X136" s="3"/>
    </row>
    <row r="137" spans="1:24" hidden="1">
      <c r="A137" s="1">
        <v>45597</v>
      </c>
      <c r="B137" s="1" t="s">
        <v>349</v>
      </c>
      <c r="C137" s="2" t="s">
        <v>6</v>
      </c>
      <c r="D137" s="2" t="s">
        <v>279</v>
      </c>
      <c r="E137" s="2" t="s">
        <v>280</v>
      </c>
      <c r="F137" s="2" t="s">
        <v>281</v>
      </c>
      <c r="G137" s="2" t="s">
        <v>133</v>
      </c>
      <c r="H137" s="2" t="s">
        <v>315</v>
      </c>
      <c r="I137" t="s">
        <v>224</v>
      </c>
      <c r="J137" s="18"/>
      <c r="K137" s="18">
        <v>1144468.7999999998</v>
      </c>
      <c r="L137" s="18">
        <v>1025333.55284104</v>
      </c>
      <c r="M137" s="18">
        <v>7457.28802210924</v>
      </c>
      <c r="N137" s="18">
        <v>927019.72799999977</v>
      </c>
      <c r="O137" s="18">
        <v>1270360.3679999998</v>
      </c>
      <c r="P137" s="3"/>
      <c r="Q137" s="3"/>
      <c r="R137" s="3"/>
      <c r="S137" s="3"/>
      <c r="T137" s="3"/>
      <c r="U137" s="3"/>
      <c r="V137" s="3"/>
      <c r="W137" s="3">
        <v>1828</v>
      </c>
      <c r="X137" s="3"/>
    </row>
    <row r="138" spans="1:24" hidden="1">
      <c r="A138" s="1">
        <v>45627</v>
      </c>
      <c r="B138" s="1" t="s">
        <v>350</v>
      </c>
      <c r="C138" s="2" t="s">
        <v>6</v>
      </c>
      <c r="D138" s="2" t="s">
        <v>279</v>
      </c>
      <c r="E138" s="2" t="s">
        <v>280</v>
      </c>
      <c r="F138" s="2" t="s">
        <v>281</v>
      </c>
      <c r="G138" s="2" t="s">
        <v>133</v>
      </c>
      <c r="H138" s="2" t="s">
        <v>315</v>
      </c>
      <c r="I138" t="s">
        <v>224</v>
      </c>
      <c r="J138" s="18"/>
      <c r="K138" s="18">
        <v>742693.6412999999</v>
      </c>
      <c r="L138" s="18">
        <v>1035435.65927091</v>
      </c>
      <c r="M138" s="18">
        <v>-126844.64620520901</v>
      </c>
      <c r="N138" s="18">
        <v>571874.10380099993</v>
      </c>
      <c r="O138" s="18">
        <v>779828.32336499984</v>
      </c>
      <c r="P138" s="3"/>
      <c r="Q138" s="3"/>
      <c r="R138" s="3"/>
      <c r="S138" s="3"/>
      <c r="T138" s="3"/>
      <c r="U138" s="3"/>
      <c r="V138" s="3"/>
      <c r="W138" s="3">
        <v>1894</v>
      </c>
      <c r="X138" s="3"/>
    </row>
    <row r="139" spans="1:24" hidden="1">
      <c r="A139" s="1">
        <v>45566</v>
      </c>
      <c r="B139" s="1" t="s">
        <v>351</v>
      </c>
      <c r="C139" s="2" t="s">
        <v>352</v>
      </c>
      <c r="D139" s="2" t="s">
        <v>279</v>
      </c>
      <c r="E139" s="2" t="s">
        <v>280</v>
      </c>
      <c r="F139" s="2" t="s">
        <v>281</v>
      </c>
      <c r="G139" s="2" t="s">
        <v>282</v>
      </c>
      <c r="H139" s="2" t="s">
        <v>353</v>
      </c>
      <c r="I139" t="s">
        <v>224</v>
      </c>
      <c r="J139" s="18"/>
      <c r="K139" s="18">
        <v>8840.41</v>
      </c>
      <c r="L139" s="18">
        <v>0</v>
      </c>
      <c r="M139" s="18">
        <v>0</v>
      </c>
      <c r="N139" s="18">
        <v>9040.41</v>
      </c>
      <c r="O139" s="18">
        <v>8640.41</v>
      </c>
      <c r="P139" s="3"/>
      <c r="Q139" s="3"/>
      <c r="R139" s="3"/>
      <c r="S139" s="3"/>
      <c r="T139" s="3"/>
      <c r="U139" s="3"/>
      <c r="V139" s="3"/>
      <c r="W139" s="3">
        <v>2316</v>
      </c>
      <c r="X139" s="3">
        <v>13.65</v>
      </c>
    </row>
    <row r="140" spans="1:24" hidden="1">
      <c r="A140" s="1">
        <v>45597</v>
      </c>
      <c r="B140" s="1" t="s">
        <v>354</v>
      </c>
      <c r="C140" s="2" t="s">
        <v>352</v>
      </c>
      <c r="D140" s="2" t="s">
        <v>279</v>
      </c>
      <c r="E140" s="2" t="s">
        <v>280</v>
      </c>
      <c r="F140" s="2" t="s">
        <v>281</v>
      </c>
      <c r="G140" s="2" t="s">
        <v>282</v>
      </c>
      <c r="H140" s="2" t="s">
        <v>353</v>
      </c>
      <c r="I140" t="s">
        <v>224</v>
      </c>
      <c r="J140" s="18"/>
      <c r="K140" s="18">
        <v>9326.0400000000009</v>
      </c>
      <c r="L140" s="18">
        <v>0</v>
      </c>
      <c r="M140" s="18">
        <v>0</v>
      </c>
      <c r="N140" s="18">
        <v>9526.0400000000009</v>
      </c>
      <c r="O140" s="18">
        <v>9126.0400000000009</v>
      </c>
      <c r="P140" s="3"/>
      <c r="Q140" s="3"/>
      <c r="R140" s="3"/>
      <c r="S140" s="3"/>
      <c r="T140" s="3"/>
      <c r="U140" s="3"/>
      <c r="V140" s="3"/>
      <c r="W140" s="3">
        <v>2218</v>
      </c>
      <c r="X140" s="3">
        <v>12.84</v>
      </c>
    </row>
    <row r="141" spans="1:24" hidden="1">
      <c r="A141" s="1">
        <v>45627</v>
      </c>
      <c r="B141" s="1" t="s">
        <v>355</v>
      </c>
      <c r="C141" s="2" t="s">
        <v>352</v>
      </c>
      <c r="D141" s="2" t="s">
        <v>279</v>
      </c>
      <c r="E141" s="2" t="s">
        <v>280</v>
      </c>
      <c r="F141" s="2" t="s">
        <v>281</v>
      </c>
      <c r="G141" s="2" t="s">
        <v>282</v>
      </c>
      <c r="H141" s="2" t="s">
        <v>353</v>
      </c>
      <c r="I141" t="s">
        <v>224</v>
      </c>
      <c r="J141" s="18"/>
      <c r="K141" s="18">
        <v>8938.75</v>
      </c>
      <c r="L141" s="18">
        <v>0</v>
      </c>
      <c r="M141" s="18">
        <v>0</v>
      </c>
      <c r="N141" s="18">
        <v>9138.75</v>
      </c>
      <c r="O141" s="18">
        <v>8738.75</v>
      </c>
      <c r="P141" s="3"/>
      <c r="Q141" s="3"/>
      <c r="R141" s="3"/>
      <c r="S141" s="3"/>
      <c r="T141" s="3"/>
      <c r="U141" s="3"/>
      <c r="V141" s="3"/>
      <c r="W141" s="3">
        <v>1291</v>
      </c>
      <c r="X141" s="3">
        <v>14.78</v>
      </c>
    </row>
    <row r="142" spans="1:24" hidden="1">
      <c r="A142" s="1">
        <v>44743</v>
      </c>
      <c r="B142" s="1" t="s">
        <v>356</v>
      </c>
      <c r="C142" s="2" t="s">
        <v>357</v>
      </c>
      <c r="D142" s="2" t="s">
        <v>279</v>
      </c>
      <c r="E142" s="2" t="s">
        <v>280</v>
      </c>
      <c r="F142" s="2" t="s">
        <v>358</v>
      </c>
      <c r="G142" s="2" t="s">
        <v>146</v>
      </c>
      <c r="H142" s="2" t="s">
        <v>359</v>
      </c>
      <c r="I142" t="s">
        <v>198</v>
      </c>
      <c r="J142" s="18">
        <v>15677.44</v>
      </c>
      <c r="K142" s="18"/>
      <c r="L142" s="18">
        <v>16733.321127840001</v>
      </c>
      <c r="M142" s="18">
        <v>-18.2320071108335</v>
      </c>
      <c r="N142" s="18"/>
      <c r="O142" s="18"/>
      <c r="P142" s="3">
        <v>0</v>
      </c>
      <c r="Q142" s="3">
        <v>0</v>
      </c>
      <c r="R142" s="3">
        <v>0</v>
      </c>
      <c r="S142" s="3"/>
      <c r="T142" s="3" t="b">
        <v>0</v>
      </c>
      <c r="U142" s="3">
        <v>2832</v>
      </c>
      <c r="V142" s="3">
        <v>0</v>
      </c>
      <c r="W142" s="3">
        <v>1579</v>
      </c>
      <c r="X142" s="3">
        <v>17.760000000000002</v>
      </c>
    </row>
    <row r="143" spans="1:24" hidden="1">
      <c r="A143" s="1">
        <v>44774</v>
      </c>
      <c r="B143" s="1" t="s">
        <v>360</v>
      </c>
      <c r="C143" s="2" t="s">
        <v>357</v>
      </c>
      <c r="D143" s="2" t="s">
        <v>279</v>
      </c>
      <c r="E143" s="2" t="s">
        <v>280</v>
      </c>
      <c r="F143" s="2" t="s">
        <v>358</v>
      </c>
      <c r="G143" s="2" t="s">
        <v>146</v>
      </c>
      <c r="H143" s="2" t="s">
        <v>359</v>
      </c>
      <c r="I143" t="s">
        <v>198</v>
      </c>
      <c r="J143" s="18">
        <v>15974.65</v>
      </c>
      <c r="K143" s="18"/>
      <c r="L143" s="18">
        <v>16758.262006451001</v>
      </c>
      <c r="M143" s="18">
        <v>-1425.5926659276099</v>
      </c>
      <c r="N143" s="18"/>
      <c r="O143" s="18"/>
      <c r="P143" s="3">
        <v>0</v>
      </c>
      <c r="Q143" s="3">
        <v>0</v>
      </c>
      <c r="R143" s="3">
        <v>0</v>
      </c>
      <c r="S143" s="3"/>
      <c r="T143" s="3" t="b">
        <v>0</v>
      </c>
      <c r="U143" s="3">
        <v>4888</v>
      </c>
      <c r="V143" s="3">
        <v>1</v>
      </c>
      <c r="W143" s="3">
        <v>1474</v>
      </c>
      <c r="X143" s="3">
        <v>19.920000000000002</v>
      </c>
    </row>
    <row r="144" spans="1:24" hidden="1">
      <c r="A144" s="1">
        <v>44835</v>
      </c>
      <c r="B144" s="1" t="s">
        <v>361</v>
      </c>
      <c r="C144" s="2" t="s">
        <v>357</v>
      </c>
      <c r="D144" s="2" t="s">
        <v>279</v>
      </c>
      <c r="E144" s="2" t="s">
        <v>280</v>
      </c>
      <c r="F144" s="2" t="s">
        <v>358</v>
      </c>
      <c r="G144" s="2" t="s">
        <v>146</v>
      </c>
      <c r="H144" s="2" t="s">
        <v>359</v>
      </c>
      <c r="I144" t="s">
        <v>198</v>
      </c>
      <c r="J144" s="18">
        <v>16371.84</v>
      </c>
      <c r="K144" s="18"/>
      <c r="L144" s="18">
        <v>16807.339216092201</v>
      </c>
      <c r="M144" s="18">
        <v>86.569536650399399</v>
      </c>
      <c r="N144" s="18"/>
      <c r="O144" s="18"/>
      <c r="P144" s="3">
        <v>0</v>
      </c>
      <c r="Q144" s="3">
        <v>0</v>
      </c>
      <c r="R144" s="3">
        <v>0</v>
      </c>
      <c r="S144" s="3"/>
      <c r="T144" s="3" t="b">
        <v>0</v>
      </c>
      <c r="U144" s="3">
        <v>3241</v>
      </c>
      <c r="V144" s="3">
        <v>0</v>
      </c>
      <c r="W144" s="3">
        <v>1636</v>
      </c>
      <c r="X144" s="3">
        <v>18.8</v>
      </c>
    </row>
    <row r="145" spans="1:24" hidden="1">
      <c r="A145" s="1">
        <v>44866</v>
      </c>
      <c r="B145" s="1" t="s">
        <v>362</v>
      </c>
      <c r="C145" s="2" t="s">
        <v>357</v>
      </c>
      <c r="D145" s="2" t="s">
        <v>279</v>
      </c>
      <c r="E145" s="2" t="s">
        <v>280</v>
      </c>
      <c r="F145" s="2" t="s">
        <v>358</v>
      </c>
      <c r="G145" s="2" t="s">
        <v>146</v>
      </c>
      <c r="H145" s="2" t="s">
        <v>359</v>
      </c>
      <c r="I145" t="s">
        <v>198</v>
      </c>
      <c r="J145" s="18">
        <v>15897.17</v>
      </c>
      <c r="K145" s="18"/>
      <c r="L145" s="18">
        <v>16832.280097131501</v>
      </c>
      <c r="M145" s="18">
        <v>353.99853617603702</v>
      </c>
      <c r="N145" s="18"/>
      <c r="O145" s="18"/>
      <c r="P145" s="3">
        <v>0</v>
      </c>
      <c r="Q145" s="3">
        <v>0</v>
      </c>
      <c r="R145" s="3">
        <v>0</v>
      </c>
      <c r="S145" s="3"/>
      <c r="T145" s="3" t="b">
        <v>0</v>
      </c>
      <c r="U145" s="3">
        <v>3672</v>
      </c>
      <c r="V145" s="3">
        <v>0</v>
      </c>
      <c r="W145" s="3">
        <v>1426</v>
      </c>
      <c r="X145" s="3">
        <v>19.23</v>
      </c>
    </row>
    <row r="146" spans="1:24" hidden="1">
      <c r="A146" s="1">
        <v>44927</v>
      </c>
      <c r="B146" s="1" t="s">
        <v>363</v>
      </c>
      <c r="C146" s="2" t="s">
        <v>357</v>
      </c>
      <c r="D146" s="2" t="s">
        <v>279</v>
      </c>
      <c r="E146" s="2" t="s">
        <v>280</v>
      </c>
      <c r="F146" s="2" t="s">
        <v>358</v>
      </c>
      <c r="G146" s="2" t="s">
        <v>146</v>
      </c>
      <c r="H146" s="2" t="s">
        <v>359</v>
      </c>
      <c r="I146" t="s">
        <v>198</v>
      </c>
      <c r="J146" s="18">
        <v>15765.57</v>
      </c>
      <c r="K146" s="18"/>
      <c r="L146" s="18">
        <v>16881.3573127626</v>
      </c>
      <c r="M146" s="18">
        <v>-4956.7182294537697</v>
      </c>
      <c r="N146" s="18"/>
      <c r="O146" s="18"/>
      <c r="P146" s="3">
        <v>0</v>
      </c>
      <c r="Q146" s="3">
        <v>0</v>
      </c>
      <c r="R146" s="3">
        <v>0</v>
      </c>
      <c r="S146" s="3"/>
      <c r="T146" s="3" t="b">
        <v>0</v>
      </c>
      <c r="U146" s="3">
        <v>2690</v>
      </c>
      <c r="V146" s="3">
        <v>0</v>
      </c>
      <c r="W146" s="3">
        <v>2082</v>
      </c>
      <c r="X146" s="3">
        <v>19.84</v>
      </c>
    </row>
    <row r="147" spans="1:24" hidden="1">
      <c r="A147" s="1">
        <v>44958</v>
      </c>
      <c r="B147" s="1" t="s">
        <v>364</v>
      </c>
      <c r="C147" s="2" t="s">
        <v>357</v>
      </c>
      <c r="D147" s="2" t="s">
        <v>279</v>
      </c>
      <c r="E147" s="2" t="s">
        <v>280</v>
      </c>
      <c r="F147" s="2" t="s">
        <v>358</v>
      </c>
      <c r="G147" s="2" t="s">
        <v>146</v>
      </c>
      <c r="H147" s="2" t="s">
        <v>359</v>
      </c>
      <c r="I147" t="s">
        <v>198</v>
      </c>
      <c r="J147" s="18">
        <v>15887.57</v>
      </c>
      <c r="K147" s="18"/>
      <c r="L147" s="18">
        <v>16906.298196526201</v>
      </c>
      <c r="M147" s="18">
        <v>-5.62109563596497</v>
      </c>
      <c r="N147" s="18"/>
      <c r="O147" s="18"/>
      <c r="P147" s="3">
        <v>0</v>
      </c>
      <c r="Q147" s="3">
        <v>0</v>
      </c>
      <c r="R147" s="3">
        <v>0</v>
      </c>
      <c r="S147" s="3"/>
      <c r="T147" s="3" t="b">
        <v>0</v>
      </c>
      <c r="U147" s="3">
        <v>2527</v>
      </c>
      <c r="V147" s="3">
        <v>0</v>
      </c>
      <c r="W147" s="3">
        <v>2459</v>
      </c>
      <c r="X147" s="3">
        <v>19.82</v>
      </c>
    </row>
    <row r="148" spans="1:24" hidden="1">
      <c r="A148" s="1">
        <v>44986</v>
      </c>
      <c r="B148" s="1" t="s">
        <v>365</v>
      </c>
      <c r="C148" s="2" t="s">
        <v>357</v>
      </c>
      <c r="D148" s="2" t="s">
        <v>279</v>
      </c>
      <c r="E148" s="2" t="s">
        <v>280</v>
      </c>
      <c r="F148" s="2" t="s">
        <v>358</v>
      </c>
      <c r="G148" s="2" t="s">
        <v>146</v>
      </c>
      <c r="H148" s="2" t="s">
        <v>359</v>
      </c>
      <c r="I148" t="s">
        <v>198</v>
      </c>
      <c r="J148" s="18">
        <v>16425.18</v>
      </c>
      <c r="K148" s="18"/>
      <c r="L148" s="18">
        <v>16928.825447654999</v>
      </c>
      <c r="M148" s="18">
        <v>-361.074882318074</v>
      </c>
      <c r="N148" s="18"/>
      <c r="O148" s="18"/>
      <c r="P148" s="3">
        <v>0</v>
      </c>
      <c r="Q148" s="3">
        <v>0</v>
      </c>
      <c r="R148" s="3">
        <v>0</v>
      </c>
      <c r="S148" s="3"/>
      <c r="T148" s="3" t="b">
        <v>0</v>
      </c>
      <c r="U148" s="3">
        <v>3495</v>
      </c>
      <c r="V148" s="3">
        <v>0</v>
      </c>
      <c r="W148" s="3">
        <v>1096</v>
      </c>
      <c r="X148" s="3">
        <v>20.5</v>
      </c>
    </row>
    <row r="149" spans="1:24" hidden="1">
      <c r="A149" s="1">
        <v>45017</v>
      </c>
      <c r="B149" s="1" t="s">
        <v>366</v>
      </c>
      <c r="C149" s="2" t="s">
        <v>357</v>
      </c>
      <c r="D149" s="2" t="s">
        <v>279</v>
      </c>
      <c r="E149" s="2" t="s">
        <v>280</v>
      </c>
      <c r="F149" s="2" t="s">
        <v>358</v>
      </c>
      <c r="G149" s="2" t="s">
        <v>146</v>
      </c>
      <c r="H149" s="2" t="s">
        <v>359</v>
      </c>
      <c r="I149" t="s">
        <v>198</v>
      </c>
      <c r="J149" s="18">
        <v>16347.06</v>
      </c>
      <c r="K149" s="18"/>
      <c r="L149" s="18">
        <v>16953.766328642399</v>
      </c>
      <c r="M149" s="18">
        <v>1143.4931427916599</v>
      </c>
      <c r="N149" s="18"/>
      <c r="O149" s="18"/>
      <c r="P149" s="3">
        <v>0</v>
      </c>
      <c r="Q149" s="3">
        <v>0</v>
      </c>
      <c r="R149" s="3">
        <v>0</v>
      </c>
      <c r="S149" s="3"/>
      <c r="T149" s="3" t="b">
        <v>0</v>
      </c>
      <c r="U149" s="3">
        <v>4893</v>
      </c>
      <c r="V149" s="3">
        <v>0</v>
      </c>
      <c r="W149" s="3">
        <v>1495</v>
      </c>
      <c r="X149" s="3">
        <v>19.260000000000002</v>
      </c>
    </row>
    <row r="150" spans="1:24" hidden="1">
      <c r="A150" s="1">
        <v>45078</v>
      </c>
      <c r="B150" s="1" t="s">
        <v>367</v>
      </c>
      <c r="C150" s="2" t="s">
        <v>357</v>
      </c>
      <c r="D150" s="2" t="s">
        <v>279</v>
      </c>
      <c r="E150" s="2" t="s">
        <v>280</v>
      </c>
      <c r="F150" s="2" t="s">
        <v>358</v>
      </c>
      <c r="G150" s="2" t="s">
        <v>146</v>
      </c>
      <c r="H150" s="2" t="s">
        <v>359</v>
      </c>
      <c r="I150" t="s">
        <v>198</v>
      </c>
      <c r="J150" s="18">
        <v>17247.259999999998</v>
      </c>
      <c r="K150" s="18"/>
      <c r="L150" s="18">
        <v>17002.843541696901</v>
      </c>
      <c r="M150" s="18">
        <v>1662.0852853772999</v>
      </c>
      <c r="N150" s="18"/>
      <c r="O150" s="18"/>
      <c r="P150" s="3">
        <v>0</v>
      </c>
      <c r="Q150" s="3">
        <v>0</v>
      </c>
      <c r="R150" s="3">
        <v>0</v>
      </c>
      <c r="S150" s="3"/>
      <c r="T150" s="3" t="b">
        <v>0</v>
      </c>
      <c r="U150" s="3">
        <v>2386</v>
      </c>
      <c r="V150" s="3">
        <v>0</v>
      </c>
      <c r="W150" s="3">
        <v>1660</v>
      </c>
      <c r="X150" s="3">
        <v>19.03</v>
      </c>
    </row>
    <row r="151" spans="1:24" hidden="1">
      <c r="A151" s="1">
        <v>45108</v>
      </c>
      <c r="B151" s="1" t="s">
        <v>368</v>
      </c>
      <c r="C151" s="2" t="s">
        <v>357</v>
      </c>
      <c r="D151" s="2" t="s">
        <v>279</v>
      </c>
      <c r="E151" s="2" t="s">
        <v>280</v>
      </c>
      <c r="F151" s="2" t="s">
        <v>358</v>
      </c>
      <c r="G151" s="2" t="s">
        <v>146</v>
      </c>
      <c r="H151" s="2" t="s">
        <v>359</v>
      </c>
      <c r="I151" t="s">
        <v>198</v>
      </c>
      <c r="J151" s="18">
        <v>17276.849999999999</v>
      </c>
      <c r="K151" s="18"/>
      <c r="L151" s="18">
        <v>17026.9798713583</v>
      </c>
      <c r="M151" s="18">
        <v>-525.69768080436802</v>
      </c>
      <c r="N151" s="18"/>
      <c r="O151" s="18"/>
      <c r="P151" s="3">
        <v>0</v>
      </c>
      <c r="Q151" s="3">
        <v>0</v>
      </c>
      <c r="R151" s="3">
        <v>0</v>
      </c>
      <c r="S151" s="3"/>
      <c r="T151" s="3" t="b">
        <v>0</v>
      </c>
      <c r="U151" s="3">
        <v>3249</v>
      </c>
      <c r="V151" s="3">
        <v>0</v>
      </c>
      <c r="W151" s="3">
        <v>2301</v>
      </c>
      <c r="X151" s="3">
        <v>20.23</v>
      </c>
    </row>
    <row r="152" spans="1:24" hidden="1">
      <c r="A152" s="1">
        <v>45139</v>
      </c>
      <c r="B152" s="1" t="s">
        <v>369</v>
      </c>
      <c r="C152" s="2" t="s">
        <v>357</v>
      </c>
      <c r="D152" s="2" t="s">
        <v>279</v>
      </c>
      <c r="E152" s="2" t="s">
        <v>280</v>
      </c>
      <c r="F152" s="2" t="s">
        <v>358</v>
      </c>
      <c r="G152" s="2" t="s">
        <v>146</v>
      </c>
      <c r="H152" s="2" t="s">
        <v>359</v>
      </c>
      <c r="I152" t="s">
        <v>198</v>
      </c>
      <c r="J152" s="18">
        <v>17947.18</v>
      </c>
      <c r="K152" s="18"/>
      <c r="L152" s="18">
        <v>17051.9207425942</v>
      </c>
      <c r="M152" s="18">
        <v>-887.64557662335699</v>
      </c>
      <c r="N152" s="18"/>
      <c r="O152" s="18"/>
      <c r="P152" s="3">
        <v>0</v>
      </c>
      <c r="Q152" s="3">
        <v>0</v>
      </c>
      <c r="R152" s="3">
        <v>0</v>
      </c>
      <c r="S152" s="3"/>
      <c r="T152" s="3" t="b">
        <v>0</v>
      </c>
      <c r="U152" s="3">
        <v>4528</v>
      </c>
      <c r="V152" s="3">
        <v>0</v>
      </c>
      <c r="W152" s="3">
        <v>2288</v>
      </c>
      <c r="X152" s="3">
        <v>18.91</v>
      </c>
    </row>
    <row r="153" spans="1:24" hidden="1">
      <c r="A153" s="1">
        <v>45170</v>
      </c>
      <c r="B153" s="1" t="s">
        <v>370</v>
      </c>
      <c r="C153" s="2" t="s">
        <v>357</v>
      </c>
      <c r="D153" s="2" t="s">
        <v>279</v>
      </c>
      <c r="E153" s="2" t="s">
        <v>280</v>
      </c>
      <c r="F153" s="2" t="s">
        <v>358</v>
      </c>
      <c r="G153" s="2" t="s">
        <v>146</v>
      </c>
      <c r="H153" s="2" t="s">
        <v>359</v>
      </c>
      <c r="I153" t="s">
        <v>198</v>
      </c>
      <c r="J153" s="18">
        <v>18045.52</v>
      </c>
      <c r="K153" s="18"/>
      <c r="L153" s="18">
        <v>17076.8616125876</v>
      </c>
      <c r="M153" s="18">
        <v>435.65896634556702</v>
      </c>
      <c r="N153" s="18"/>
      <c r="O153" s="18"/>
      <c r="P153" s="3">
        <v>0</v>
      </c>
      <c r="Q153" s="3">
        <v>0</v>
      </c>
      <c r="R153" s="3">
        <v>0</v>
      </c>
      <c r="S153" s="3"/>
      <c r="T153" s="3" t="b">
        <v>0</v>
      </c>
      <c r="U153" s="3">
        <v>3777</v>
      </c>
      <c r="V153" s="3">
        <v>0</v>
      </c>
      <c r="W153" s="3">
        <v>1008</v>
      </c>
      <c r="X153" s="3">
        <v>18.61</v>
      </c>
    </row>
    <row r="154" spans="1:24" hidden="1">
      <c r="A154" s="1">
        <v>45200</v>
      </c>
      <c r="B154" s="1" t="s">
        <v>371</v>
      </c>
      <c r="C154" s="2" t="s">
        <v>357</v>
      </c>
      <c r="D154" s="2" t="s">
        <v>279</v>
      </c>
      <c r="E154" s="2" t="s">
        <v>280</v>
      </c>
      <c r="F154" s="2" t="s">
        <v>358</v>
      </c>
      <c r="G154" s="2" t="s">
        <v>146</v>
      </c>
      <c r="H154" s="2" t="s">
        <v>359</v>
      </c>
      <c r="I154" t="s">
        <v>198</v>
      </c>
      <c r="J154" s="18">
        <v>18255.95</v>
      </c>
      <c r="K154" s="18"/>
      <c r="L154" s="18">
        <v>17100.997935687999</v>
      </c>
      <c r="M154" s="18">
        <v>639.55937389484802</v>
      </c>
      <c r="N154" s="18"/>
      <c r="O154" s="18"/>
      <c r="P154" s="3">
        <v>0</v>
      </c>
      <c r="Q154" s="3">
        <v>0</v>
      </c>
      <c r="R154" s="3">
        <v>0</v>
      </c>
      <c r="S154" s="3"/>
      <c r="T154" s="3" t="b">
        <v>0</v>
      </c>
      <c r="U154" s="3">
        <v>2407</v>
      </c>
      <c r="V154" s="3">
        <v>0</v>
      </c>
      <c r="W154" s="3">
        <v>1456</v>
      </c>
      <c r="X154" s="3">
        <v>20.96</v>
      </c>
    </row>
    <row r="155" spans="1:24" hidden="1">
      <c r="A155" s="1">
        <v>45231</v>
      </c>
      <c r="B155" s="1" t="s">
        <v>372</v>
      </c>
      <c r="C155" s="2" t="s">
        <v>357</v>
      </c>
      <c r="D155" s="2" t="s">
        <v>279</v>
      </c>
      <c r="E155" s="2" t="s">
        <v>280</v>
      </c>
      <c r="F155" s="2" t="s">
        <v>358</v>
      </c>
      <c r="G155" s="2" t="s">
        <v>146</v>
      </c>
      <c r="H155" s="2" t="s">
        <v>359</v>
      </c>
      <c r="I155" t="s">
        <v>198</v>
      </c>
      <c r="J155" s="18">
        <v>18208.55</v>
      </c>
      <c r="K155" s="18"/>
      <c r="L155" s="18">
        <v>17125.938803899899</v>
      </c>
      <c r="M155" s="18">
        <v>-202.465822247125</v>
      </c>
      <c r="N155" s="18"/>
      <c r="O155" s="18"/>
      <c r="P155" s="3">
        <v>0</v>
      </c>
      <c r="Q155" s="3">
        <v>0</v>
      </c>
      <c r="R155" s="3">
        <v>0</v>
      </c>
      <c r="S155" s="3"/>
      <c r="T155" s="3" t="b">
        <v>0</v>
      </c>
      <c r="U155" s="3">
        <v>3676</v>
      </c>
      <c r="V155" s="3">
        <v>0</v>
      </c>
      <c r="W155" s="3">
        <v>2818</v>
      </c>
      <c r="X155" s="3">
        <v>20.04</v>
      </c>
    </row>
    <row r="156" spans="1:24" hidden="1">
      <c r="A156" s="1">
        <v>45261</v>
      </c>
      <c r="B156" s="1" t="s">
        <v>373</v>
      </c>
      <c r="C156" s="2" t="s">
        <v>357</v>
      </c>
      <c r="D156" s="2" t="s">
        <v>279</v>
      </c>
      <c r="E156" s="2" t="s">
        <v>280</v>
      </c>
      <c r="F156" s="2" t="s">
        <v>358</v>
      </c>
      <c r="G156" s="2" t="s">
        <v>146</v>
      </c>
      <c r="H156" s="2" t="s">
        <v>359</v>
      </c>
      <c r="I156" t="s">
        <v>198</v>
      </c>
      <c r="J156" s="18">
        <v>18549.63</v>
      </c>
      <c r="K156" s="18"/>
      <c r="L156" s="18">
        <v>17150.0751299699</v>
      </c>
      <c r="M156" s="18">
        <v>1367.20104271072</v>
      </c>
      <c r="N156" s="18"/>
      <c r="O156" s="18"/>
      <c r="P156" s="3">
        <v>0</v>
      </c>
      <c r="Q156" s="3">
        <v>0</v>
      </c>
      <c r="R156" s="3">
        <v>0</v>
      </c>
      <c r="S156" s="3"/>
      <c r="T156" s="3" t="b">
        <v>0</v>
      </c>
      <c r="U156" s="3">
        <v>2897</v>
      </c>
      <c r="V156" s="3">
        <v>1</v>
      </c>
      <c r="W156" s="3">
        <v>1272</v>
      </c>
      <c r="X156" s="3">
        <v>18.57</v>
      </c>
    </row>
    <row r="157" spans="1:24" hidden="1">
      <c r="A157" s="1">
        <v>45292</v>
      </c>
      <c r="B157" s="1" t="s">
        <v>374</v>
      </c>
      <c r="C157" s="2" t="s">
        <v>357</v>
      </c>
      <c r="D157" s="2" t="s">
        <v>279</v>
      </c>
      <c r="E157" s="2" t="s">
        <v>280</v>
      </c>
      <c r="F157" s="2" t="s">
        <v>358</v>
      </c>
      <c r="G157" s="2" t="s">
        <v>146</v>
      </c>
      <c r="H157" s="2" t="s">
        <v>359</v>
      </c>
      <c r="I157" t="s">
        <v>198</v>
      </c>
      <c r="J157" s="18">
        <v>7863.86</v>
      </c>
      <c r="K157" s="18"/>
      <c r="L157" s="18">
        <v>17175.016002102398</v>
      </c>
      <c r="M157" s="18">
        <v>-5474.32008535146</v>
      </c>
      <c r="N157" s="18"/>
      <c r="O157" s="18"/>
      <c r="P157" s="3">
        <v>0</v>
      </c>
      <c r="Q157" s="3">
        <v>0</v>
      </c>
      <c r="R157" s="3">
        <v>1</v>
      </c>
      <c r="S157" s="3"/>
      <c r="T157" s="3" t="b">
        <v>0</v>
      </c>
      <c r="U157" s="3">
        <v>2710</v>
      </c>
      <c r="V157" s="3">
        <v>0</v>
      </c>
      <c r="W157" s="3">
        <v>1939</v>
      </c>
      <c r="X157" s="3">
        <v>20.39</v>
      </c>
    </row>
    <row r="158" spans="1:24" hidden="1">
      <c r="A158" s="1">
        <v>45323</v>
      </c>
      <c r="B158" s="1" t="s">
        <v>375</v>
      </c>
      <c r="C158" s="2" t="s">
        <v>357</v>
      </c>
      <c r="D158" s="2" t="s">
        <v>279</v>
      </c>
      <c r="E158" s="2" t="s">
        <v>280</v>
      </c>
      <c r="F158" s="2" t="s">
        <v>358</v>
      </c>
      <c r="G158" s="2" t="s">
        <v>146</v>
      </c>
      <c r="H158" s="2" t="s">
        <v>359</v>
      </c>
      <c r="I158" t="s">
        <v>198</v>
      </c>
      <c r="J158" s="18">
        <v>18597.57</v>
      </c>
      <c r="K158" s="18"/>
      <c r="L158" s="18">
        <v>17199.9568759375</v>
      </c>
      <c r="M158" s="18">
        <v>436.83622868782101</v>
      </c>
      <c r="N158" s="18"/>
      <c r="O158" s="18"/>
      <c r="P158" s="3">
        <v>0</v>
      </c>
      <c r="Q158" s="3">
        <v>0</v>
      </c>
      <c r="R158" s="3">
        <v>0</v>
      </c>
      <c r="S158" s="3"/>
      <c r="T158" s="3" t="b">
        <v>0</v>
      </c>
      <c r="U158" s="3">
        <v>4686</v>
      </c>
      <c r="V158" s="3">
        <v>0</v>
      </c>
      <c r="W158" s="3">
        <v>2836</v>
      </c>
      <c r="X158" s="3">
        <v>19.21</v>
      </c>
    </row>
    <row r="159" spans="1:24" hidden="1">
      <c r="A159" s="1">
        <v>45352</v>
      </c>
      <c r="B159" s="1" t="s">
        <v>376</v>
      </c>
      <c r="C159" s="2" t="s">
        <v>357</v>
      </c>
      <c r="D159" s="2" t="s">
        <v>279</v>
      </c>
      <c r="E159" s="2" t="s">
        <v>280</v>
      </c>
      <c r="F159" s="2" t="s">
        <v>358</v>
      </c>
      <c r="G159" s="2" t="s">
        <v>146</v>
      </c>
      <c r="H159" s="2" t="s">
        <v>359</v>
      </c>
      <c r="I159" t="s">
        <v>198</v>
      </c>
      <c r="J159" s="18">
        <v>18460.55</v>
      </c>
      <c r="K159" s="18"/>
      <c r="L159" s="18">
        <v>17223.2886634237</v>
      </c>
      <c r="M159" s="18">
        <v>1022.42580794702</v>
      </c>
      <c r="N159" s="18"/>
      <c r="O159" s="18"/>
      <c r="P159" s="3">
        <v>0</v>
      </c>
      <c r="Q159" s="3">
        <v>0</v>
      </c>
      <c r="R159" s="3">
        <v>0</v>
      </c>
      <c r="S159" s="3"/>
      <c r="T159" s="3" t="b">
        <v>0</v>
      </c>
      <c r="U159" s="3">
        <v>3682</v>
      </c>
      <c r="V159" s="3">
        <v>0</v>
      </c>
      <c r="W159" s="3">
        <v>2031</v>
      </c>
      <c r="X159" s="3">
        <v>19.73</v>
      </c>
    </row>
    <row r="160" spans="1:24" hidden="1">
      <c r="A160" s="1">
        <v>45383</v>
      </c>
      <c r="B160" s="1" t="s">
        <v>377</v>
      </c>
      <c r="C160" s="2" t="s">
        <v>357</v>
      </c>
      <c r="D160" s="2" t="s">
        <v>279</v>
      </c>
      <c r="E160" s="2" t="s">
        <v>280</v>
      </c>
      <c r="F160" s="2" t="s">
        <v>358</v>
      </c>
      <c r="G160" s="2" t="s">
        <v>146</v>
      </c>
      <c r="H160" s="2" t="s">
        <v>359</v>
      </c>
      <c r="I160" t="s">
        <v>198</v>
      </c>
      <c r="J160" s="18">
        <v>18645.79</v>
      </c>
      <c r="K160" s="18"/>
      <c r="L160" s="18">
        <v>17248.229535682</v>
      </c>
      <c r="M160" s="18">
        <v>-328.21154376636298</v>
      </c>
      <c r="N160" s="18"/>
      <c r="O160" s="18"/>
      <c r="P160" s="3">
        <v>0</v>
      </c>
      <c r="Q160" s="3">
        <v>0</v>
      </c>
      <c r="R160" s="3">
        <v>0</v>
      </c>
      <c r="S160" s="3"/>
      <c r="T160" s="3" t="b">
        <v>0</v>
      </c>
      <c r="U160" s="3">
        <v>4862</v>
      </c>
      <c r="V160" s="3">
        <v>0</v>
      </c>
      <c r="W160" s="3">
        <v>1207</v>
      </c>
      <c r="X160" s="3">
        <v>19.41</v>
      </c>
    </row>
    <row r="161" spans="1:24" hidden="1">
      <c r="A161" s="1">
        <v>45413</v>
      </c>
      <c r="B161" s="1" t="s">
        <v>378</v>
      </c>
      <c r="C161" s="2" t="s">
        <v>357</v>
      </c>
      <c r="D161" s="2" t="s">
        <v>279</v>
      </c>
      <c r="E161" s="2" t="s">
        <v>280</v>
      </c>
      <c r="F161" s="2" t="s">
        <v>358</v>
      </c>
      <c r="G161" s="2" t="s">
        <v>146</v>
      </c>
      <c r="H161" s="2" t="s">
        <v>359</v>
      </c>
      <c r="I161" t="s">
        <v>198</v>
      </c>
      <c r="J161" s="18">
        <v>18434.55</v>
      </c>
      <c r="K161" s="18"/>
      <c r="L161" s="18">
        <v>17272.365862056799</v>
      </c>
      <c r="M161" s="18">
        <v>1171.75643279837</v>
      </c>
      <c r="N161" s="18"/>
      <c r="O161" s="18"/>
      <c r="P161" s="3">
        <v>0</v>
      </c>
      <c r="Q161" s="3">
        <v>0</v>
      </c>
      <c r="R161" s="3">
        <v>0</v>
      </c>
      <c r="S161" s="3"/>
      <c r="T161" s="3" t="b">
        <v>1</v>
      </c>
      <c r="U161" s="3">
        <v>2917</v>
      </c>
      <c r="V161" s="3">
        <v>0</v>
      </c>
      <c r="W161" s="3">
        <v>2937</v>
      </c>
      <c r="X161" s="3">
        <v>19.7</v>
      </c>
    </row>
    <row r="162" spans="1:24" hidden="1">
      <c r="A162" s="1">
        <v>45444</v>
      </c>
      <c r="B162" s="1" t="s">
        <v>379</v>
      </c>
      <c r="C162" s="2" t="s">
        <v>357</v>
      </c>
      <c r="D162" s="2" t="s">
        <v>279</v>
      </c>
      <c r="E162" s="2" t="s">
        <v>280</v>
      </c>
      <c r="F162" s="2" t="s">
        <v>358</v>
      </c>
      <c r="G162" s="2" t="s">
        <v>146</v>
      </c>
      <c r="H162" s="2" t="s">
        <v>359</v>
      </c>
      <c r="I162" t="s">
        <v>198</v>
      </c>
      <c r="J162" s="18">
        <v>18874.43</v>
      </c>
      <c r="K162" s="18"/>
      <c r="L162" s="18">
        <v>17297.306732644</v>
      </c>
      <c r="M162" s="18">
        <v>125.111518634026</v>
      </c>
      <c r="N162" s="18"/>
      <c r="O162" s="18"/>
      <c r="P162" s="3">
        <v>0</v>
      </c>
      <c r="Q162" s="3">
        <v>0</v>
      </c>
      <c r="R162" s="3">
        <v>0</v>
      </c>
      <c r="S162" s="3"/>
      <c r="T162" s="3" t="b">
        <v>0</v>
      </c>
      <c r="U162" s="3">
        <v>4250</v>
      </c>
      <c r="V162" s="3">
        <v>0</v>
      </c>
      <c r="W162" s="3">
        <v>2660</v>
      </c>
      <c r="X162" s="3">
        <v>19</v>
      </c>
    </row>
    <row r="163" spans="1:24" hidden="1">
      <c r="A163" s="1">
        <v>45474</v>
      </c>
      <c r="B163" s="1" t="s">
        <v>380</v>
      </c>
      <c r="C163" s="2" t="s">
        <v>357</v>
      </c>
      <c r="D163" s="2" t="s">
        <v>279</v>
      </c>
      <c r="E163" s="2" t="s">
        <v>280</v>
      </c>
      <c r="F163" s="2" t="s">
        <v>358</v>
      </c>
      <c r="G163" s="2" t="s">
        <v>146</v>
      </c>
      <c r="H163" s="2" t="s">
        <v>359</v>
      </c>
      <c r="I163" t="s">
        <v>198</v>
      </c>
      <c r="J163" s="18">
        <v>18490.919999999998</v>
      </c>
      <c r="K163" s="18">
        <v>18578.78</v>
      </c>
      <c r="L163" s="18">
        <v>17321.4430590187</v>
      </c>
      <c r="M163" s="18">
        <v>997.86938356486701</v>
      </c>
      <c r="N163" s="18">
        <v>18778.78</v>
      </c>
      <c r="O163" s="18">
        <v>18378.78</v>
      </c>
      <c r="P163" s="3">
        <v>0</v>
      </c>
      <c r="Q163" s="3">
        <v>0</v>
      </c>
      <c r="R163" s="3">
        <v>0</v>
      </c>
      <c r="S163" s="3"/>
      <c r="T163" s="3" t="b">
        <v>0</v>
      </c>
      <c r="U163" s="3">
        <v>2416</v>
      </c>
      <c r="V163" s="3">
        <v>1</v>
      </c>
      <c r="W163" s="3">
        <v>2146</v>
      </c>
      <c r="X163" s="3">
        <v>20.77</v>
      </c>
    </row>
    <row r="164" spans="1:24" hidden="1">
      <c r="A164" s="1">
        <v>45505</v>
      </c>
      <c r="B164" s="1" t="s">
        <v>381</v>
      </c>
      <c r="C164" s="2" t="s">
        <v>357</v>
      </c>
      <c r="D164" s="2" t="s">
        <v>279</v>
      </c>
      <c r="E164" s="2" t="s">
        <v>280</v>
      </c>
      <c r="F164" s="2" t="s">
        <v>358</v>
      </c>
      <c r="G164" s="2" t="s">
        <v>146</v>
      </c>
      <c r="H164" s="2" t="s">
        <v>359</v>
      </c>
      <c r="I164" t="s">
        <v>198</v>
      </c>
      <c r="J164" s="18">
        <v>12434.84</v>
      </c>
      <c r="K164" s="18">
        <v>18513.21</v>
      </c>
      <c r="L164" s="18">
        <v>17346.383929605901</v>
      </c>
      <c r="M164" s="18">
        <v>-2500.20283391664</v>
      </c>
      <c r="N164" s="18">
        <v>18713.21</v>
      </c>
      <c r="O164" s="18">
        <v>18313.21</v>
      </c>
      <c r="P164" s="3">
        <v>0</v>
      </c>
      <c r="Q164" s="3">
        <v>0</v>
      </c>
      <c r="R164" s="3">
        <v>1</v>
      </c>
      <c r="S164" s="3"/>
      <c r="T164" s="3" t="b">
        <v>0</v>
      </c>
      <c r="U164" s="3">
        <v>2415</v>
      </c>
      <c r="V164" s="3">
        <v>0</v>
      </c>
      <c r="W164" s="3">
        <v>2056</v>
      </c>
      <c r="X164" s="3">
        <v>20.66</v>
      </c>
    </row>
    <row r="165" spans="1:24" hidden="1">
      <c r="A165" s="1">
        <v>45536</v>
      </c>
      <c r="B165" s="1" t="s">
        <v>382</v>
      </c>
      <c r="C165" s="2" t="s">
        <v>357</v>
      </c>
      <c r="D165" s="2" t="s">
        <v>279</v>
      </c>
      <c r="E165" s="2" t="s">
        <v>280</v>
      </c>
      <c r="F165" s="2" t="s">
        <v>358</v>
      </c>
      <c r="G165" s="2" t="s">
        <v>146</v>
      </c>
      <c r="H165" s="2" t="s">
        <v>359</v>
      </c>
      <c r="I165" t="s">
        <v>198</v>
      </c>
      <c r="J165" s="18">
        <v>18961.12</v>
      </c>
      <c r="K165" s="18">
        <v>19032.349999999999</v>
      </c>
      <c r="L165" s="18">
        <v>17371.324800193099</v>
      </c>
      <c r="M165" s="18">
        <v>2087.5772260343201</v>
      </c>
      <c r="N165" s="18">
        <v>19232.349999999999</v>
      </c>
      <c r="O165" s="18">
        <v>18832.349999999999</v>
      </c>
      <c r="P165" s="3">
        <v>0</v>
      </c>
      <c r="Q165" s="3">
        <v>0</v>
      </c>
      <c r="R165" s="3">
        <v>0</v>
      </c>
      <c r="S165" s="3"/>
      <c r="T165" s="3" t="b">
        <v>0</v>
      </c>
      <c r="U165" s="3">
        <v>3471</v>
      </c>
      <c r="V165" s="3">
        <v>1</v>
      </c>
      <c r="W165" s="3">
        <v>2536</v>
      </c>
      <c r="X165" s="3">
        <v>18.28</v>
      </c>
    </row>
    <row r="166" spans="1:24" hidden="1">
      <c r="A166" s="1">
        <v>45566</v>
      </c>
      <c r="B166" s="1" t="s">
        <v>383</v>
      </c>
      <c r="C166" s="2" t="s">
        <v>357</v>
      </c>
      <c r="D166" s="2" t="s">
        <v>279</v>
      </c>
      <c r="E166" s="2" t="s">
        <v>280</v>
      </c>
      <c r="F166" s="2" t="s">
        <v>358</v>
      </c>
      <c r="G166" s="2" t="s">
        <v>146</v>
      </c>
      <c r="H166" s="2" t="s">
        <v>359</v>
      </c>
      <c r="I166" t="s">
        <v>224</v>
      </c>
      <c r="J166" s="18"/>
      <c r="K166" s="18">
        <v>19260.28</v>
      </c>
      <c r="L166" s="18">
        <v>17395.4611265678</v>
      </c>
      <c r="M166" s="18">
        <v>-1019.67250472295</v>
      </c>
      <c r="N166" s="18">
        <v>19460.28</v>
      </c>
      <c r="O166" s="18">
        <v>19060.28</v>
      </c>
      <c r="P166" s="3"/>
      <c r="Q166" s="3"/>
      <c r="R166" s="3"/>
      <c r="S166" s="3"/>
      <c r="T166" s="3"/>
      <c r="U166" s="3"/>
      <c r="V166" s="3"/>
      <c r="W166" s="3">
        <v>1203</v>
      </c>
      <c r="X166" s="3">
        <v>17.64</v>
      </c>
    </row>
    <row r="167" spans="1:24" hidden="1">
      <c r="A167" s="1">
        <v>45597</v>
      </c>
      <c r="B167" s="1" t="s">
        <v>384</v>
      </c>
      <c r="C167" s="2" t="s">
        <v>357</v>
      </c>
      <c r="D167" s="2" t="s">
        <v>279</v>
      </c>
      <c r="E167" s="2" t="s">
        <v>280</v>
      </c>
      <c r="F167" s="2" t="s">
        <v>358</v>
      </c>
      <c r="G167" s="2" t="s">
        <v>146</v>
      </c>
      <c r="H167" s="2" t="s">
        <v>359</v>
      </c>
      <c r="I167" t="s">
        <v>224</v>
      </c>
      <c r="J167" s="18"/>
      <c r="K167" s="18">
        <v>19720.29</v>
      </c>
      <c r="L167" s="18">
        <v>17420.401997155001</v>
      </c>
      <c r="M167" s="18">
        <v>1465.77787272202</v>
      </c>
      <c r="N167" s="18">
        <v>19920.29</v>
      </c>
      <c r="O167" s="18">
        <v>19520.29</v>
      </c>
      <c r="P167" s="3"/>
      <c r="Q167" s="3"/>
      <c r="R167" s="3"/>
      <c r="S167" s="3"/>
      <c r="T167" s="3"/>
      <c r="U167" s="3"/>
      <c r="V167" s="3"/>
      <c r="W167" s="3">
        <v>1517</v>
      </c>
      <c r="X167" s="3">
        <v>19.75</v>
      </c>
    </row>
    <row r="168" spans="1:24" hidden="1">
      <c r="A168" s="1">
        <v>45627</v>
      </c>
      <c r="B168" s="1" t="s">
        <v>385</v>
      </c>
      <c r="C168" s="2" t="s">
        <v>357</v>
      </c>
      <c r="D168" s="2" t="s">
        <v>279</v>
      </c>
      <c r="E168" s="2" t="s">
        <v>280</v>
      </c>
      <c r="F168" s="2" t="s">
        <v>358</v>
      </c>
      <c r="G168" s="2" t="s">
        <v>146</v>
      </c>
      <c r="H168" s="2" t="s">
        <v>359</v>
      </c>
      <c r="I168" t="s">
        <v>224</v>
      </c>
      <c r="J168" s="18"/>
      <c r="K168" s="18">
        <v>19780.810000000001</v>
      </c>
      <c r="L168" s="18">
        <v>17444.538323529701</v>
      </c>
      <c r="M168" s="18">
        <v>-335.22776338152198</v>
      </c>
      <c r="N168" s="18">
        <v>19980.810000000001</v>
      </c>
      <c r="O168" s="18">
        <v>19580.810000000001</v>
      </c>
      <c r="P168" s="3"/>
      <c r="Q168" s="3"/>
      <c r="R168" s="3"/>
      <c r="S168" s="3"/>
      <c r="T168" s="3"/>
      <c r="U168" s="3"/>
      <c r="V168" s="3"/>
      <c r="W168" s="3">
        <v>2832</v>
      </c>
      <c r="X168" s="3">
        <v>40</v>
      </c>
    </row>
    <row r="169" spans="1:24" hidden="1">
      <c r="A169" s="1">
        <v>44835</v>
      </c>
      <c r="B169" s="1" t="s">
        <v>386</v>
      </c>
      <c r="C169" s="2" t="s">
        <v>387</v>
      </c>
      <c r="D169" s="2" t="s">
        <v>279</v>
      </c>
      <c r="E169" s="2" t="s">
        <v>280</v>
      </c>
      <c r="F169" s="2" t="s">
        <v>358</v>
      </c>
      <c r="G169" s="2" t="s">
        <v>282</v>
      </c>
      <c r="H169" s="2" t="s">
        <v>388</v>
      </c>
      <c r="I169" t="s">
        <v>198</v>
      </c>
      <c r="J169" s="18">
        <v>14257.83</v>
      </c>
      <c r="K169" s="18"/>
      <c r="L169" s="18">
        <v>13283.47658749</v>
      </c>
      <c r="M169" s="18">
        <v>980.54194104877195</v>
      </c>
      <c r="N169" s="18"/>
      <c r="O169" s="18"/>
      <c r="P169" s="3">
        <v>0</v>
      </c>
      <c r="Q169" s="3">
        <v>0</v>
      </c>
      <c r="R169" s="3">
        <v>0</v>
      </c>
      <c r="S169" s="3"/>
      <c r="T169" s="3" t="b">
        <v>0</v>
      </c>
      <c r="U169" s="3">
        <v>4827</v>
      </c>
      <c r="V169" s="3">
        <v>0</v>
      </c>
      <c r="W169" s="3">
        <v>2573</v>
      </c>
      <c r="X169" s="3">
        <v>10.029999999999999</v>
      </c>
    </row>
    <row r="170" spans="1:24" hidden="1">
      <c r="A170" s="1">
        <v>44866</v>
      </c>
      <c r="B170" s="1" t="s">
        <v>389</v>
      </c>
      <c r="C170" s="2" t="s">
        <v>387</v>
      </c>
      <c r="D170" s="2" t="s">
        <v>279</v>
      </c>
      <c r="E170" s="2" t="s">
        <v>280</v>
      </c>
      <c r="F170" s="2" t="s">
        <v>358</v>
      </c>
      <c r="G170" s="2" t="s">
        <v>282</v>
      </c>
      <c r="H170" s="2" t="s">
        <v>388</v>
      </c>
      <c r="I170" t="s">
        <v>198</v>
      </c>
      <c r="J170" s="18">
        <v>13856.93</v>
      </c>
      <c r="K170" s="18"/>
      <c r="L170" s="18">
        <v>13577.002034408501</v>
      </c>
      <c r="M170" s="18">
        <v>325.00796193374902</v>
      </c>
      <c r="N170" s="18"/>
      <c r="O170" s="18"/>
      <c r="P170" s="3">
        <v>0</v>
      </c>
      <c r="Q170" s="3">
        <v>0</v>
      </c>
      <c r="R170" s="3">
        <v>0</v>
      </c>
      <c r="S170" s="3"/>
      <c r="T170" s="3" t="b">
        <v>0</v>
      </c>
      <c r="U170" s="3">
        <v>2837</v>
      </c>
      <c r="V170" s="3">
        <v>0</v>
      </c>
      <c r="W170" s="3">
        <v>2722</v>
      </c>
      <c r="X170" s="3">
        <v>9.2200000000000006</v>
      </c>
    </row>
    <row r="171" spans="1:24" hidden="1">
      <c r="A171" s="1">
        <v>44896</v>
      </c>
      <c r="B171" s="1" t="s">
        <v>390</v>
      </c>
      <c r="C171" s="2" t="s">
        <v>387</v>
      </c>
      <c r="D171" s="2" t="s">
        <v>279</v>
      </c>
      <c r="E171" s="2" t="s">
        <v>280</v>
      </c>
      <c r="F171" s="2" t="s">
        <v>358</v>
      </c>
      <c r="G171" s="2" t="s">
        <v>282</v>
      </c>
      <c r="H171" s="2" t="s">
        <v>388</v>
      </c>
      <c r="I171" t="s">
        <v>198</v>
      </c>
      <c r="J171" s="18">
        <v>14356.19</v>
      </c>
      <c r="K171" s="18"/>
      <c r="L171" s="18">
        <v>13861.058918065301</v>
      </c>
      <c r="M171" s="18">
        <v>726.23100882507504</v>
      </c>
      <c r="N171" s="18"/>
      <c r="O171" s="18"/>
      <c r="P171" s="3">
        <v>0</v>
      </c>
      <c r="Q171" s="3">
        <v>0</v>
      </c>
      <c r="R171" s="3">
        <v>0</v>
      </c>
      <c r="S171" s="3"/>
      <c r="T171" s="3" t="b">
        <v>0</v>
      </c>
      <c r="U171" s="3">
        <v>4962</v>
      </c>
      <c r="V171" s="3">
        <v>0</v>
      </c>
      <c r="W171" s="3">
        <v>2408</v>
      </c>
      <c r="X171" s="3">
        <v>9.3800000000000008</v>
      </c>
    </row>
    <row r="172" spans="1:24" hidden="1">
      <c r="A172" s="1">
        <v>44958</v>
      </c>
      <c r="B172" s="1" t="s">
        <v>391</v>
      </c>
      <c r="C172" s="2" t="s">
        <v>387</v>
      </c>
      <c r="D172" s="2" t="s">
        <v>279</v>
      </c>
      <c r="E172" s="2" t="s">
        <v>280</v>
      </c>
      <c r="F172" s="2" t="s">
        <v>358</v>
      </c>
      <c r="G172" s="2" t="s">
        <v>282</v>
      </c>
      <c r="H172" s="2" t="s">
        <v>388</v>
      </c>
      <c r="I172" t="s">
        <v>198</v>
      </c>
      <c r="J172" s="18">
        <v>14337.93</v>
      </c>
      <c r="K172" s="18"/>
      <c r="L172" s="18">
        <v>14448.109821760399</v>
      </c>
      <c r="M172" s="18">
        <v>206.692516831207</v>
      </c>
      <c r="N172" s="18"/>
      <c r="O172" s="18"/>
      <c r="P172" s="3">
        <v>0</v>
      </c>
      <c r="Q172" s="3">
        <v>0</v>
      </c>
      <c r="R172" s="3">
        <v>0</v>
      </c>
      <c r="S172" s="3"/>
      <c r="T172" s="3" t="b">
        <v>0</v>
      </c>
      <c r="U172" s="3">
        <v>2552</v>
      </c>
      <c r="V172" s="3">
        <v>0</v>
      </c>
      <c r="W172" s="3">
        <v>1754</v>
      </c>
      <c r="X172" s="3">
        <v>11.05</v>
      </c>
    </row>
    <row r="173" spans="1:24" hidden="1">
      <c r="A173" s="1">
        <v>44986</v>
      </c>
      <c r="B173" s="1" t="s">
        <v>392</v>
      </c>
      <c r="C173" s="2" t="s">
        <v>387</v>
      </c>
      <c r="D173" s="2" t="s">
        <v>279</v>
      </c>
      <c r="E173" s="2" t="s">
        <v>280</v>
      </c>
      <c r="F173" s="2" t="s">
        <v>358</v>
      </c>
      <c r="G173" s="2" t="s">
        <v>282</v>
      </c>
      <c r="H173" s="2" t="s">
        <v>388</v>
      </c>
      <c r="I173" t="s">
        <v>198</v>
      </c>
      <c r="J173" s="18">
        <v>14147.27</v>
      </c>
      <c r="K173" s="18"/>
      <c r="L173" s="18">
        <v>14713.2295890572</v>
      </c>
      <c r="M173" s="18">
        <v>116.529399402088</v>
      </c>
      <c r="N173" s="18"/>
      <c r="O173" s="18"/>
      <c r="P173" s="3">
        <v>0</v>
      </c>
      <c r="Q173" s="3">
        <v>0</v>
      </c>
      <c r="R173" s="3">
        <v>0</v>
      </c>
      <c r="S173" s="3"/>
      <c r="T173" s="3" t="b">
        <v>0</v>
      </c>
      <c r="U173" s="3">
        <v>2180</v>
      </c>
      <c r="V173" s="3">
        <v>0</v>
      </c>
      <c r="W173" s="3">
        <v>1299</v>
      </c>
      <c r="X173" s="3">
        <v>10.81</v>
      </c>
    </row>
    <row r="174" spans="1:24" hidden="1">
      <c r="A174" s="1">
        <v>45017</v>
      </c>
      <c r="B174" s="1" t="s">
        <v>393</v>
      </c>
      <c r="C174" s="2" t="s">
        <v>387</v>
      </c>
      <c r="D174" s="2" t="s">
        <v>279</v>
      </c>
      <c r="E174" s="2" t="s">
        <v>280</v>
      </c>
      <c r="F174" s="2" t="s">
        <v>358</v>
      </c>
      <c r="G174" s="2" t="s">
        <v>282</v>
      </c>
      <c r="H174" s="2" t="s">
        <v>388</v>
      </c>
      <c r="I174" t="s">
        <v>198</v>
      </c>
      <c r="J174" s="18">
        <v>14437.15</v>
      </c>
      <c r="K174" s="18"/>
      <c r="L174" s="18">
        <v>15006.7550399305</v>
      </c>
      <c r="M174" s="18">
        <v>2206.4986667073999</v>
      </c>
      <c r="N174" s="18"/>
      <c r="O174" s="18"/>
      <c r="P174" s="3">
        <v>0</v>
      </c>
      <c r="Q174" s="3">
        <v>0</v>
      </c>
      <c r="R174" s="3">
        <v>0</v>
      </c>
      <c r="S174" s="3"/>
      <c r="T174" s="3" t="b">
        <v>0</v>
      </c>
      <c r="U174" s="3">
        <v>2156</v>
      </c>
      <c r="V174" s="3">
        <v>1</v>
      </c>
      <c r="W174" s="3">
        <v>1814</v>
      </c>
      <c r="X174" s="3">
        <v>10.7</v>
      </c>
    </row>
    <row r="175" spans="1:24" hidden="1">
      <c r="A175" s="1">
        <v>45047</v>
      </c>
      <c r="B175" s="1" t="s">
        <v>394</v>
      </c>
      <c r="C175" s="2" t="s">
        <v>387</v>
      </c>
      <c r="D175" s="2" t="s">
        <v>279</v>
      </c>
      <c r="E175" s="2" t="s">
        <v>280</v>
      </c>
      <c r="F175" s="2" t="s">
        <v>358</v>
      </c>
      <c r="G175" s="2" t="s">
        <v>282</v>
      </c>
      <c r="H175" s="2" t="s">
        <v>388</v>
      </c>
      <c r="I175" t="s">
        <v>198</v>
      </c>
      <c r="J175" s="18">
        <v>14776.06</v>
      </c>
      <c r="K175" s="18"/>
      <c r="L175" s="18">
        <v>15290.811923766099</v>
      </c>
      <c r="M175" s="18">
        <v>-183.450792867682</v>
      </c>
      <c r="N175" s="18"/>
      <c r="O175" s="18"/>
      <c r="P175" s="3">
        <v>0</v>
      </c>
      <c r="Q175" s="3">
        <v>0</v>
      </c>
      <c r="R175" s="3">
        <v>0</v>
      </c>
      <c r="S175" s="3"/>
      <c r="T175" s="3" t="b">
        <v>0</v>
      </c>
      <c r="U175" s="3">
        <v>3477</v>
      </c>
      <c r="V175" s="3">
        <v>0</v>
      </c>
      <c r="W175" s="3">
        <v>1546</v>
      </c>
      <c r="X175" s="3">
        <v>10.47</v>
      </c>
    </row>
    <row r="176" spans="1:24" hidden="1">
      <c r="A176" s="1">
        <v>45078</v>
      </c>
      <c r="B176" s="1" t="s">
        <v>395</v>
      </c>
      <c r="C176" s="2" t="s">
        <v>387</v>
      </c>
      <c r="D176" s="2" t="s">
        <v>279</v>
      </c>
      <c r="E176" s="2" t="s">
        <v>280</v>
      </c>
      <c r="F176" s="2" t="s">
        <v>358</v>
      </c>
      <c r="G176" s="2" t="s">
        <v>282</v>
      </c>
      <c r="H176" s="2" t="s">
        <v>388</v>
      </c>
      <c r="I176" t="s">
        <v>198</v>
      </c>
      <c r="J176" s="18">
        <v>14887.55</v>
      </c>
      <c r="K176" s="18"/>
      <c r="L176" s="18">
        <v>15584.337372928099</v>
      </c>
      <c r="M176" s="18">
        <v>-1588.3052635075801</v>
      </c>
      <c r="N176" s="18"/>
      <c r="O176" s="18"/>
      <c r="P176" s="3">
        <v>0</v>
      </c>
      <c r="Q176" s="3">
        <v>0</v>
      </c>
      <c r="R176" s="3">
        <v>0</v>
      </c>
      <c r="S176" s="3"/>
      <c r="T176" s="3" t="b">
        <v>0</v>
      </c>
      <c r="U176" s="3">
        <v>2570</v>
      </c>
      <c r="V176" s="3">
        <v>0</v>
      </c>
      <c r="W176" s="3">
        <v>1726</v>
      </c>
      <c r="X176" s="3">
        <v>9.8800000000000008</v>
      </c>
    </row>
    <row r="177" spans="1:24" hidden="1">
      <c r="A177" s="1">
        <v>45108</v>
      </c>
      <c r="B177" s="1" t="s">
        <v>396</v>
      </c>
      <c r="C177" s="2" t="s">
        <v>387</v>
      </c>
      <c r="D177" s="2" t="s">
        <v>279</v>
      </c>
      <c r="E177" s="2" t="s">
        <v>280</v>
      </c>
      <c r="F177" s="2" t="s">
        <v>358</v>
      </c>
      <c r="G177" s="2" t="s">
        <v>282</v>
      </c>
      <c r="H177" s="2" t="s">
        <v>388</v>
      </c>
      <c r="I177" t="s">
        <v>198</v>
      </c>
      <c r="J177" s="18">
        <v>17264.34</v>
      </c>
      <c r="K177" s="18"/>
      <c r="L177" s="18">
        <v>15868.394259982801</v>
      </c>
      <c r="M177" s="18">
        <v>486.50990651438099</v>
      </c>
      <c r="N177" s="18"/>
      <c r="O177" s="18"/>
      <c r="P177" s="3">
        <v>1</v>
      </c>
      <c r="Q177" s="3">
        <v>0</v>
      </c>
      <c r="R177" s="3">
        <v>0</v>
      </c>
      <c r="S177" s="3"/>
      <c r="T177" s="3" t="b">
        <v>0</v>
      </c>
      <c r="U177" s="3">
        <v>2856</v>
      </c>
      <c r="V177" s="3">
        <v>2</v>
      </c>
      <c r="W177" s="3">
        <v>1730</v>
      </c>
      <c r="X177" s="3">
        <v>9.44</v>
      </c>
    </row>
    <row r="178" spans="1:24" hidden="1">
      <c r="A178" s="1">
        <v>45139</v>
      </c>
      <c r="B178" s="1" t="s">
        <v>397</v>
      </c>
      <c r="C178" s="2" t="s">
        <v>387</v>
      </c>
      <c r="D178" s="2" t="s">
        <v>279</v>
      </c>
      <c r="E178" s="2" t="s">
        <v>280</v>
      </c>
      <c r="F178" s="2" t="s">
        <v>358</v>
      </c>
      <c r="G178" s="2" t="s">
        <v>282</v>
      </c>
      <c r="H178" s="2" t="s">
        <v>388</v>
      </c>
      <c r="I178" t="s">
        <v>198</v>
      </c>
      <c r="J178" s="18">
        <v>17233.16</v>
      </c>
      <c r="K178" s="18"/>
      <c r="L178" s="18">
        <v>16161.9188914361</v>
      </c>
      <c r="M178" s="18">
        <v>-976.20902248271102</v>
      </c>
      <c r="N178" s="18"/>
      <c r="O178" s="18"/>
      <c r="P178" s="3">
        <v>1</v>
      </c>
      <c r="Q178" s="3">
        <v>0</v>
      </c>
      <c r="R178" s="3">
        <v>0</v>
      </c>
      <c r="S178" s="3"/>
      <c r="T178" s="3" t="b">
        <v>0</v>
      </c>
      <c r="U178" s="3">
        <v>3784</v>
      </c>
      <c r="V178" s="3">
        <v>0</v>
      </c>
      <c r="W178" s="3">
        <v>1827</v>
      </c>
      <c r="X178" s="3">
        <v>10.199999999999999</v>
      </c>
    </row>
    <row r="179" spans="1:24" hidden="1">
      <c r="A179" s="1">
        <v>45170</v>
      </c>
      <c r="B179" s="1" t="s">
        <v>398</v>
      </c>
      <c r="C179" s="2" t="s">
        <v>387</v>
      </c>
      <c r="D179" s="2" t="s">
        <v>279</v>
      </c>
      <c r="E179" s="2" t="s">
        <v>280</v>
      </c>
      <c r="F179" s="2" t="s">
        <v>358</v>
      </c>
      <c r="G179" s="2" t="s">
        <v>282</v>
      </c>
      <c r="H179" s="2" t="s">
        <v>388</v>
      </c>
      <c r="I179" t="s">
        <v>198</v>
      </c>
      <c r="J179" s="18">
        <v>16879.349999999999</v>
      </c>
      <c r="K179" s="18"/>
      <c r="L179" s="18">
        <v>16455.203604488001</v>
      </c>
      <c r="M179" s="18">
        <v>-131.67011379421101</v>
      </c>
      <c r="N179" s="18"/>
      <c r="O179" s="18"/>
      <c r="P179" s="3">
        <v>1</v>
      </c>
      <c r="Q179" s="3">
        <v>0</v>
      </c>
      <c r="R179" s="3">
        <v>0</v>
      </c>
      <c r="S179" s="3"/>
      <c r="T179" s="3" t="b">
        <v>0</v>
      </c>
      <c r="U179" s="3">
        <v>3727</v>
      </c>
      <c r="V179" s="3">
        <v>0</v>
      </c>
      <c r="W179" s="3">
        <v>1601</v>
      </c>
      <c r="X179" s="3">
        <v>10.14</v>
      </c>
    </row>
    <row r="180" spans="1:24" hidden="1">
      <c r="A180" s="1">
        <v>45231</v>
      </c>
      <c r="B180" s="1" t="s">
        <v>399</v>
      </c>
      <c r="C180" s="2" t="s">
        <v>387</v>
      </c>
      <c r="D180" s="2" t="s">
        <v>279</v>
      </c>
      <c r="E180" s="2" t="s">
        <v>280</v>
      </c>
      <c r="F180" s="2" t="s">
        <v>358</v>
      </c>
      <c r="G180" s="2" t="s">
        <v>282</v>
      </c>
      <c r="H180" s="2" t="s">
        <v>388</v>
      </c>
      <c r="I180" t="s">
        <v>198</v>
      </c>
      <c r="J180" s="18">
        <v>17770.07</v>
      </c>
      <c r="K180" s="18"/>
      <c r="L180" s="18">
        <v>17031.7529539801</v>
      </c>
      <c r="M180" s="18">
        <v>686.68225594713897</v>
      </c>
      <c r="N180" s="18"/>
      <c r="O180" s="18"/>
      <c r="P180" s="3">
        <v>1</v>
      </c>
      <c r="Q180" s="3">
        <v>0</v>
      </c>
      <c r="R180" s="3">
        <v>0</v>
      </c>
      <c r="S180" s="3"/>
      <c r="T180" s="3" t="b">
        <v>0</v>
      </c>
      <c r="U180" s="3">
        <v>3496</v>
      </c>
      <c r="V180" s="3">
        <v>0</v>
      </c>
      <c r="W180" s="3">
        <v>2275</v>
      </c>
      <c r="X180" s="3">
        <v>10.67</v>
      </c>
    </row>
    <row r="181" spans="1:24" hidden="1">
      <c r="A181" s="1">
        <v>45261</v>
      </c>
      <c r="B181" s="1" t="s">
        <v>400</v>
      </c>
      <c r="C181" s="2" t="s">
        <v>387</v>
      </c>
      <c r="D181" s="2" t="s">
        <v>279</v>
      </c>
      <c r="E181" s="2" t="s">
        <v>280</v>
      </c>
      <c r="F181" s="2" t="s">
        <v>358</v>
      </c>
      <c r="G181" s="2" t="s">
        <v>282</v>
      </c>
      <c r="H181" s="2" t="s">
        <v>388</v>
      </c>
      <c r="I181" t="s">
        <v>198</v>
      </c>
      <c r="J181" s="18">
        <v>17912.36</v>
      </c>
      <c r="K181" s="18"/>
      <c r="L181" s="18">
        <v>17315.059868355202</v>
      </c>
      <c r="M181" s="18">
        <v>371.12148519016102</v>
      </c>
      <c r="N181" s="18"/>
      <c r="O181" s="18"/>
      <c r="P181" s="3">
        <v>1</v>
      </c>
      <c r="Q181" s="3">
        <v>0</v>
      </c>
      <c r="R181" s="3">
        <v>0</v>
      </c>
      <c r="S181" s="3"/>
      <c r="T181" s="3" t="b">
        <v>0</v>
      </c>
      <c r="U181" s="3">
        <v>3423</v>
      </c>
      <c r="V181" s="3">
        <v>0</v>
      </c>
      <c r="W181" s="3">
        <v>2031</v>
      </c>
      <c r="X181" s="3">
        <v>11.08</v>
      </c>
    </row>
    <row r="182" spans="1:24" hidden="1">
      <c r="A182" s="1">
        <v>45292</v>
      </c>
      <c r="B182" s="1" t="s">
        <v>401</v>
      </c>
      <c r="C182" s="2" t="s">
        <v>387</v>
      </c>
      <c r="D182" s="2" t="s">
        <v>279</v>
      </c>
      <c r="E182" s="2" t="s">
        <v>280</v>
      </c>
      <c r="F182" s="2" t="s">
        <v>358</v>
      </c>
      <c r="G182" s="2" t="s">
        <v>282</v>
      </c>
      <c r="H182" s="2" t="s">
        <v>388</v>
      </c>
      <c r="I182" t="s">
        <v>198</v>
      </c>
      <c r="J182" s="18">
        <v>17865.009999999998</v>
      </c>
      <c r="K182" s="18"/>
      <c r="L182" s="18">
        <v>17607.577611216599</v>
      </c>
      <c r="M182" s="18">
        <v>247.50727732058101</v>
      </c>
      <c r="N182" s="18"/>
      <c r="O182" s="18"/>
      <c r="P182" s="3">
        <v>1</v>
      </c>
      <c r="Q182" s="3">
        <v>0</v>
      </c>
      <c r="R182" s="3">
        <v>0</v>
      </c>
      <c r="S182" s="3"/>
      <c r="T182" s="3" t="b">
        <v>0</v>
      </c>
      <c r="U182" s="3">
        <v>4995</v>
      </c>
      <c r="V182" s="3">
        <v>1</v>
      </c>
      <c r="W182" s="3">
        <v>1767</v>
      </c>
      <c r="X182" s="3">
        <v>11.91</v>
      </c>
    </row>
    <row r="183" spans="1:24" hidden="1">
      <c r="A183" s="1">
        <v>45323</v>
      </c>
      <c r="B183" s="1" t="s">
        <v>402</v>
      </c>
      <c r="C183" s="2" t="s">
        <v>387</v>
      </c>
      <c r="D183" s="2" t="s">
        <v>279</v>
      </c>
      <c r="E183" s="2" t="s">
        <v>280</v>
      </c>
      <c r="F183" s="2" t="s">
        <v>358</v>
      </c>
      <c r="G183" s="2" t="s">
        <v>282</v>
      </c>
      <c r="H183" s="2" t="s">
        <v>388</v>
      </c>
      <c r="I183" t="s">
        <v>198</v>
      </c>
      <c r="J183" s="18">
        <v>18090.830000000002</v>
      </c>
      <c r="K183" s="18"/>
      <c r="L183" s="18">
        <v>17899.907189794299</v>
      </c>
      <c r="M183" s="18">
        <v>-115.84712718591101</v>
      </c>
      <c r="N183" s="18"/>
      <c r="O183" s="18"/>
      <c r="P183" s="3">
        <v>1</v>
      </c>
      <c r="Q183" s="3">
        <v>0</v>
      </c>
      <c r="R183" s="3">
        <v>0</v>
      </c>
      <c r="S183" s="3"/>
      <c r="T183" s="3" t="b">
        <v>0</v>
      </c>
      <c r="U183" s="3">
        <v>2591</v>
      </c>
      <c r="V183" s="3">
        <v>0</v>
      </c>
      <c r="W183" s="3">
        <v>1874</v>
      </c>
      <c r="X183" s="3">
        <v>10.85</v>
      </c>
    </row>
    <row r="184" spans="1:24" hidden="1">
      <c r="A184" s="1">
        <v>45352</v>
      </c>
      <c r="B184" s="1" t="s">
        <v>403</v>
      </c>
      <c r="C184" s="2" t="s">
        <v>387</v>
      </c>
      <c r="D184" s="2" t="s">
        <v>279</v>
      </c>
      <c r="E184" s="2" t="s">
        <v>280</v>
      </c>
      <c r="F184" s="2" t="s">
        <v>358</v>
      </c>
      <c r="G184" s="2" t="s">
        <v>282</v>
      </c>
      <c r="H184" s="2" t="s">
        <v>388</v>
      </c>
      <c r="I184" t="s">
        <v>198</v>
      </c>
      <c r="J184" s="18">
        <v>18095.849999999999</v>
      </c>
      <c r="K184" s="18"/>
      <c r="L184" s="18">
        <v>18173.243210436402</v>
      </c>
      <c r="M184" s="18">
        <v>-820.18796032404703</v>
      </c>
      <c r="N184" s="18"/>
      <c r="O184" s="18"/>
      <c r="P184" s="3">
        <v>1</v>
      </c>
      <c r="Q184" s="3">
        <v>0</v>
      </c>
      <c r="R184" s="3">
        <v>0</v>
      </c>
      <c r="S184" s="3"/>
      <c r="T184" s="3" t="b">
        <v>0</v>
      </c>
      <c r="U184" s="3">
        <v>4181</v>
      </c>
      <c r="V184" s="3">
        <v>1</v>
      </c>
      <c r="W184" s="3">
        <v>2231</v>
      </c>
      <c r="X184" s="3">
        <v>9.68</v>
      </c>
    </row>
    <row r="185" spans="1:24" hidden="1">
      <c r="A185" s="1">
        <v>45383</v>
      </c>
      <c r="B185" s="1" t="s">
        <v>404</v>
      </c>
      <c r="C185" s="2" t="s">
        <v>387</v>
      </c>
      <c r="D185" s="2" t="s">
        <v>279</v>
      </c>
      <c r="E185" s="2" t="s">
        <v>280</v>
      </c>
      <c r="F185" s="2" t="s">
        <v>358</v>
      </c>
      <c r="G185" s="2" t="s">
        <v>282</v>
      </c>
      <c r="H185" s="2" t="s">
        <v>388</v>
      </c>
      <c r="I185" t="s">
        <v>198</v>
      </c>
      <c r="J185" s="18">
        <v>24502.97</v>
      </c>
      <c r="K185" s="18"/>
      <c r="L185" s="18">
        <v>18465.364015729599</v>
      </c>
      <c r="M185" s="18">
        <v>3251.3889598123001</v>
      </c>
      <c r="N185" s="18"/>
      <c r="O185" s="18"/>
      <c r="P185" s="3">
        <v>1</v>
      </c>
      <c r="Q185" s="3">
        <v>0</v>
      </c>
      <c r="R185" s="3">
        <v>1</v>
      </c>
      <c r="S185" s="3"/>
      <c r="T185" s="3" t="b">
        <v>0</v>
      </c>
      <c r="U185" s="3">
        <v>2420</v>
      </c>
      <c r="V185" s="3">
        <v>0</v>
      </c>
      <c r="W185" s="3">
        <v>1936</v>
      </c>
      <c r="X185" s="3">
        <v>10.86</v>
      </c>
    </row>
    <row r="186" spans="1:24" hidden="1">
      <c r="A186" s="1">
        <v>45413</v>
      </c>
      <c r="B186" s="1" t="s">
        <v>405</v>
      </c>
      <c r="C186" s="2" t="s">
        <v>387</v>
      </c>
      <c r="D186" s="2" t="s">
        <v>279</v>
      </c>
      <c r="E186" s="2" t="s">
        <v>280</v>
      </c>
      <c r="F186" s="2" t="s">
        <v>358</v>
      </c>
      <c r="G186" s="2" t="s">
        <v>282</v>
      </c>
      <c r="H186" s="2" t="s">
        <v>388</v>
      </c>
      <c r="I186" t="s">
        <v>198</v>
      </c>
      <c r="J186" s="18">
        <v>17652.419999999998</v>
      </c>
      <c r="K186" s="18"/>
      <c r="L186" s="18">
        <v>18748.060843375799</v>
      </c>
      <c r="M186" s="18">
        <v>-1345.76087702892</v>
      </c>
      <c r="N186" s="18"/>
      <c r="O186" s="18"/>
      <c r="P186" s="3">
        <v>1</v>
      </c>
      <c r="Q186" s="3">
        <v>0</v>
      </c>
      <c r="R186" s="3">
        <v>0</v>
      </c>
      <c r="S186" s="3"/>
      <c r="T186" s="3" t="b">
        <v>0</v>
      </c>
      <c r="U186" s="3">
        <v>4260</v>
      </c>
      <c r="V186" s="3">
        <v>0</v>
      </c>
      <c r="W186" s="3">
        <v>1130</v>
      </c>
      <c r="X186" s="3">
        <v>10.39</v>
      </c>
    </row>
    <row r="187" spans="1:24" hidden="1">
      <c r="A187" s="1">
        <v>45444</v>
      </c>
      <c r="B187" s="1" t="s">
        <v>406</v>
      </c>
      <c r="C187" s="2" t="s">
        <v>387</v>
      </c>
      <c r="D187" s="2" t="s">
        <v>279</v>
      </c>
      <c r="E187" s="2" t="s">
        <v>280</v>
      </c>
      <c r="F187" s="2" t="s">
        <v>358</v>
      </c>
      <c r="G187" s="2" t="s">
        <v>282</v>
      </c>
      <c r="H187" s="2" t="s">
        <v>388</v>
      </c>
      <c r="I187" t="s">
        <v>198</v>
      </c>
      <c r="J187" s="18">
        <v>17707.939999999999</v>
      </c>
      <c r="K187" s="18"/>
      <c r="L187" s="18">
        <v>19040.180898610299</v>
      </c>
      <c r="M187" s="18">
        <v>-455.80749709288898</v>
      </c>
      <c r="N187" s="18"/>
      <c r="O187" s="18"/>
      <c r="P187" s="3">
        <v>1</v>
      </c>
      <c r="Q187" s="3">
        <v>0</v>
      </c>
      <c r="R187" s="3">
        <v>0</v>
      </c>
      <c r="S187" s="3"/>
      <c r="T187" s="3" t="b">
        <v>0</v>
      </c>
      <c r="U187" s="3">
        <v>4947</v>
      </c>
      <c r="V187" s="3">
        <v>0</v>
      </c>
      <c r="W187" s="3">
        <v>2759</v>
      </c>
      <c r="X187" s="3">
        <v>9.69</v>
      </c>
    </row>
    <row r="188" spans="1:24" hidden="1">
      <c r="A188" s="1">
        <v>45474</v>
      </c>
      <c r="B188" s="1" t="s">
        <v>407</v>
      </c>
      <c r="C188" s="2" t="s">
        <v>387</v>
      </c>
      <c r="D188" s="2" t="s">
        <v>279</v>
      </c>
      <c r="E188" s="2" t="s">
        <v>280</v>
      </c>
      <c r="F188" s="2" t="s">
        <v>358</v>
      </c>
      <c r="G188" s="2" t="s">
        <v>282</v>
      </c>
      <c r="H188" s="2" t="s">
        <v>388</v>
      </c>
      <c r="I188" t="s">
        <v>198</v>
      </c>
      <c r="J188" s="18">
        <v>17769.849999999999</v>
      </c>
      <c r="K188" s="18">
        <v>16115.81</v>
      </c>
      <c r="L188" s="18">
        <v>19322.8777262566</v>
      </c>
      <c r="M188" s="18">
        <v>-613.357479062945</v>
      </c>
      <c r="N188" s="18">
        <v>16315.81</v>
      </c>
      <c r="O188" s="18">
        <v>15915.81</v>
      </c>
      <c r="P188" s="3">
        <v>1</v>
      </c>
      <c r="Q188" s="3">
        <v>0</v>
      </c>
      <c r="R188" s="3">
        <v>0</v>
      </c>
      <c r="S188" s="3"/>
      <c r="T188" s="3" t="b">
        <v>0</v>
      </c>
      <c r="U188" s="3">
        <v>4529</v>
      </c>
      <c r="V188" s="3">
        <v>1</v>
      </c>
      <c r="W188" s="3">
        <v>2732</v>
      </c>
      <c r="X188" s="3">
        <v>9.6300000000000008</v>
      </c>
    </row>
    <row r="189" spans="1:24" hidden="1">
      <c r="A189" s="1">
        <v>45505</v>
      </c>
      <c r="B189" s="1" t="s">
        <v>408</v>
      </c>
      <c r="C189" s="2" t="s">
        <v>387</v>
      </c>
      <c r="D189" s="2" t="s">
        <v>279</v>
      </c>
      <c r="E189" s="2" t="s">
        <v>280</v>
      </c>
      <c r="F189" s="2" t="s">
        <v>358</v>
      </c>
      <c r="G189" s="2" t="s">
        <v>282</v>
      </c>
      <c r="H189" s="2" t="s">
        <v>388</v>
      </c>
      <c r="I189" t="s">
        <v>198</v>
      </c>
      <c r="J189" s="18">
        <v>17705.62</v>
      </c>
      <c r="K189" s="18">
        <v>16130.46</v>
      </c>
      <c r="L189" s="18">
        <v>19614.997781491002</v>
      </c>
      <c r="M189" s="18">
        <v>129.769611648938</v>
      </c>
      <c r="N189" s="18">
        <v>16330.46</v>
      </c>
      <c r="O189" s="18">
        <v>15930.46</v>
      </c>
      <c r="P189" s="3">
        <v>1</v>
      </c>
      <c r="Q189" s="3">
        <v>0</v>
      </c>
      <c r="R189" s="3">
        <v>0</v>
      </c>
      <c r="S189" s="3"/>
      <c r="T189" s="3" t="b">
        <v>1</v>
      </c>
      <c r="U189" s="3">
        <v>2347</v>
      </c>
      <c r="V189" s="3">
        <v>1</v>
      </c>
      <c r="W189" s="3">
        <v>2677</v>
      </c>
      <c r="X189" s="3">
        <v>11.23</v>
      </c>
    </row>
    <row r="190" spans="1:24" hidden="1">
      <c r="A190" s="1">
        <v>45536</v>
      </c>
      <c r="B190" s="1" t="s">
        <v>409</v>
      </c>
      <c r="C190" s="2" t="s">
        <v>387</v>
      </c>
      <c r="D190" s="2" t="s">
        <v>279</v>
      </c>
      <c r="E190" s="2" t="s">
        <v>280</v>
      </c>
      <c r="F190" s="2" t="s">
        <v>358</v>
      </c>
      <c r="G190" s="2" t="s">
        <v>282</v>
      </c>
      <c r="H190" s="2" t="s">
        <v>388</v>
      </c>
      <c r="I190" t="s">
        <v>198</v>
      </c>
      <c r="J190" s="18">
        <v>18196.88</v>
      </c>
      <c r="K190" s="18">
        <v>16652.84</v>
      </c>
      <c r="L190" s="18">
        <v>19907.117836725502</v>
      </c>
      <c r="M190" s="18">
        <v>-1196.28086053842</v>
      </c>
      <c r="N190" s="18">
        <v>16852.84</v>
      </c>
      <c r="O190" s="18">
        <v>16452.84</v>
      </c>
      <c r="P190" s="3">
        <v>1</v>
      </c>
      <c r="Q190" s="3">
        <v>0</v>
      </c>
      <c r="R190" s="3">
        <v>0</v>
      </c>
      <c r="S190" s="3"/>
      <c r="T190" s="3" t="b">
        <v>1</v>
      </c>
      <c r="U190" s="3">
        <v>2165</v>
      </c>
      <c r="V190" s="3">
        <v>0</v>
      </c>
      <c r="W190" s="3">
        <v>2787</v>
      </c>
      <c r="X190" s="3">
        <v>9.16</v>
      </c>
    </row>
    <row r="191" spans="1:24" hidden="1">
      <c r="A191" s="1">
        <v>45566</v>
      </c>
      <c r="B191" s="1" t="s">
        <v>410</v>
      </c>
      <c r="C191" s="2" t="s">
        <v>387</v>
      </c>
      <c r="D191" s="2" t="s">
        <v>279</v>
      </c>
      <c r="E191" s="2" t="s">
        <v>280</v>
      </c>
      <c r="F191" s="2" t="s">
        <v>358</v>
      </c>
      <c r="G191" s="2" t="s">
        <v>282</v>
      </c>
      <c r="H191" s="2" t="s">
        <v>388</v>
      </c>
      <c r="I191" t="s">
        <v>224</v>
      </c>
      <c r="J191" s="18"/>
      <c r="K191" s="18">
        <v>16687.689999999999</v>
      </c>
      <c r="L191" s="18">
        <v>20189.814664371799</v>
      </c>
      <c r="M191" s="18">
        <v>1711.4264931871101</v>
      </c>
      <c r="N191" s="18">
        <v>16887.689999999999</v>
      </c>
      <c r="O191" s="18">
        <v>16487.689999999999</v>
      </c>
      <c r="P191" s="3"/>
      <c r="Q191" s="3"/>
      <c r="R191" s="3"/>
      <c r="S191" s="3"/>
      <c r="T191" s="3"/>
      <c r="U191" s="3"/>
      <c r="V191" s="3"/>
      <c r="W191" s="3">
        <v>1607</v>
      </c>
      <c r="X191" s="3">
        <v>9.0299999999999994</v>
      </c>
    </row>
    <row r="192" spans="1:24" hidden="1">
      <c r="A192" s="1">
        <v>45597</v>
      </c>
      <c r="B192" s="1" t="s">
        <v>411</v>
      </c>
      <c r="C192" s="2" t="s">
        <v>387</v>
      </c>
      <c r="D192" s="2" t="s">
        <v>279</v>
      </c>
      <c r="E192" s="2" t="s">
        <v>280</v>
      </c>
      <c r="F192" s="2" t="s">
        <v>358</v>
      </c>
      <c r="G192" s="2" t="s">
        <v>282</v>
      </c>
      <c r="H192" s="2" t="s">
        <v>388</v>
      </c>
      <c r="I192" t="s">
        <v>224</v>
      </c>
      <c r="J192" s="18"/>
      <c r="K192" s="18">
        <v>17212.39</v>
      </c>
      <c r="L192" s="18">
        <v>20481.934719606201</v>
      </c>
      <c r="M192" s="18">
        <v>-396.63646280015502</v>
      </c>
      <c r="N192" s="18">
        <v>17412.39</v>
      </c>
      <c r="O192" s="18">
        <v>17012.39</v>
      </c>
      <c r="P192" s="3"/>
      <c r="Q192" s="3"/>
      <c r="R192" s="3"/>
      <c r="S192" s="3"/>
      <c r="T192" s="3"/>
      <c r="U192" s="3"/>
      <c r="V192" s="3"/>
      <c r="W192" s="3">
        <v>1025</v>
      </c>
      <c r="X192" s="3">
        <v>11.28</v>
      </c>
    </row>
    <row r="193" spans="1:24" hidden="1">
      <c r="A193" s="1">
        <v>45627</v>
      </c>
      <c r="B193" s="1" t="s">
        <v>412</v>
      </c>
      <c r="C193" s="2" t="s">
        <v>387</v>
      </c>
      <c r="D193" s="2" t="s">
        <v>279</v>
      </c>
      <c r="E193" s="2" t="s">
        <v>280</v>
      </c>
      <c r="F193" s="2" t="s">
        <v>358</v>
      </c>
      <c r="G193" s="2" t="s">
        <v>282</v>
      </c>
      <c r="H193" s="2" t="s">
        <v>388</v>
      </c>
      <c r="I193" t="s">
        <v>224</v>
      </c>
      <c r="J193" s="18"/>
      <c r="K193" s="18">
        <v>17552.259999999998</v>
      </c>
      <c r="L193" s="18">
        <v>20764.631547252498</v>
      </c>
      <c r="M193" s="18">
        <v>1436.1440862634399</v>
      </c>
      <c r="N193" s="18">
        <v>17752.259999999998</v>
      </c>
      <c r="O193" s="18">
        <v>17352.259999999998</v>
      </c>
      <c r="P193" s="3"/>
      <c r="Q193" s="3"/>
      <c r="R193" s="3"/>
      <c r="S193" s="3"/>
      <c r="T193" s="3"/>
      <c r="U193" s="3"/>
      <c r="V193" s="3"/>
      <c r="W193" s="3">
        <v>2646</v>
      </c>
      <c r="X193" s="3">
        <v>40</v>
      </c>
    </row>
    <row r="194" spans="1:24" hidden="1">
      <c r="A194" s="1">
        <v>44562</v>
      </c>
      <c r="B194" s="1" t="s">
        <v>413</v>
      </c>
      <c r="C194" s="2" t="s">
        <v>414</v>
      </c>
      <c r="D194" s="2" t="s">
        <v>279</v>
      </c>
      <c r="E194" s="2" t="s">
        <v>280</v>
      </c>
      <c r="F194" s="2" t="s">
        <v>358</v>
      </c>
      <c r="G194" s="2" t="s">
        <v>141</v>
      </c>
      <c r="H194" s="2" t="s">
        <v>415</v>
      </c>
      <c r="I194" t="s">
        <v>198</v>
      </c>
      <c r="J194" s="18">
        <v>17511.22</v>
      </c>
      <c r="K194" s="18"/>
      <c r="L194" s="18">
        <v>18009.318624599899</v>
      </c>
      <c r="M194" s="18">
        <v>-225.34469893878301</v>
      </c>
      <c r="N194" s="18"/>
      <c r="O194" s="18"/>
      <c r="P194" s="3">
        <v>0</v>
      </c>
      <c r="Q194" s="3">
        <v>0</v>
      </c>
      <c r="R194" s="3">
        <v>0</v>
      </c>
      <c r="S194" s="3"/>
      <c r="T194" s="3" t="b">
        <v>0</v>
      </c>
      <c r="U194" s="3">
        <v>4297</v>
      </c>
      <c r="V194" s="3">
        <v>0</v>
      </c>
      <c r="W194" s="3">
        <v>1603</v>
      </c>
      <c r="X194" s="3">
        <v>12.41</v>
      </c>
    </row>
    <row r="195" spans="1:24" hidden="1">
      <c r="A195" s="1">
        <v>44593</v>
      </c>
      <c r="B195" s="1" t="s">
        <v>416</v>
      </c>
      <c r="C195" s="2" t="s">
        <v>414</v>
      </c>
      <c r="D195" s="2" t="s">
        <v>279</v>
      </c>
      <c r="E195" s="2" t="s">
        <v>280</v>
      </c>
      <c r="F195" s="2" t="s">
        <v>358</v>
      </c>
      <c r="G195" s="2" t="s">
        <v>141</v>
      </c>
      <c r="H195" s="2" t="s">
        <v>415</v>
      </c>
      <c r="I195" t="s">
        <v>198</v>
      </c>
      <c r="J195" s="18">
        <v>17652.419999999998</v>
      </c>
      <c r="K195" s="18"/>
      <c r="L195" s="18">
        <v>18150.587594271201</v>
      </c>
      <c r="M195" s="18">
        <v>-363.262132822578</v>
      </c>
      <c r="N195" s="18"/>
      <c r="O195" s="18"/>
      <c r="P195" s="3">
        <v>0</v>
      </c>
      <c r="Q195" s="3">
        <v>0</v>
      </c>
      <c r="R195" s="3">
        <v>0</v>
      </c>
      <c r="S195" s="3"/>
      <c r="T195" s="3" t="b">
        <v>0</v>
      </c>
      <c r="U195" s="3">
        <v>2874</v>
      </c>
      <c r="V195" s="3">
        <v>1</v>
      </c>
      <c r="W195" s="3">
        <v>1781</v>
      </c>
      <c r="X195" s="3">
        <v>12.43</v>
      </c>
    </row>
    <row r="196" spans="1:24" hidden="1">
      <c r="A196" s="1">
        <v>44621</v>
      </c>
      <c r="B196" s="1" t="s">
        <v>417</v>
      </c>
      <c r="C196" s="2" t="s">
        <v>414</v>
      </c>
      <c r="D196" s="2" t="s">
        <v>279</v>
      </c>
      <c r="E196" s="2" t="s">
        <v>280</v>
      </c>
      <c r="F196" s="2" t="s">
        <v>358</v>
      </c>
      <c r="G196" s="2" t="s">
        <v>141</v>
      </c>
      <c r="H196" s="2" t="s">
        <v>415</v>
      </c>
      <c r="I196" t="s">
        <v>198</v>
      </c>
      <c r="J196" s="18">
        <v>18584.599999999999</v>
      </c>
      <c r="K196" s="18"/>
      <c r="L196" s="18">
        <v>18278.185372340002</v>
      </c>
      <c r="M196" s="18">
        <v>44.450851304408197</v>
      </c>
      <c r="N196" s="18"/>
      <c r="O196" s="18"/>
      <c r="P196" s="3">
        <v>0</v>
      </c>
      <c r="Q196" s="3">
        <v>0</v>
      </c>
      <c r="R196" s="3">
        <v>0</v>
      </c>
      <c r="S196" s="3"/>
      <c r="T196" s="3" t="b">
        <v>0</v>
      </c>
      <c r="U196" s="3">
        <v>3464</v>
      </c>
      <c r="V196" s="3">
        <v>0</v>
      </c>
      <c r="W196" s="3">
        <v>2946</v>
      </c>
      <c r="X196" s="3">
        <v>14.17</v>
      </c>
    </row>
    <row r="197" spans="1:24" hidden="1">
      <c r="A197" s="1">
        <v>44652</v>
      </c>
      <c r="B197" s="1" t="s">
        <v>418</v>
      </c>
      <c r="C197" s="2" t="s">
        <v>414</v>
      </c>
      <c r="D197" s="2" t="s">
        <v>279</v>
      </c>
      <c r="E197" s="2" t="s">
        <v>280</v>
      </c>
      <c r="F197" s="2" t="s">
        <v>358</v>
      </c>
      <c r="G197" s="2" t="s">
        <v>141</v>
      </c>
      <c r="H197" s="2" t="s">
        <v>415</v>
      </c>
      <c r="I197" t="s">
        <v>198</v>
      </c>
      <c r="J197" s="18">
        <v>18362.759999999998</v>
      </c>
      <c r="K197" s="18"/>
      <c r="L197" s="18">
        <v>18419.454339875399</v>
      </c>
      <c r="M197" s="18">
        <v>-102.67135422077899</v>
      </c>
      <c r="N197" s="18"/>
      <c r="O197" s="18"/>
      <c r="P197" s="3">
        <v>0</v>
      </c>
      <c r="Q197" s="3">
        <v>0</v>
      </c>
      <c r="R197" s="3">
        <v>0</v>
      </c>
      <c r="S197" s="3"/>
      <c r="T197" s="3" t="b">
        <v>0</v>
      </c>
      <c r="U197" s="3">
        <v>4243</v>
      </c>
      <c r="V197" s="3">
        <v>0</v>
      </c>
      <c r="W197" s="3">
        <v>2404</v>
      </c>
      <c r="X197" s="3">
        <v>12.38</v>
      </c>
    </row>
    <row r="198" spans="1:24" hidden="1">
      <c r="A198" s="1">
        <v>44682</v>
      </c>
      <c r="B198" s="1" t="s">
        <v>419</v>
      </c>
      <c r="C198" s="2" t="s">
        <v>414</v>
      </c>
      <c r="D198" s="2" t="s">
        <v>279</v>
      </c>
      <c r="E198" s="2" t="s">
        <v>280</v>
      </c>
      <c r="F198" s="2" t="s">
        <v>358</v>
      </c>
      <c r="G198" s="2" t="s">
        <v>141</v>
      </c>
      <c r="H198" s="2" t="s">
        <v>415</v>
      </c>
      <c r="I198" t="s">
        <v>198</v>
      </c>
      <c r="J198" s="18">
        <v>18671.32</v>
      </c>
      <c r="K198" s="18"/>
      <c r="L198" s="18">
        <v>18556.089565656799</v>
      </c>
      <c r="M198" s="18">
        <v>126.255209070543</v>
      </c>
      <c r="N198" s="18"/>
      <c r="O198" s="18"/>
      <c r="P198" s="3">
        <v>0</v>
      </c>
      <c r="Q198" s="3">
        <v>0</v>
      </c>
      <c r="R198" s="3">
        <v>0</v>
      </c>
      <c r="S198" s="3"/>
      <c r="T198" s="3" t="b">
        <v>0</v>
      </c>
      <c r="U198" s="3">
        <v>2689</v>
      </c>
      <c r="V198" s="3">
        <v>0</v>
      </c>
      <c r="W198" s="3">
        <v>2000</v>
      </c>
      <c r="X198" s="3">
        <v>13.14</v>
      </c>
    </row>
    <row r="199" spans="1:24" hidden="1">
      <c r="A199" s="1">
        <v>44713</v>
      </c>
      <c r="B199" s="1" t="s">
        <v>420</v>
      </c>
      <c r="C199" s="2" t="s">
        <v>414</v>
      </c>
      <c r="D199" s="2" t="s">
        <v>279</v>
      </c>
      <c r="E199" s="2" t="s">
        <v>280</v>
      </c>
      <c r="F199" s="2" t="s">
        <v>358</v>
      </c>
      <c r="G199" s="2" t="s">
        <v>141</v>
      </c>
      <c r="H199" s="2" t="s">
        <v>415</v>
      </c>
      <c r="I199" t="s">
        <v>198</v>
      </c>
      <c r="J199" s="18">
        <v>18669.32</v>
      </c>
      <c r="K199" s="18"/>
      <c r="L199" s="18">
        <v>18697.184633610501</v>
      </c>
      <c r="M199" s="18">
        <v>-72.254972310556496</v>
      </c>
      <c r="N199" s="18"/>
      <c r="O199" s="18"/>
      <c r="P199" s="3">
        <v>0</v>
      </c>
      <c r="Q199" s="3">
        <v>0</v>
      </c>
      <c r="R199" s="3">
        <v>0</v>
      </c>
      <c r="S199" s="3"/>
      <c r="T199" s="3" t="b">
        <v>0</v>
      </c>
      <c r="U199" s="3">
        <v>4010</v>
      </c>
      <c r="V199" s="3">
        <v>1</v>
      </c>
      <c r="W199" s="3">
        <v>1679</v>
      </c>
      <c r="X199" s="3">
        <v>10.9</v>
      </c>
    </row>
    <row r="200" spans="1:24" hidden="1">
      <c r="A200" s="1">
        <v>44743</v>
      </c>
      <c r="B200" s="1" t="s">
        <v>421</v>
      </c>
      <c r="C200" s="2" t="s">
        <v>414</v>
      </c>
      <c r="D200" s="2" t="s">
        <v>279</v>
      </c>
      <c r="E200" s="2" t="s">
        <v>280</v>
      </c>
      <c r="F200" s="2" t="s">
        <v>358</v>
      </c>
      <c r="G200" s="2" t="s">
        <v>141</v>
      </c>
      <c r="H200" s="2" t="s">
        <v>415</v>
      </c>
      <c r="I200" t="s">
        <v>198</v>
      </c>
      <c r="J200" s="18">
        <v>19277.88</v>
      </c>
      <c r="K200" s="18"/>
      <c r="L200" s="18">
        <v>18833.3663696269</v>
      </c>
      <c r="M200" s="18">
        <v>44.0033222565187</v>
      </c>
      <c r="N200" s="18"/>
      <c r="O200" s="18"/>
      <c r="P200" s="3">
        <v>0</v>
      </c>
      <c r="Q200" s="3">
        <v>0</v>
      </c>
      <c r="R200" s="3">
        <v>0</v>
      </c>
      <c r="S200" s="3"/>
      <c r="T200" s="3" t="b">
        <v>0</v>
      </c>
      <c r="U200" s="3">
        <v>4686</v>
      </c>
      <c r="V200" s="3">
        <v>0</v>
      </c>
      <c r="W200" s="3">
        <v>1057</v>
      </c>
      <c r="X200" s="3">
        <v>12.29</v>
      </c>
    </row>
    <row r="201" spans="1:24" hidden="1">
      <c r="A201" s="1">
        <v>44774</v>
      </c>
      <c r="B201" s="1" t="s">
        <v>422</v>
      </c>
      <c r="C201" s="2" t="s">
        <v>414</v>
      </c>
      <c r="D201" s="2" t="s">
        <v>279</v>
      </c>
      <c r="E201" s="2" t="s">
        <v>280</v>
      </c>
      <c r="F201" s="2" t="s">
        <v>358</v>
      </c>
      <c r="G201" s="2" t="s">
        <v>141</v>
      </c>
      <c r="H201" s="2" t="s">
        <v>415</v>
      </c>
      <c r="I201" t="s">
        <v>198</v>
      </c>
      <c r="J201" s="18">
        <v>19328.43</v>
      </c>
      <c r="K201" s="18"/>
      <c r="L201" s="18">
        <v>18937.551846268201</v>
      </c>
      <c r="M201" s="18">
        <v>293.23122265518498</v>
      </c>
      <c r="N201" s="18"/>
      <c r="O201" s="18"/>
      <c r="P201" s="3">
        <v>0</v>
      </c>
      <c r="Q201" s="3">
        <v>0</v>
      </c>
      <c r="R201" s="3">
        <v>0</v>
      </c>
      <c r="S201" s="3"/>
      <c r="T201" s="3" t="b">
        <v>0</v>
      </c>
      <c r="U201" s="3">
        <v>3422</v>
      </c>
      <c r="V201" s="3">
        <v>0</v>
      </c>
      <c r="W201" s="3">
        <v>2819</v>
      </c>
      <c r="X201" s="3">
        <v>12.12</v>
      </c>
    </row>
    <row r="202" spans="1:24" hidden="1">
      <c r="A202" s="1">
        <v>44805</v>
      </c>
      <c r="B202" s="1" t="s">
        <v>423</v>
      </c>
      <c r="C202" s="2" t="s">
        <v>414</v>
      </c>
      <c r="D202" s="2" t="s">
        <v>279</v>
      </c>
      <c r="E202" s="2" t="s">
        <v>280</v>
      </c>
      <c r="F202" s="2" t="s">
        <v>358</v>
      </c>
      <c r="G202" s="2" t="s">
        <v>141</v>
      </c>
      <c r="H202" s="2" t="s">
        <v>415</v>
      </c>
      <c r="I202" t="s">
        <v>198</v>
      </c>
      <c r="J202" s="18">
        <v>19285.310000000001</v>
      </c>
      <c r="K202" s="18"/>
      <c r="L202" s="18">
        <v>19041.737016551</v>
      </c>
      <c r="M202" s="18">
        <v>152.770960791926</v>
      </c>
      <c r="N202" s="18"/>
      <c r="O202" s="18"/>
      <c r="P202" s="3">
        <v>0</v>
      </c>
      <c r="Q202" s="3">
        <v>0</v>
      </c>
      <c r="R202" s="3">
        <v>0</v>
      </c>
      <c r="S202" s="3"/>
      <c r="T202" s="3" t="b">
        <v>0</v>
      </c>
      <c r="U202" s="3">
        <v>4001</v>
      </c>
      <c r="V202" s="3">
        <v>0</v>
      </c>
      <c r="W202" s="3">
        <v>2049</v>
      </c>
      <c r="X202" s="3">
        <v>12.1</v>
      </c>
    </row>
    <row r="203" spans="1:24" hidden="1">
      <c r="A203" s="1">
        <v>44835</v>
      </c>
      <c r="B203" s="1" t="s">
        <v>424</v>
      </c>
      <c r="C203" s="2" t="s">
        <v>414</v>
      </c>
      <c r="D203" s="2" t="s">
        <v>279</v>
      </c>
      <c r="E203" s="2" t="s">
        <v>280</v>
      </c>
      <c r="F203" s="2" t="s">
        <v>358</v>
      </c>
      <c r="G203" s="2" t="s">
        <v>141</v>
      </c>
      <c r="H203" s="2" t="s">
        <v>415</v>
      </c>
      <c r="I203" t="s">
        <v>198</v>
      </c>
      <c r="J203" s="18">
        <v>19141.46</v>
      </c>
      <c r="K203" s="18"/>
      <c r="L203" s="18">
        <v>19142.561373973698</v>
      </c>
      <c r="M203" s="18">
        <v>37.862493739912999</v>
      </c>
      <c r="N203" s="18"/>
      <c r="O203" s="18"/>
      <c r="P203" s="3">
        <v>0</v>
      </c>
      <c r="Q203" s="3">
        <v>0</v>
      </c>
      <c r="R203" s="3">
        <v>0</v>
      </c>
      <c r="S203" s="3"/>
      <c r="T203" s="3" t="b">
        <v>0</v>
      </c>
      <c r="U203" s="3">
        <v>2671</v>
      </c>
      <c r="V203" s="3">
        <v>0</v>
      </c>
      <c r="W203" s="3">
        <v>1880</v>
      </c>
      <c r="X203" s="3">
        <v>13.76</v>
      </c>
    </row>
    <row r="204" spans="1:24" hidden="1">
      <c r="A204" s="1">
        <v>44866</v>
      </c>
      <c r="B204" s="1" t="s">
        <v>425</v>
      </c>
      <c r="C204" s="2" t="s">
        <v>414</v>
      </c>
      <c r="D204" s="2" t="s">
        <v>279</v>
      </c>
      <c r="E204" s="2" t="s">
        <v>280</v>
      </c>
      <c r="F204" s="2" t="s">
        <v>358</v>
      </c>
      <c r="G204" s="2" t="s">
        <v>141</v>
      </c>
      <c r="H204" s="2" t="s">
        <v>415</v>
      </c>
      <c r="I204" t="s">
        <v>198</v>
      </c>
      <c r="J204" s="18">
        <v>18821.98</v>
      </c>
      <c r="K204" s="18"/>
      <c r="L204" s="18">
        <v>19246.746544195499</v>
      </c>
      <c r="M204" s="18">
        <v>-142.94759335741901</v>
      </c>
      <c r="N204" s="18"/>
      <c r="O204" s="18"/>
      <c r="P204" s="3">
        <v>0</v>
      </c>
      <c r="Q204" s="3">
        <v>0</v>
      </c>
      <c r="R204" s="3">
        <v>0</v>
      </c>
      <c r="S204" s="3"/>
      <c r="T204" s="3" t="b">
        <v>0</v>
      </c>
      <c r="U204" s="3">
        <v>3171</v>
      </c>
      <c r="V204" s="3">
        <v>0</v>
      </c>
      <c r="W204" s="3">
        <v>1446</v>
      </c>
      <c r="X204" s="3">
        <v>10.6</v>
      </c>
    </row>
    <row r="205" spans="1:24" hidden="1">
      <c r="A205" s="1">
        <v>44896</v>
      </c>
      <c r="B205" s="1" t="s">
        <v>426</v>
      </c>
      <c r="C205" s="2" t="s">
        <v>414</v>
      </c>
      <c r="D205" s="2" t="s">
        <v>279</v>
      </c>
      <c r="E205" s="2" t="s">
        <v>280</v>
      </c>
      <c r="F205" s="2" t="s">
        <v>358</v>
      </c>
      <c r="G205" s="2" t="s">
        <v>141</v>
      </c>
      <c r="H205" s="2" t="s">
        <v>415</v>
      </c>
      <c r="I205" t="s">
        <v>198</v>
      </c>
      <c r="J205" s="18">
        <v>19136.939999999999</v>
      </c>
      <c r="K205" s="18"/>
      <c r="L205" s="18">
        <v>19347.570908857699</v>
      </c>
      <c r="M205" s="18">
        <v>-70.363650457160503</v>
      </c>
      <c r="N205" s="18"/>
      <c r="O205" s="18"/>
      <c r="P205" s="3">
        <v>0</v>
      </c>
      <c r="Q205" s="3">
        <v>0</v>
      </c>
      <c r="R205" s="3">
        <v>0</v>
      </c>
      <c r="S205" s="3"/>
      <c r="T205" s="3" t="b">
        <v>0</v>
      </c>
      <c r="U205" s="3">
        <v>3495</v>
      </c>
      <c r="V205" s="3">
        <v>0</v>
      </c>
      <c r="W205" s="3">
        <v>1065</v>
      </c>
      <c r="X205" s="3">
        <v>14.17</v>
      </c>
    </row>
    <row r="206" spans="1:24" hidden="1">
      <c r="A206" s="1">
        <v>44927</v>
      </c>
      <c r="B206" s="1" t="s">
        <v>427</v>
      </c>
      <c r="C206" s="2" t="s">
        <v>414</v>
      </c>
      <c r="D206" s="2" t="s">
        <v>279</v>
      </c>
      <c r="E206" s="2" t="s">
        <v>280</v>
      </c>
      <c r="F206" s="2" t="s">
        <v>358</v>
      </c>
      <c r="G206" s="2" t="s">
        <v>141</v>
      </c>
      <c r="H206" s="2" t="s">
        <v>415</v>
      </c>
      <c r="I206" t="s">
        <v>198</v>
      </c>
      <c r="J206" s="18">
        <v>19040.48</v>
      </c>
      <c r="K206" s="18"/>
      <c r="L206" s="18">
        <v>19452.007785893598</v>
      </c>
      <c r="M206" s="18">
        <v>-279.94932024938402</v>
      </c>
      <c r="N206" s="18"/>
      <c r="O206" s="18"/>
      <c r="P206" s="3">
        <v>0</v>
      </c>
      <c r="Q206" s="3">
        <v>0</v>
      </c>
      <c r="R206" s="3">
        <v>0</v>
      </c>
      <c r="S206" s="3"/>
      <c r="T206" s="3" t="b">
        <v>1</v>
      </c>
      <c r="U206" s="3">
        <v>2943</v>
      </c>
      <c r="V206" s="3">
        <v>0</v>
      </c>
      <c r="W206" s="3">
        <v>2944</v>
      </c>
      <c r="X206" s="3">
        <v>11.75</v>
      </c>
    </row>
    <row r="207" spans="1:24" hidden="1">
      <c r="A207" s="1">
        <v>44958</v>
      </c>
      <c r="B207" s="1" t="s">
        <v>428</v>
      </c>
      <c r="C207" s="2" t="s">
        <v>414</v>
      </c>
      <c r="D207" s="2" t="s">
        <v>279</v>
      </c>
      <c r="E207" s="2" t="s">
        <v>280</v>
      </c>
      <c r="F207" s="2" t="s">
        <v>358</v>
      </c>
      <c r="G207" s="2" t="s">
        <v>141</v>
      </c>
      <c r="H207" s="2" t="s">
        <v>415</v>
      </c>
      <c r="I207" t="s">
        <v>198</v>
      </c>
      <c r="J207" s="18">
        <v>19433.53</v>
      </c>
      <c r="K207" s="18"/>
      <c r="L207" s="18">
        <v>19556.8689755997</v>
      </c>
      <c r="M207" s="18">
        <v>-313.628302501164</v>
      </c>
      <c r="N207" s="18"/>
      <c r="O207" s="18"/>
      <c r="P207" s="3">
        <v>0</v>
      </c>
      <c r="Q207" s="3">
        <v>0</v>
      </c>
      <c r="R207" s="3">
        <v>0</v>
      </c>
      <c r="S207" s="3"/>
      <c r="T207" s="3" t="b">
        <v>0</v>
      </c>
      <c r="U207" s="3">
        <v>4246</v>
      </c>
      <c r="V207" s="3">
        <v>0</v>
      </c>
      <c r="W207" s="3">
        <v>2783</v>
      </c>
      <c r="X207" s="3">
        <v>11.92</v>
      </c>
    </row>
    <row r="208" spans="1:24" hidden="1">
      <c r="A208" s="1">
        <v>44986</v>
      </c>
      <c r="B208" s="1" t="s">
        <v>429</v>
      </c>
      <c r="C208" s="2" t="s">
        <v>414</v>
      </c>
      <c r="D208" s="2" t="s">
        <v>279</v>
      </c>
      <c r="E208" s="2" t="s">
        <v>280</v>
      </c>
      <c r="F208" s="2" t="s">
        <v>358</v>
      </c>
      <c r="G208" s="2" t="s">
        <v>141</v>
      </c>
      <c r="H208" s="2" t="s">
        <v>415</v>
      </c>
      <c r="I208" t="s">
        <v>198</v>
      </c>
      <c r="J208" s="18">
        <v>19587.080000000002</v>
      </c>
      <c r="K208" s="18"/>
      <c r="L208" s="18">
        <v>19651.898958975198</v>
      </c>
      <c r="M208" s="18">
        <v>-8.8423468464263397</v>
      </c>
      <c r="N208" s="18"/>
      <c r="O208" s="18"/>
      <c r="P208" s="3">
        <v>0</v>
      </c>
      <c r="Q208" s="3">
        <v>0</v>
      </c>
      <c r="R208" s="3">
        <v>0</v>
      </c>
      <c r="S208" s="3"/>
      <c r="T208" s="3" t="b">
        <v>0</v>
      </c>
      <c r="U208" s="3">
        <v>3449</v>
      </c>
      <c r="V208" s="3">
        <v>1</v>
      </c>
      <c r="W208" s="3">
        <v>2277</v>
      </c>
      <c r="X208" s="3">
        <v>13.02</v>
      </c>
    </row>
    <row r="209" spans="1:24" hidden="1">
      <c r="A209" s="1">
        <v>45017</v>
      </c>
      <c r="B209" s="1" t="s">
        <v>430</v>
      </c>
      <c r="C209" s="2" t="s">
        <v>414</v>
      </c>
      <c r="D209" s="2" t="s">
        <v>279</v>
      </c>
      <c r="E209" s="2" t="s">
        <v>280</v>
      </c>
      <c r="F209" s="2" t="s">
        <v>358</v>
      </c>
      <c r="G209" s="2" t="s">
        <v>141</v>
      </c>
      <c r="H209" s="2" t="s">
        <v>415</v>
      </c>
      <c r="I209" t="s">
        <v>198</v>
      </c>
      <c r="J209" s="18">
        <v>19487.55</v>
      </c>
      <c r="K209" s="18"/>
      <c r="L209" s="18">
        <v>19757.225839971499</v>
      </c>
      <c r="M209" s="18">
        <v>-46.848415088262797</v>
      </c>
      <c r="N209" s="18"/>
      <c r="O209" s="18"/>
      <c r="P209" s="3">
        <v>0</v>
      </c>
      <c r="Q209" s="3">
        <v>0</v>
      </c>
      <c r="R209" s="3">
        <v>0</v>
      </c>
      <c r="S209" s="3"/>
      <c r="T209" s="3" t="b">
        <v>0</v>
      </c>
      <c r="U209" s="3">
        <v>4539</v>
      </c>
      <c r="V209" s="3">
        <v>1</v>
      </c>
      <c r="W209" s="3">
        <v>2922</v>
      </c>
      <c r="X209" s="3">
        <v>11.88</v>
      </c>
    </row>
    <row r="210" spans="1:24" hidden="1">
      <c r="A210" s="1">
        <v>45047</v>
      </c>
      <c r="B210" s="1" t="s">
        <v>431</v>
      </c>
      <c r="C210" s="2" t="s">
        <v>414</v>
      </c>
      <c r="D210" s="2" t="s">
        <v>279</v>
      </c>
      <c r="E210" s="2" t="s">
        <v>280</v>
      </c>
      <c r="F210" s="2" t="s">
        <v>358</v>
      </c>
      <c r="G210" s="2" t="s">
        <v>141</v>
      </c>
      <c r="H210" s="2" t="s">
        <v>415</v>
      </c>
      <c r="I210" t="s">
        <v>198</v>
      </c>
      <c r="J210" s="18">
        <v>20110.32</v>
      </c>
      <c r="K210" s="18"/>
      <c r="L210" s="18">
        <v>19992.192996871199</v>
      </c>
      <c r="M210" s="18">
        <v>67.691355301898</v>
      </c>
      <c r="N210" s="18"/>
      <c r="O210" s="18"/>
      <c r="P210" s="3">
        <v>0</v>
      </c>
      <c r="Q210" s="3">
        <v>0</v>
      </c>
      <c r="R210" s="3">
        <v>0</v>
      </c>
      <c r="S210" s="3"/>
      <c r="T210" s="3" t="b">
        <v>1</v>
      </c>
      <c r="U210" s="3">
        <v>2895</v>
      </c>
      <c r="V210" s="3">
        <v>0</v>
      </c>
      <c r="W210" s="3">
        <v>2991</v>
      </c>
      <c r="X210" s="3">
        <v>12.86</v>
      </c>
    </row>
    <row r="211" spans="1:24" hidden="1">
      <c r="A211" s="1">
        <v>45078</v>
      </c>
      <c r="B211" s="1" t="s">
        <v>432</v>
      </c>
      <c r="C211" s="2" t="s">
        <v>414</v>
      </c>
      <c r="D211" s="2" t="s">
        <v>279</v>
      </c>
      <c r="E211" s="2" t="s">
        <v>280</v>
      </c>
      <c r="F211" s="2" t="s">
        <v>358</v>
      </c>
      <c r="G211" s="2" t="s">
        <v>141</v>
      </c>
      <c r="H211" s="2" t="s">
        <v>415</v>
      </c>
      <c r="I211" t="s">
        <v>198</v>
      </c>
      <c r="J211" s="18">
        <v>20393.22</v>
      </c>
      <c r="K211" s="18"/>
      <c r="L211" s="18">
        <v>20235.177736114201</v>
      </c>
      <c r="M211" s="18">
        <v>-11.528489862058301</v>
      </c>
      <c r="N211" s="18"/>
      <c r="O211" s="18"/>
      <c r="P211" s="3">
        <v>0</v>
      </c>
      <c r="Q211" s="3">
        <v>0</v>
      </c>
      <c r="R211" s="3">
        <v>0</v>
      </c>
      <c r="S211" s="3"/>
      <c r="T211" s="3" t="b">
        <v>0</v>
      </c>
      <c r="U211" s="3">
        <v>4189</v>
      </c>
      <c r="V211" s="3">
        <v>0</v>
      </c>
      <c r="W211" s="3">
        <v>2067</v>
      </c>
      <c r="X211" s="3">
        <v>13.22</v>
      </c>
    </row>
    <row r="212" spans="1:24" hidden="1">
      <c r="A212" s="1">
        <v>45108</v>
      </c>
      <c r="B212" s="1" t="s">
        <v>433</v>
      </c>
      <c r="C212" s="2" t="s">
        <v>414</v>
      </c>
      <c r="D212" s="2" t="s">
        <v>279</v>
      </c>
      <c r="E212" s="2" t="s">
        <v>280</v>
      </c>
      <c r="F212" s="2" t="s">
        <v>358</v>
      </c>
      <c r="G212" s="2" t="s">
        <v>141</v>
      </c>
      <c r="H212" s="2" t="s">
        <v>415</v>
      </c>
      <c r="I212" t="s">
        <v>198</v>
      </c>
      <c r="J212" s="18">
        <v>20049.55</v>
      </c>
      <c r="K212" s="18"/>
      <c r="L212" s="18">
        <v>20470.490312206701</v>
      </c>
      <c r="M212" s="18">
        <v>-18.9303948316734</v>
      </c>
      <c r="N212" s="18"/>
      <c r="O212" s="18"/>
      <c r="P212" s="3">
        <v>0</v>
      </c>
      <c r="Q212" s="3">
        <v>0</v>
      </c>
      <c r="R212" s="3">
        <v>0</v>
      </c>
      <c r="S212" s="3"/>
      <c r="T212" s="3" t="b">
        <v>0</v>
      </c>
      <c r="U212" s="3">
        <v>3336</v>
      </c>
      <c r="V212" s="3">
        <v>0</v>
      </c>
      <c r="W212" s="3">
        <v>2120</v>
      </c>
      <c r="X212" s="3">
        <v>12.07</v>
      </c>
    </row>
    <row r="213" spans="1:24" hidden="1">
      <c r="A213" s="1">
        <v>45139</v>
      </c>
      <c r="B213" s="1" t="s">
        <v>434</v>
      </c>
      <c r="C213" s="2" t="s">
        <v>414</v>
      </c>
      <c r="D213" s="2" t="s">
        <v>279</v>
      </c>
      <c r="E213" s="2" t="s">
        <v>280</v>
      </c>
      <c r="F213" s="2" t="s">
        <v>358</v>
      </c>
      <c r="G213" s="2" t="s">
        <v>141</v>
      </c>
      <c r="H213" s="2" t="s">
        <v>415</v>
      </c>
      <c r="I213" t="s">
        <v>198</v>
      </c>
      <c r="J213" s="18">
        <v>21100.51</v>
      </c>
      <c r="K213" s="18"/>
      <c r="L213" s="18">
        <v>20713.655960115801</v>
      </c>
      <c r="M213" s="18">
        <v>354.713462133147</v>
      </c>
      <c r="N213" s="18"/>
      <c r="O213" s="18"/>
      <c r="P213" s="3">
        <v>0</v>
      </c>
      <c r="Q213" s="3">
        <v>0</v>
      </c>
      <c r="R213" s="3">
        <v>0</v>
      </c>
      <c r="S213" s="3"/>
      <c r="T213" s="3" t="b">
        <v>1</v>
      </c>
      <c r="U213" s="3">
        <v>2164</v>
      </c>
      <c r="V213" s="3">
        <v>0</v>
      </c>
      <c r="W213" s="3">
        <v>2577</v>
      </c>
      <c r="X213" s="3">
        <v>13.55</v>
      </c>
    </row>
    <row r="214" spans="1:24" hidden="1">
      <c r="A214" s="1">
        <v>45170</v>
      </c>
      <c r="B214" s="1" t="s">
        <v>435</v>
      </c>
      <c r="C214" s="2" t="s">
        <v>414</v>
      </c>
      <c r="D214" s="2" t="s">
        <v>279</v>
      </c>
      <c r="E214" s="2" t="s">
        <v>280</v>
      </c>
      <c r="F214" s="2" t="s">
        <v>358</v>
      </c>
      <c r="G214" s="2" t="s">
        <v>141</v>
      </c>
      <c r="H214" s="2" t="s">
        <v>415</v>
      </c>
      <c r="I214" t="s">
        <v>198</v>
      </c>
      <c r="J214" s="18">
        <v>20841.759999999998</v>
      </c>
      <c r="K214" s="18"/>
      <c r="L214" s="18">
        <v>20956.821609136099</v>
      </c>
      <c r="M214" s="18">
        <v>93.849465026961198</v>
      </c>
      <c r="N214" s="18"/>
      <c r="O214" s="18"/>
      <c r="P214" s="3">
        <v>0</v>
      </c>
      <c r="Q214" s="3">
        <v>0</v>
      </c>
      <c r="R214" s="3">
        <v>1</v>
      </c>
      <c r="S214" s="3"/>
      <c r="T214" s="3" t="b">
        <v>0</v>
      </c>
      <c r="U214" s="3">
        <v>4361</v>
      </c>
      <c r="V214" s="3">
        <v>0</v>
      </c>
      <c r="W214" s="3">
        <v>2011</v>
      </c>
      <c r="X214" s="3">
        <v>12.77</v>
      </c>
    </row>
    <row r="215" spans="1:24" hidden="1">
      <c r="A215" s="1">
        <v>45200</v>
      </c>
      <c r="B215" s="1" t="s">
        <v>436</v>
      </c>
      <c r="C215" s="2" t="s">
        <v>414</v>
      </c>
      <c r="D215" s="2" t="s">
        <v>279</v>
      </c>
      <c r="E215" s="2" t="s">
        <v>280</v>
      </c>
      <c r="F215" s="2" t="s">
        <v>358</v>
      </c>
      <c r="G215" s="2" t="s">
        <v>141</v>
      </c>
      <c r="H215" s="2" t="s">
        <v>415</v>
      </c>
      <c r="I215" t="s">
        <v>198</v>
      </c>
      <c r="J215" s="18">
        <v>21319.97</v>
      </c>
      <c r="K215" s="18"/>
      <c r="L215" s="18">
        <v>21192.143204435899</v>
      </c>
      <c r="M215" s="18">
        <v>98.519240520157098</v>
      </c>
      <c r="N215" s="18"/>
      <c r="O215" s="18"/>
      <c r="P215" s="3">
        <v>0</v>
      </c>
      <c r="Q215" s="3">
        <v>0</v>
      </c>
      <c r="R215" s="3">
        <v>0</v>
      </c>
      <c r="S215" s="3"/>
      <c r="T215" s="3" t="b">
        <v>0</v>
      </c>
      <c r="U215" s="3">
        <v>4068</v>
      </c>
      <c r="V215" s="3">
        <v>0</v>
      </c>
      <c r="W215" s="3">
        <v>1226</v>
      </c>
      <c r="X215" s="3">
        <v>13.14</v>
      </c>
    </row>
    <row r="216" spans="1:24" hidden="1">
      <c r="A216" s="1">
        <v>45231</v>
      </c>
      <c r="B216" s="1" t="s">
        <v>437</v>
      </c>
      <c r="C216" s="2" t="s">
        <v>414</v>
      </c>
      <c r="D216" s="2" t="s">
        <v>279</v>
      </c>
      <c r="E216" s="2" t="s">
        <v>280</v>
      </c>
      <c r="F216" s="2" t="s">
        <v>358</v>
      </c>
      <c r="G216" s="2" t="s">
        <v>141</v>
      </c>
      <c r="H216" s="2" t="s">
        <v>415</v>
      </c>
      <c r="I216" t="s">
        <v>198</v>
      </c>
      <c r="J216" s="18">
        <v>21521.38</v>
      </c>
      <c r="K216" s="18"/>
      <c r="L216" s="18">
        <v>21435.308853150502</v>
      </c>
      <c r="M216" s="18">
        <v>-201.08954043304601</v>
      </c>
      <c r="N216" s="18"/>
      <c r="O216" s="18"/>
      <c r="P216" s="3">
        <v>0</v>
      </c>
      <c r="Q216" s="3">
        <v>0</v>
      </c>
      <c r="R216" s="3">
        <v>0</v>
      </c>
      <c r="S216" s="3"/>
      <c r="T216" s="3" t="b">
        <v>0</v>
      </c>
      <c r="U216" s="3">
        <v>3105</v>
      </c>
      <c r="V216" s="3">
        <v>0</v>
      </c>
      <c r="W216" s="3">
        <v>1773</v>
      </c>
      <c r="X216" s="3">
        <v>12.88</v>
      </c>
    </row>
    <row r="217" spans="1:24" hidden="1">
      <c r="A217" s="1">
        <v>45261</v>
      </c>
      <c r="B217" s="1" t="s">
        <v>438</v>
      </c>
      <c r="C217" s="2" t="s">
        <v>414</v>
      </c>
      <c r="D217" s="2" t="s">
        <v>279</v>
      </c>
      <c r="E217" s="2" t="s">
        <v>280</v>
      </c>
      <c r="F217" s="2" t="s">
        <v>358</v>
      </c>
      <c r="G217" s="2" t="s">
        <v>141</v>
      </c>
      <c r="H217" s="2" t="s">
        <v>415</v>
      </c>
      <c r="I217" t="s">
        <v>198</v>
      </c>
      <c r="J217" s="18">
        <v>21792.14</v>
      </c>
      <c r="K217" s="18"/>
      <c r="L217" s="18">
        <v>21670.5907529832</v>
      </c>
      <c r="M217" s="18">
        <v>-12.819143860032799</v>
      </c>
      <c r="N217" s="18"/>
      <c r="O217" s="18"/>
      <c r="P217" s="3">
        <v>0</v>
      </c>
      <c r="Q217" s="3">
        <v>0</v>
      </c>
      <c r="R217" s="3">
        <v>0</v>
      </c>
      <c r="S217" s="3"/>
      <c r="T217" s="3" t="b">
        <v>0</v>
      </c>
      <c r="U217" s="3">
        <v>3753</v>
      </c>
      <c r="V217" s="3">
        <v>1</v>
      </c>
      <c r="W217" s="3">
        <v>1678</v>
      </c>
      <c r="X217" s="3">
        <v>12.11</v>
      </c>
    </row>
    <row r="218" spans="1:24" hidden="1">
      <c r="A218" s="1">
        <v>45292</v>
      </c>
      <c r="B218" s="1" t="s">
        <v>439</v>
      </c>
      <c r="C218" s="2" t="s">
        <v>414</v>
      </c>
      <c r="D218" s="2" t="s">
        <v>279</v>
      </c>
      <c r="E218" s="2" t="s">
        <v>280</v>
      </c>
      <c r="F218" s="2" t="s">
        <v>358</v>
      </c>
      <c r="G218" s="2" t="s">
        <v>141</v>
      </c>
      <c r="H218" s="2" t="s">
        <v>415</v>
      </c>
      <c r="I218" t="s">
        <v>198</v>
      </c>
      <c r="J218" s="18">
        <v>21985.72</v>
      </c>
      <c r="K218" s="18"/>
      <c r="L218" s="18">
        <v>21913.595559267102</v>
      </c>
      <c r="M218" s="18">
        <v>-334.57936333200098</v>
      </c>
      <c r="N218" s="18"/>
      <c r="O218" s="18"/>
      <c r="P218" s="3">
        <v>0</v>
      </c>
      <c r="Q218" s="3">
        <v>0</v>
      </c>
      <c r="R218" s="3">
        <v>0</v>
      </c>
      <c r="S218" s="3"/>
      <c r="T218" s="3" t="b">
        <v>0</v>
      </c>
      <c r="U218" s="3">
        <v>4352</v>
      </c>
      <c r="V218" s="3">
        <v>0</v>
      </c>
      <c r="W218" s="3">
        <v>2459</v>
      </c>
      <c r="X218" s="3">
        <v>13.14</v>
      </c>
    </row>
    <row r="219" spans="1:24" hidden="1">
      <c r="A219" s="1">
        <v>45323</v>
      </c>
      <c r="B219" s="1" t="s">
        <v>440</v>
      </c>
      <c r="C219" s="2" t="s">
        <v>414</v>
      </c>
      <c r="D219" s="2" t="s">
        <v>279</v>
      </c>
      <c r="E219" s="2" t="s">
        <v>280</v>
      </c>
      <c r="F219" s="2" t="s">
        <v>358</v>
      </c>
      <c r="G219" s="2" t="s">
        <v>141</v>
      </c>
      <c r="H219" s="2" t="s">
        <v>415</v>
      </c>
      <c r="I219" t="s">
        <v>198</v>
      </c>
      <c r="J219" s="18">
        <v>21641.05</v>
      </c>
      <c r="K219" s="18"/>
      <c r="L219" s="18">
        <v>21959.3758884983</v>
      </c>
      <c r="M219" s="18">
        <v>-263.81683898663999</v>
      </c>
      <c r="N219" s="18"/>
      <c r="O219" s="18"/>
      <c r="P219" s="3">
        <v>0</v>
      </c>
      <c r="Q219" s="3">
        <v>0</v>
      </c>
      <c r="R219" s="3">
        <v>0</v>
      </c>
      <c r="S219" s="3"/>
      <c r="T219" s="3" t="b">
        <v>0</v>
      </c>
      <c r="U219" s="3">
        <v>3938</v>
      </c>
      <c r="V219" s="3">
        <v>0</v>
      </c>
      <c r="W219" s="3">
        <v>2814</v>
      </c>
      <c r="X219" s="3">
        <v>12.74</v>
      </c>
    </row>
    <row r="220" spans="1:24" hidden="1">
      <c r="A220" s="1">
        <v>45352</v>
      </c>
      <c r="B220" s="1" t="s">
        <v>441</v>
      </c>
      <c r="C220" s="2" t="s">
        <v>414</v>
      </c>
      <c r="D220" s="2" t="s">
        <v>279</v>
      </c>
      <c r="E220" s="2" t="s">
        <v>280</v>
      </c>
      <c r="F220" s="2" t="s">
        <v>358</v>
      </c>
      <c r="G220" s="2" t="s">
        <v>141</v>
      </c>
      <c r="H220" s="2" t="s">
        <v>415</v>
      </c>
      <c r="I220" t="s">
        <v>198</v>
      </c>
      <c r="J220" s="18">
        <v>21948.880000000001</v>
      </c>
      <c r="K220" s="18"/>
      <c r="L220" s="18">
        <v>22002.2026481016</v>
      </c>
      <c r="M220" s="18">
        <v>151.15259866936199</v>
      </c>
      <c r="N220" s="18"/>
      <c r="O220" s="18"/>
      <c r="P220" s="3">
        <v>0</v>
      </c>
      <c r="Q220" s="3">
        <v>0</v>
      </c>
      <c r="R220" s="3">
        <v>0</v>
      </c>
      <c r="S220" s="3"/>
      <c r="T220" s="3" t="b">
        <v>0</v>
      </c>
      <c r="U220" s="3">
        <v>2370</v>
      </c>
      <c r="V220" s="3">
        <v>1</v>
      </c>
      <c r="W220" s="3">
        <v>1600</v>
      </c>
      <c r="X220" s="3">
        <v>13.05</v>
      </c>
    </row>
    <row r="221" spans="1:24" hidden="1">
      <c r="A221" s="1">
        <v>45383</v>
      </c>
      <c r="B221" s="1" t="s">
        <v>442</v>
      </c>
      <c r="C221" s="2" t="s">
        <v>414</v>
      </c>
      <c r="D221" s="2" t="s">
        <v>279</v>
      </c>
      <c r="E221" s="2" t="s">
        <v>280</v>
      </c>
      <c r="F221" s="2" t="s">
        <v>358</v>
      </c>
      <c r="G221" s="2" t="s">
        <v>141</v>
      </c>
      <c r="H221" s="2" t="s">
        <v>415</v>
      </c>
      <c r="I221" t="s">
        <v>198</v>
      </c>
      <c r="J221" s="18">
        <v>22017.31</v>
      </c>
      <c r="K221" s="18"/>
      <c r="L221" s="18">
        <v>22047.982977332798</v>
      </c>
      <c r="M221" s="18">
        <v>-214.09609942588099</v>
      </c>
      <c r="N221" s="18"/>
      <c r="O221" s="18"/>
      <c r="P221" s="3">
        <v>0</v>
      </c>
      <c r="Q221" s="3">
        <v>0</v>
      </c>
      <c r="R221" s="3">
        <v>0</v>
      </c>
      <c r="S221" s="3"/>
      <c r="T221" s="3" t="b">
        <v>0</v>
      </c>
      <c r="U221" s="3">
        <v>3880</v>
      </c>
      <c r="V221" s="3">
        <v>0</v>
      </c>
      <c r="W221" s="3">
        <v>1378</v>
      </c>
      <c r="X221" s="3">
        <v>11.1</v>
      </c>
    </row>
    <row r="222" spans="1:24" hidden="1">
      <c r="A222" s="1">
        <v>45413</v>
      </c>
      <c r="B222" s="1" t="s">
        <v>443</v>
      </c>
      <c r="C222" s="2" t="s">
        <v>414</v>
      </c>
      <c r="D222" s="2" t="s">
        <v>279</v>
      </c>
      <c r="E222" s="2" t="s">
        <v>280</v>
      </c>
      <c r="F222" s="2" t="s">
        <v>358</v>
      </c>
      <c r="G222" s="2" t="s">
        <v>141</v>
      </c>
      <c r="H222" s="2" t="s">
        <v>415</v>
      </c>
      <c r="I222" t="s">
        <v>198</v>
      </c>
      <c r="J222" s="18">
        <v>22282.33</v>
      </c>
      <c r="K222" s="18"/>
      <c r="L222" s="18">
        <v>22092.286521750098</v>
      </c>
      <c r="M222" s="18">
        <v>243.35721759162601</v>
      </c>
      <c r="N222" s="18"/>
      <c r="O222" s="18"/>
      <c r="P222" s="3">
        <v>0</v>
      </c>
      <c r="Q222" s="3">
        <v>0</v>
      </c>
      <c r="R222" s="3">
        <v>0</v>
      </c>
      <c r="S222" s="3"/>
      <c r="T222" s="3" t="b">
        <v>0</v>
      </c>
      <c r="U222" s="3">
        <v>2852</v>
      </c>
      <c r="V222" s="3">
        <v>0</v>
      </c>
      <c r="W222" s="3">
        <v>2201</v>
      </c>
      <c r="X222" s="3">
        <v>12.2</v>
      </c>
    </row>
    <row r="223" spans="1:24" hidden="1">
      <c r="A223" s="1">
        <v>45444</v>
      </c>
      <c r="B223" s="1" t="s">
        <v>444</v>
      </c>
      <c r="C223" s="2" t="s">
        <v>414</v>
      </c>
      <c r="D223" s="2" t="s">
        <v>279</v>
      </c>
      <c r="E223" s="2" t="s">
        <v>280</v>
      </c>
      <c r="F223" s="2" t="s">
        <v>358</v>
      </c>
      <c r="G223" s="2" t="s">
        <v>141</v>
      </c>
      <c r="H223" s="2" t="s">
        <v>415</v>
      </c>
      <c r="I223" t="s">
        <v>198</v>
      </c>
      <c r="J223" s="18">
        <v>21740.13</v>
      </c>
      <c r="K223" s="18"/>
      <c r="L223" s="18">
        <v>22138.0668509813</v>
      </c>
      <c r="M223" s="18">
        <v>-193.487826473632</v>
      </c>
      <c r="N223" s="18"/>
      <c r="O223" s="18"/>
      <c r="P223" s="3">
        <v>0</v>
      </c>
      <c r="Q223" s="3">
        <v>0</v>
      </c>
      <c r="R223" s="3">
        <v>0</v>
      </c>
      <c r="S223" s="3"/>
      <c r="T223" s="3" t="b">
        <v>1</v>
      </c>
      <c r="U223" s="3">
        <v>2383</v>
      </c>
      <c r="V223" s="3">
        <v>0</v>
      </c>
      <c r="W223" s="3">
        <v>2450</v>
      </c>
      <c r="X223" s="3">
        <v>12.32</v>
      </c>
    </row>
    <row r="224" spans="1:24" hidden="1">
      <c r="A224" s="1">
        <v>45505</v>
      </c>
      <c r="B224" s="1" t="s">
        <v>445</v>
      </c>
      <c r="C224" s="2" t="s">
        <v>414</v>
      </c>
      <c r="D224" s="2" t="s">
        <v>279</v>
      </c>
      <c r="E224" s="2" t="s">
        <v>280</v>
      </c>
      <c r="F224" s="2" t="s">
        <v>358</v>
      </c>
      <c r="G224" s="2" t="s">
        <v>141</v>
      </c>
      <c r="H224" s="2" t="s">
        <v>415</v>
      </c>
      <c r="I224" t="s">
        <v>198</v>
      </c>
      <c r="J224" s="18">
        <v>22267.39</v>
      </c>
      <c r="K224" s="18">
        <v>22245.27</v>
      </c>
      <c r="L224" s="18">
        <v>22228.150724629701</v>
      </c>
      <c r="M224" s="18">
        <v>170.19757515181701</v>
      </c>
      <c r="N224" s="18">
        <v>22445.27</v>
      </c>
      <c r="O224" s="18">
        <v>22045.27</v>
      </c>
      <c r="P224" s="3">
        <v>0</v>
      </c>
      <c r="Q224" s="3">
        <v>0</v>
      </c>
      <c r="R224" s="3">
        <v>0</v>
      </c>
      <c r="S224" s="3"/>
      <c r="T224" s="3" t="b">
        <v>0</v>
      </c>
      <c r="U224" s="3">
        <v>4492</v>
      </c>
      <c r="V224" s="3">
        <v>1</v>
      </c>
      <c r="W224" s="3">
        <v>1708</v>
      </c>
      <c r="X224" s="3">
        <v>3</v>
      </c>
    </row>
    <row r="225" spans="1:24" hidden="1">
      <c r="A225" s="1">
        <v>45536</v>
      </c>
      <c r="B225" s="1" t="s">
        <v>446</v>
      </c>
      <c r="C225" s="2" t="s">
        <v>414</v>
      </c>
      <c r="D225" s="2" t="s">
        <v>279</v>
      </c>
      <c r="E225" s="2" t="s">
        <v>280</v>
      </c>
      <c r="F225" s="2" t="s">
        <v>358</v>
      </c>
      <c r="G225" s="2" t="s">
        <v>141</v>
      </c>
      <c r="H225" s="2" t="s">
        <v>415</v>
      </c>
      <c r="I225" t="s">
        <v>198</v>
      </c>
      <c r="J225" s="18">
        <v>22668.6</v>
      </c>
      <c r="K225" s="18">
        <v>22584.57</v>
      </c>
      <c r="L225" s="18">
        <v>22273.931053860899</v>
      </c>
      <c r="M225" s="18">
        <v>270.44316262710902</v>
      </c>
      <c r="N225" s="18">
        <v>22784.57</v>
      </c>
      <c r="O225" s="18">
        <v>22384.57</v>
      </c>
      <c r="P225" s="3">
        <v>0</v>
      </c>
      <c r="Q225" s="3">
        <v>0</v>
      </c>
      <c r="R225" s="3">
        <v>0</v>
      </c>
      <c r="S225" s="3"/>
      <c r="T225" s="3" t="b">
        <v>0</v>
      </c>
      <c r="U225" s="3">
        <v>2424</v>
      </c>
      <c r="V225" s="3">
        <v>0</v>
      </c>
      <c r="W225" s="3">
        <v>1306</v>
      </c>
      <c r="X225" s="3">
        <v>11.68</v>
      </c>
    </row>
    <row r="226" spans="1:24" hidden="1">
      <c r="A226" s="1">
        <v>45566</v>
      </c>
      <c r="B226" s="1" t="s">
        <v>447</v>
      </c>
      <c r="C226" s="2" t="s">
        <v>414</v>
      </c>
      <c r="D226" s="2" t="s">
        <v>279</v>
      </c>
      <c r="E226" s="2" t="s">
        <v>280</v>
      </c>
      <c r="F226" s="2" t="s">
        <v>358</v>
      </c>
      <c r="G226" s="2" t="s">
        <v>141</v>
      </c>
      <c r="H226" s="2" t="s">
        <v>415</v>
      </c>
      <c r="I226" t="s">
        <v>224</v>
      </c>
      <c r="J226" s="18"/>
      <c r="K226" s="18">
        <v>22566.21</v>
      </c>
      <c r="L226" s="18">
        <v>22318.234598278101</v>
      </c>
      <c r="M226" s="18">
        <v>-83.537190339276194</v>
      </c>
      <c r="N226" s="18">
        <v>22766.21</v>
      </c>
      <c r="O226" s="18">
        <v>22366.21</v>
      </c>
      <c r="P226" s="3"/>
      <c r="Q226" s="3"/>
      <c r="R226" s="3"/>
      <c r="S226" s="3"/>
      <c r="T226" s="3"/>
      <c r="U226" s="3"/>
      <c r="V226" s="3"/>
      <c r="W226" s="3">
        <v>1778</v>
      </c>
      <c r="X226" s="3">
        <v>12.2</v>
      </c>
    </row>
    <row r="227" spans="1:24" hidden="1">
      <c r="A227" s="1">
        <v>45597</v>
      </c>
      <c r="B227" s="1" t="s">
        <v>448</v>
      </c>
      <c r="C227" s="2" t="s">
        <v>414</v>
      </c>
      <c r="D227" s="2" t="s">
        <v>279</v>
      </c>
      <c r="E227" s="2" t="s">
        <v>280</v>
      </c>
      <c r="F227" s="2" t="s">
        <v>358</v>
      </c>
      <c r="G227" s="2" t="s">
        <v>141</v>
      </c>
      <c r="H227" s="2" t="s">
        <v>415</v>
      </c>
      <c r="I227" t="s">
        <v>224</v>
      </c>
      <c r="J227" s="18"/>
      <c r="K227" s="18">
        <v>23250.85</v>
      </c>
      <c r="L227" s="18">
        <v>22364.014927509299</v>
      </c>
      <c r="M227" s="18">
        <v>-26.763156082255001</v>
      </c>
      <c r="N227" s="18">
        <v>23450.85</v>
      </c>
      <c r="O227" s="18">
        <v>23050.85</v>
      </c>
      <c r="P227" s="3"/>
      <c r="Q227" s="3"/>
      <c r="R227" s="3"/>
      <c r="S227" s="3"/>
      <c r="T227" s="3"/>
      <c r="U227" s="3"/>
      <c r="V227" s="3"/>
      <c r="W227" s="3">
        <v>1503</v>
      </c>
      <c r="X227" s="3">
        <v>14.1</v>
      </c>
    </row>
    <row r="228" spans="1:24" hidden="1">
      <c r="A228" s="1">
        <v>44593</v>
      </c>
      <c r="B228" s="1" t="s">
        <v>449</v>
      </c>
      <c r="C228" s="2" t="s">
        <v>450</v>
      </c>
      <c r="D228" s="2" t="s">
        <v>279</v>
      </c>
      <c r="E228" s="2" t="s">
        <v>280</v>
      </c>
      <c r="F228" s="2" t="s">
        <v>451</v>
      </c>
      <c r="G228" s="2" t="s">
        <v>282</v>
      </c>
      <c r="H228" s="2" t="s">
        <v>452</v>
      </c>
      <c r="I228" t="s">
        <v>198</v>
      </c>
      <c r="J228" s="18">
        <v>14456.3</v>
      </c>
      <c r="K228" s="18"/>
      <c r="L228" s="18">
        <v>14096.248624260001</v>
      </c>
      <c r="M228" s="18">
        <v>131.13335137659399</v>
      </c>
      <c r="N228" s="18"/>
      <c r="O228" s="18"/>
      <c r="P228" s="3">
        <v>0</v>
      </c>
      <c r="Q228" s="3">
        <v>0</v>
      </c>
      <c r="R228" s="3">
        <v>0</v>
      </c>
      <c r="S228" s="3"/>
      <c r="T228" s="3" t="b">
        <v>0</v>
      </c>
      <c r="U228" s="3">
        <v>4277</v>
      </c>
      <c r="V228" s="3">
        <v>0</v>
      </c>
      <c r="W228" s="3">
        <v>1302</v>
      </c>
      <c r="X228" s="3">
        <v>11.66</v>
      </c>
    </row>
    <row r="229" spans="1:24" hidden="1">
      <c r="A229" s="1">
        <v>44621</v>
      </c>
      <c r="B229" s="1" t="s">
        <v>453</v>
      </c>
      <c r="C229" s="2" t="s">
        <v>450</v>
      </c>
      <c r="D229" s="2" t="s">
        <v>279</v>
      </c>
      <c r="E229" s="2" t="s">
        <v>280</v>
      </c>
      <c r="F229" s="2" t="s">
        <v>451</v>
      </c>
      <c r="G229" s="2" t="s">
        <v>282</v>
      </c>
      <c r="H229" s="2" t="s">
        <v>452</v>
      </c>
      <c r="I229" t="s">
        <v>198</v>
      </c>
      <c r="J229" s="18">
        <v>13971.11</v>
      </c>
      <c r="K229" s="18"/>
      <c r="L229" s="18">
        <v>14130.810049711101</v>
      </c>
      <c r="M229" s="18">
        <v>-67.920330111320396</v>
      </c>
      <c r="N229" s="18"/>
      <c r="O229" s="18"/>
      <c r="P229" s="3">
        <v>0</v>
      </c>
      <c r="Q229" s="3">
        <v>0</v>
      </c>
      <c r="R229" s="3">
        <v>0</v>
      </c>
      <c r="S229" s="3"/>
      <c r="T229" s="3" t="b">
        <v>0</v>
      </c>
      <c r="U229" s="3">
        <v>2181</v>
      </c>
      <c r="V229" s="3">
        <v>0</v>
      </c>
      <c r="W229" s="3">
        <v>1261</v>
      </c>
      <c r="X229" s="3">
        <v>10.220000000000001</v>
      </c>
    </row>
    <row r="230" spans="1:24" hidden="1">
      <c r="A230" s="1">
        <v>44652</v>
      </c>
      <c r="B230" s="1" t="s">
        <v>454</v>
      </c>
      <c r="C230" s="2" t="s">
        <v>450</v>
      </c>
      <c r="D230" s="2" t="s">
        <v>279</v>
      </c>
      <c r="E230" s="2" t="s">
        <v>280</v>
      </c>
      <c r="F230" s="2" t="s">
        <v>451</v>
      </c>
      <c r="G230" s="2" t="s">
        <v>282</v>
      </c>
      <c r="H230" s="2" t="s">
        <v>452</v>
      </c>
      <c r="I230" t="s">
        <v>198</v>
      </c>
      <c r="J230" s="18">
        <v>14463.73</v>
      </c>
      <c r="K230" s="18"/>
      <c r="L230" s="18">
        <v>14169.0744851904</v>
      </c>
      <c r="M230" s="18">
        <v>171.15030659572199</v>
      </c>
      <c r="N230" s="18"/>
      <c r="O230" s="18"/>
      <c r="P230" s="3">
        <v>0</v>
      </c>
      <c r="Q230" s="3">
        <v>0</v>
      </c>
      <c r="R230" s="3">
        <v>0</v>
      </c>
      <c r="S230" s="3"/>
      <c r="T230" s="3" t="b">
        <v>0</v>
      </c>
      <c r="U230" s="3">
        <v>3341</v>
      </c>
      <c r="V230" s="3">
        <v>1</v>
      </c>
      <c r="W230" s="3">
        <v>1783</v>
      </c>
      <c r="X230" s="3">
        <v>11.8</v>
      </c>
    </row>
    <row r="231" spans="1:24" hidden="1">
      <c r="A231" s="1">
        <v>44682</v>
      </c>
      <c r="B231" s="1" t="s">
        <v>455</v>
      </c>
      <c r="C231" s="2" t="s">
        <v>450</v>
      </c>
      <c r="D231" s="2" t="s">
        <v>279</v>
      </c>
      <c r="E231" s="2" t="s">
        <v>280</v>
      </c>
      <c r="F231" s="2" t="s">
        <v>451</v>
      </c>
      <c r="G231" s="2" t="s">
        <v>282</v>
      </c>
      <c r="H231" s="2" t="s">
        <v>452</v>
      </c>
      <c r="I231" t="s">
        <v>198</v>
      </c>
      <c r="J231" s="18">
        <v>14410.6</v>
      </c>
      <c r="K231" s="18"/>
      <c r="L231" s="18">
        <v>14206.1045844401</v>
      </c>
      <c r="M231" s="18">
        <v>130.038933195949</v>
      </c>
      <c r="N231" s="18"/>
      <c r="O231" s="18"/>
      <c r="P231" s="3">
        <v>0</v>
      </c>
      <c r="Q231" s="3">
        <v>0</v>
      </c>
      <c r="R231" s="3">
        <v>0</v>
      </c>
      <c r="S231" s="3"/>
      <c r="T231" s="3" t="b">
        <v>1</v>
      </c>
      <c r="U231" s="3">
        <v>2209</v>
      </c>
      <c r="V231" s="3">
        <v>2</v>
      </c>
      <c r="W231" s="3">
        <v>2223</v>
      </c>
      <c r="X231" s="3">
        <v>10.94</v>
      </c>
    </row>
    <row r="232" spans="1:24" hidden="1">
      <c r="A232" s="1">
        <v>44713</v>
      </c>
      <c r="B232" s="1" t="s">
        <v>456</v>
      </c>
      <c r="C232" s="2" t="s">
        <v>450</v>
      </c>
      <c r="D232" s="2" t="s">
        <v>279</v>
      </c>
      <c r="E232" s="2" t="s">
        <v>280</v>
      </c>
      <c r="F232" s="2" t="s">
        <v>451</v>
      </c>
      <c r="G232" s="2" t="s">
        <v>282</v>
      </c>
      <c r="H232" s="2" t="s">
        <v>452</v>
      </c>
      <c r="I232" t="s">
        <v>198</v>
      </c>
      <c r="J232" s="18">
        <v>14692.4</v>
      </c>
      <c r="K232" s="18"/>
      <c r="L232" s="18">
        <v>14244.369020144601</v>
      </c>
      <c r="M232" s="18">
        <v>-120.02267513385399</v>
      </c>
      <c r="N232" s="18"/>
      <c r="O232" s="18"/>
      <c r="P232" s="3">
        <v>0</v>
      </c>
      <c r="Q232" s="3">
        <v>0</v>
      </c>
      <c r="R232" s="3">
        <v>0</v>
      </c>
      <c r="S232" s="3"/>
      <c r="T232" s="3" t="b">
        <v>0</v>
      </c>
      <c r="U232" s="3">
        <v>3415</v>
      </c>
      <c r="V232" s="3">
        <v>0</v>
      </c>
      <c r="W232" s="3">
        <v>2263</v>
      </c>
      <c r="X232" s="3">
        <v>11.52</v>
      </c>
    </row>
    <row r="233" spans="1:24" hidden="1">
      <c r="A233" s="1">
        <v>44743</v>
      </c>
      <c r="B233" s="1" t="s">
        <v>457</v>
      </c>
      <c r="C233" s="2" t="s">
        <v>450</v>
      </c>
      <c r="D233" s="2" t="s">
        <v>279</v>
      </c>
      <c r="E233" s="2" t="s">
        <v>280</v>
      </c>
      <c r="F233" s="2" t="s">
        <v>451</v>
      </c>
      <c r="G233" s="2" t="s">
        <v>282</v>
      </c>
      <c r="H233" s="2" t="s">
        <v>452</v>
      </c>
      <c r="I233" t="s">
        <v>198</v>
      </c>
      <c r="J233" s="18">
        <v>14527.58</v>
      </c>
      <c r="K233" s="18"/>
      <c r="L233" s="18">
        <v>14281.399119437399</v>
      </c>
      <c r="M233" s="18">
        <v>-263.28344531893998</v>
      </c>
      <c r="N233" s="18"/>
      <c r="O233" s="18"/>
      <c r="P233" s="3">
        <v>0</v>
      </c>
      <c r="Q233" s="3">
        <v>0</v>
      </c>
      <c r="R233" s="3">
        <v>0</v>
      </c>
      <c r="S233" s="3"/>
      <c r="T233" s="3" t="b">
        <v>0</v>
      </c>
      <c r="U233" s="3">
        <v>4143</v>
      </c>
      <c r="V233" s="3">
        <v>0</v>
      </c>
      <c r="W233" s="3">
        <v>1913</v>
      </c>
      <c r="X233" s="3">
        <v>9.98</v>
      </c>
    </row>
    <row r="234" spans="1:24" hidden="1">
      <c r="A234" s="1">
        <v>44774</v>
      </c>
      <c r="B234" s="1" t="s">
        <v>458</v>
      </c>
      <c r="C234" s="2" t="s">
        <v>450</v>
      </c>
      <c r="D234" s="2" t="s">
        <v>279</v>
      </c>
      <c r="E234" s="2" t="s">
        <v>280</v>
      </c>
      <c r="F234" s="2" t="s">
        <v>451</v>
      </c>
      <c r="G234" s="2" t="s">
        <v>282</v>
      </c>
      <c r="H234" s="2" t="s">
        <v>452</v>
      </c>
      <c r="I234" t="s">
        <v>198</v>
      </c>
      <c r="J234" s="18">
        <v>14210.77</v>
      </c>
      <c r="K234" s="18"/>
      <c r="L234" s="18">
        <v>14319.663555674701</v>
      </c>
      <c r="M234" s="18">
        <v>-128.394601604255</v>
      </c>
      <c r="N234" s="18"/>
      <c r="O234" s="18"/>
      <c r="P234" s="3">
        <v>0</v>
      </c>
      <c r="Q234" s="3">
        <v>0</v>
      </c>
      <c r="R234" s="3">
        <v>0</v>
      </c>
      <c r="S234" s="3"/>
      <c r="T234" s="3" t="b">
        <v>0</v>
      </c>
      <c r="U234" s="3">
        <v>2893</v>
      </c>
      <c r="V234" s="3">
        <v>1</v>
      </c>
      <c r="W234" s="3">
        <v>1691</v>
      </c>
      <c r="X234" s="3">
        <v>8.73</v>
      </c>
    </row>
    <row r="235" spans="1:24" hidden="1">
      <c r="A235" s="1">
        <v>44805</v>
      </c>
      <c r="B235" s="1" t="s">
        <v>459</v>
      </c>
      <c r="C235" s="2" t="s">
        <v>450</v>
      </c>
      <c r="D235" s="2" t="s">
        <v>279</v>
      </c>
      <c r="E235" s="2" t="s">
        <v>280</v>
      </c>
      <c r="F235" s="2" t="s">
        <v>451</v>
      </c>
      <c r="G235" s="2" t="s">
        <v>282</v>
      </c>
      <c r="H235" s="2" t="s">
        <v>452</v>
      </c>
      <c r="I235" t="s">
        <v>198</v>
      </c>
      <c r="J235" s="18">
        <v>14169.81</v>
      </c>
      <c r="K235" s="18"/>
      <c r="L235" s="18">
        <v>14357.929948049399</v>
      </c>
      <c r="M235" s="18">
        <v>33.250802410011097</v>
      </c>
      <c r="N235" s="18"/>
      <c r="O235" s="18"/>
      <c r="P235" s="3">
        <v>0</v>
      </c>
      <c r="Q235" s="3">
        <v>0</v>
      </c>
      <c r="R235" s="3">
        <v>0</v>
      </c>
      <c r="S235" s="3"/>
      <c r="T235" s="3" t="b">
        <v>0</v>
      </c>
      <c r="U235" s="3">
        <v>3881</v>
      </c>
      <c r="V235" s="3">
        <v>0</v>
      </c>
      <c r="W235" s="3">
        <v>1943</v>
      </c>
      <c r="X235" s="3">
        <v>11.83</v>
      </c>
    </row>
    <row r="236" spans="1:24" hidden="1">
      <c r="A236" s="1">
        <v>44835</v>
      </c>
      <c r="B236" s="1" t="s">
        <v>460</v>
      </c>
      <c r="C236" s="2" t="s">
        <v>450</v>
      </c>
      <c r="D236" s="2" t="s">
        <v>279</v>
      </c>
      <c r="E236" s="2" t="s">
        <v>280</v>
      </c>
      <c r="F236" s="2" t="s">
        <v>451</v>
      </c>
      <c r="G236" s="2" t="s">
        <v>282</v>
      </c>
      <c r="H236" s="2" t="s">
        <v>452</v>
      </c>
      <c r="I236" t="s">
        <v>198</v>
      </c>
      <c r="J236" s="18">
        <v>14066.26</v>
      </c>
      <c r="K236" s="18"/>
      <c r="L236" s="18">
        <v>14394.9623535928</v>
      </c>
      <c r="M236" s="18">
        <v>46.576927389228203</v>
      </c>
      <c r="N236" s="18"/>
      <c r="O236" s="18"/>
      <c r="P236" s="3">
        <v>0</v>
      </c>
      <c r="Q236" s="3">
        <v>0</v>
      </c>
      <c r="R236" s="3">
        <v>0</v>
      </c>
      <c r="S236" s="3"/>
      <c r="T236" s="3" t="b">
        <v>0</v>
      </c>
      <c r="U236" s="3">
        <v>4803</v>
      </c>
      <c r="V236" s="3">
        <v>0</v>
      </c>
      <c r="W236" s="3">
        <v>1682</v>
      </c>
      <c r="X236" s="3">
        <v>12.38</v>
      </c>
    </row>
    <row r="237" spans="1:24" hidden="1">
      <c r="A237" s="1">
        <v>44866</v>
      </c>
      <c r="B237" s="1" t="s">
        <v>461</v>
      </c>
      <c r="C237" s="2" t="s">
        <v>450</v>
      </c>
      <c r="D237" s="2" t="s">
        <v>279</v>
      </c>
      <c r="E237" s="2" t="s">
        <v>280</v>
      </c>
      <c r="F237" s="2" t="s">
        <v>451</v>
      </c>
      <c r="G237" s="2" t="s">
        <v>282</v>
      </c>
      <c r="H237" s="2" t="s">
        <v>452</v>
      </c>
      <c r="I237" t="s">
        <v>198</v>
      </c>
      <c r="J237" s="18">
        <v>14373.19</v>
      </c>
      <c r="K237" s="18"/>
      <c r="L237" s="18">
        <v>14433.3789107962</v>
      </c>
      <c r="M237" s="18">
        <v>207.23895970344401</v>
      </c>
      <c r="N237" s="18"/>
      <c r="O237" s="18"/>
      <c r="P237" s="3">
        <v>0</v>
      </c>
      <c r="Q237" s="3">
        <v>0</v>
      </c>
      <c r="R237" s="3">
        <v>0</v>
      </c>
      <c r="S237" s="3"/>
      <c r="T237" s="3" t="b">
        <v>0</v>
      </c>
      <c r="U237" s="3">
        <v>3109</v>
      </c>
      <c r="V237" s="3">
        <v>0</v>
      </c>
      <c r="W237" s="3">
        <v>2318</v>
      </c>
      <c r="X237" s="3">
        <v>10.65</v>
      </c>
    </row>
    <row r="238" spans="1:24" hidden="1">
      <c r="A238" s="1">
        <v>44896</v>
      </c>
      <c r="B238" s="1" t="s">
        <v>462</v>
      </c>
      <c r="C238" s="2" t="s">
        <v>450</v>
      </c>
      <c r="D238" s="2" t="s">
        <v>279</v>
      </c>
      <c r="E238" s="2" t="s">
        <v>280</v>
      </c>
      <c r="F238" s="2" t="s">
        <v>451</v>
      </c>
      <c r="G238" s="2" t="s">
        <v>282</v>
      </c>
      <c r="H238" s="2" t="s">
        <v>452</v>
      </c>
      <c r="I238" t="s">
        <v>198</v>
      </c>
      <c r="J238" s="18">
        <v>14262.65</v>
      </c>
      <c r="K238" s="18"/>
      <c r="L238" s="18">
        <v>14470.732865926</v>
      </c>
      <c r="M238" s="18">
        <v>-182.17919849344</v>
      </c>
      <c r="N238" s="18"/>
      <c r="O238" s="18"/>
      <c r="P238" s="3">
        <v>0</v>
      </c>
      <c r="Q238" s="3">
        <v>0</v>
      </c>
      <c r="R238" s="3">
        <v>0</v>
      </c>
      <c r="S238" s="3"/>
      <c r="T238" s="3" t="b">
        <v>0</v>
      </c>
      <c r="U238" s="3">
        <v>4462</v>
      </c>
      <c r="V238" s="3">
        <v>0</v>
      </c>
      <c r="W238" s="3">
        <v>2535</v>
      </c>
      <c r="X238" s="3">
        <v>10.51</v>
      </c>
    </row>
    <row r="239" spans="1:24" hidden="1">
      <c r="A239" s="1">
        <v>44927</v>
      </c>
      <c r="B239" s="1" t="s">
        <v>463</v>
      </c>
      <c r="C239" s="2" t="s">
        <v>450</v>
      </c>
      <c r="D239" s="2" t="s">
        <v>279</v>
      </c>
      <c r="E239" s="2" t="s">
        <v>280</v>
      </c>
      <c r="F239" s="2" t="s">
        <v>451</v>
      </c>
      <c r="G239" s="2" t="s">
        <v>282</v>
      </c>
      <c r="H239" s="2" t="s">
        <v>452</v>
      </c>
      <c r="I239" t="s">
        <v>198</v>
      </c>
      <c r="J239" s="18">
        <v>13887.48</v>
      </c>
      <c r="K239" s="18"/>
      <c r="L239" s="18">
        <v>14509.6371456789</v>
      </c>
      <c r="M239" s="18">
        <v>-70.103298973089295</v>
      </c>
      <c r="N239" s="18"/>
      <c r="O239" s="18"/>
      <c r="P239" s="3">
        <v>0</v>
      </c>
      <c r="Q239" s="3">
        <v>0</v>
      </c>
      <c r="R239" s="3">
        <v>0</v>
      </c>
      <c r="S239" s="3"/>
      <c r="T239" s="3" t="b">
        <v>0</v>
      </c>
      <c r="U239" s="3">
        <v>4026</v>
      </c>
      <c r="V239" s="3">
        <v>0</v>
      </c>
      <c r="W239" s="3">
        <v>1688</v>
      </c>
      <c r="X239" s="3">
        <v>10.31</v>
      </c>
    </row>
    <row r="240" spans="1:24" hidden="1">
      <c r="A240" s="1">
        <v>44958</v>
      </c>
      <c r="B240" s="1" t="s">
        <v>464</v>
      </c>
      <c r="C240" s="2" t="s">
        <v>450</v>
      </c>
      <c r="D240" s="2" t="s">
        <v>279</v>
      </c>
      <c r="E240" s="2" t="s">
        <v>280</v>
      </c>
      <c r="F240" s="2" t="s">
        <v>451</v>
      </c>
      <c r="G240" s="2" t="s">
        <v>282</v>
      </c>
      <c r="H240" s="2" t="s">
        <v>452</v>
      </c>
      <c r="I240" t="s">
        <v>198</v>
      </c>
      <c r="J240" s="18">
        <v>14199.71</v>
      </c>
      <c r="K240" s="18"/>
      <c r="L240" s="18">
        <v>14548.936183166699</v>
      </c>
      <c r="M240" s="18">
        <v>151.61051945365</v>
      </c>
      <c r="N240" s="18"/>
      <c r="O240" s="18"/>
      <c r="P240" s="3">
        <v>0</v>
      </c>
      <c r="Q240" s="3">
        <v>0</v>
      </c>
      <c r="R240" s="3">
        <v>0</v>
      </c>
      <c r="S240" s="3"/>
      <c r="T240" s="3" t="b">
        <v>1</v>
      </c>
      <c r="U240" s="3">
        <v>2393</v>
      </c>
      <c r="V240" s="3">
        <v>0</v>
      </c>
      <c r="W240" s="3">
        <v>2904</v>
      </c>
      <c r="X240" s="3">
        <v>10.98</v>
      </c>
    </row>
    <row r="241" spans="1:24" hidden="1">
      <c r="A241" s="1">
        <v>44986</v>
      </c>
      <c r="B241" s="1" t="s">
        <v>465</v>
      </c>
      <c r="C241" s="2" t="s">
        <v>450</v>
      </c>
      <c r="D241" s="2" t="s">
        <v>279</v>
      </c>
      <c r="E241" s="2" t="s">
        <v>280</v>
      </c>
      <c r="F241" s="2" t="s">
        <v>451</v>
      </c>
      <c r="G241" s="2" t="s">
        <v>282</v>
      </c>
      <c r="H241" s="2" t="s">
        <v>452</v>
      </c>
      <c r="I241" t="s">
        <v>198</v>
      </c>
      <c r="J241" s="18">
        <v>13987.61</v>
      </c>
      <c r="K241" s="18"/>
      <c r="L241" s="18">
        <v>14584.8550673026</v>
      </c>
      <c r="M241" s="18">
        <v>-86.3599253310649</v>
      </c>
      <c r="N241" s="18"/>
      <c r="O241" s="18"/>
      <c r="P241" s="3">
        <v>0</v>
      </c>
      <c r="Q241" s="3">
        <v>0</v>
      </c>
      <c r="R241" s="3">
        <v>0</v>
      </c>
      <c r="S241" s="3"/>
      <c r="T241" s="3" t="b">
        <v>0</v>
      </c>
      <c r="U241" s="3">
        <v>4743</v>
      </c>
      <c r="V241" s="3">
        <v>0</v>
      </c>
      <c r="W241" s="3">
        <v>1395</v>
      </c>
      <c r="X241" s="3">
        <v>10.73</v>
      </c>
    </row>
    <row r="242" spans="1:24" hidden="1">
      <c r="A242" s="1">
        <v>45017</v>
      </c>
      <c r="B242" s="1" t="s">
        <v>466</v>
      </c>
      <c r="C242" s="2" t="s">
        <v>450</v>
      </c>
      <c r="D242" s="2" t="s">
        <v>279</v>
      </c>
      <c r="E242" s="2" t="s">
        <v>280</v>
      </c>
      <c r="F242" s="2" t="s">
        <v>451</v>
      </c>
      <c r="G242" s="2" t="s">
        <v>282</v>
      </c>
      <c r="H242" s="2" t="s">
        <v>452</v>
      </c>
      <c r="I242" t="s">
        <v>198</v>
      </c>
      <c r="J242" s="18">
        <v>14085.65</v>
      </c>
      <c r="K242" s="18"/>
      <c r="L242" s="18">
        <v>14625.020068256799</v>
      </c>
      <c r="M242" s="18">
        <v>188.84552199452699</v>
      </c>
      <c r="N242" s="18"/>
      <c r="O242" s="18"/>
      <c r="P242" s="3">
        <v>0</v>
      </c>
      <c r="Q242" s="3">
        <v>0</v>
      </c>
      <c r="R242" s="3">
        <v>0</v>
      </c>
      <c r="S242" s="3"/>
      <c r="T242" s="3" t="b">
        <v>0</v>
      </c>
      <c r="U242" s="3">
        <v>2843</v>
      </c>
      <c r="V242" s="3">
        <v>1</v>
      </c>
      <c r="W242" s="3">
        <v>2772</v>
      </c>
      <c r="X242" s="3">
        <v>10.16</v>
      </c>
    </row>
    <row r="243" spans="1:24" hidden="1">
      <c r="A243" s="1">
        <v>45047</v>
      </c>
      <c r="B243" s="1" t="s">
        <v>467</v>
      </c>
      <c r="C243" s="2" t="s">
        <v>450</v>
      </c>
      <c r="D243" s="2" t="s">
        <v>279</v>
      </c>
      <c r="E243" s="2" t="s">
        <v>280</v>
      </c>
      <c r="F243" s="2" t="s">
        <v>451</v>
      </c>
      <c r="G243" s="2" t="s">
        <v>282</v>
      </c>
      <c r="H243" s="2" t="s">
        <v>452</v>
      </c>
      <c r="I243" t="s">
        <v>198</v>
      </c>
      <c r="J243" s="18">
        <v>14341</v>
      </c>
      <c r="K243" s="18"/>
      <c r="L243" s="18">
        <v>14664.0186557379</v>
      </c>
      <c r="M243" s="18">
        <v>111.979434322947</v>
      </c>
      <c r="N243" s="18"/>
      <c r="O243" s="18"/>
      <c r="P243" s="3">
        <v>0</v>
      </c>
      <c r="Q243" s="3">
        <v>0</v>
      </c>
      <c r="R243" s="3">
        <v>0</v>
      </c>
      <c r="S243" s="3"/>
      <c r="T243" s="3" t="b">
        <v>0</v>
      </c>
      <c r="U243" s="3">
        <v>3524</v>
      </c>
      <c r="V243" s="3">
        <v>0</v>
      </c>
      <c r="W243" s="3">
        <v>2161</v>
      </c>
      <c r="X243" s="3">
        <v>9.49</v>
      </c>
    </row>
    <row r="244" spans="1:24" hidden="1">
      <c r="A244" s="1">
        <v>45078</v>
      </c>
      <c r="B244" s="1" t="s">
        <v>468</v>
      </c>
      <c r="C244" s="2" t="s">
        <v>450</v>
      </c>
      <c r="D244" s="2" t="s">
        <v>279</v>
      </c>
      <c r="E244" s="2" t="s">
        <v>280</v>
      </c>
      <c r="F244" s="2" t="s">
        <v>451</v>
      </c>
      <c r="G244" s="2" t="s">
        <v>282</v>
      </c>
      <c r="H244" s="2" t="s">
        <v>452</v>
      </c>
      <c r="I244" t="s">
        <v>198</v>
      </c>
      <c r="J244" s="18">
        <v>14597.84</v>
      </c>
      <c r="K244" s="18"/>
      <c r="L244" s="18">
        <v>14704.3862827468</v>
      </c>
      <c r="M244" s="18">
        <v>-97.861149921084603</v>
      </c>
      <c r="N244" s="18"/>
      <c r="O244" s="18"/>
      <c r="P244" s="3">
        <v>0</v>
      </c>
      <c r="Q244" s="3">
        <v>0</v>
      </c>
      <c r="R244" s="3">
        <v>0</v>
      </c>
      <c r="S244" s="3"/>
      <c r="T244" s="3" t="b">
        <v>0</v>
      </c>
      <c r="U244" s="3">
        <v>2603</v>
      </c>
      <c r="V244" s="3">
        <v>1</v>
      </c>
      <c r="W244" s="3">
        <v>1838</v>
      </c>
      <c r="X244" s="3">
        <v>12.48</v>
      </c>
    </row>
    <row r="245" spans="1:24" hidden="1">
      <c r="A245" s="1">
        <v>45108</v>
      </c>
      <c r="B245" s="1" t="s">
        <v>469</v>
      </c>
      <c r="C245" s="2" t="s">
        <v>450</v>
      </c>
      <c r="D245" s="2" t="s">
        <v>279</v>
      </c>
      <c r="E245" s="2" t="s">
        <v>280</v>
      </c>
      <c r="F245" s="2" t="s">
        <v>451</v>
      </c>
      <c r="G245" s="2" t="s">
        <v>282</v>
      </c>
      <c r="H245" s="2" t="s">
        <v>452</v>
      </c>
      <c r="I245" t="s">
        <v>198</v>
      </c>
      <c r="J245" s="18">
        <v>14652.47</v>
      </c>
      <c r="K245" s="18"/>
      <c r="L245" s="18">
        <v>14743.4517283884</v>
      </c>
      <c r="M245" s="18">
        <v>-283.72278260335798</v>
      </c>
      <c r="N245" s="18"/>
      <c r="O245" s="18"/>
      <c r="P245" s="3">
        <v>0</v>
      </c>
      <c r="Q245" s="3">
        <v>0</v>
      </c>
      <c r="R245" s="3">
        <v>0</v>
      </c>
      <c r="S245" s="3"/>
      <c r="T245" s="3" t="b">
        <v>0</v>
      </c>
      <c r="U245" s="3">
        <v>2581</v>
      </c>
      <c r="V245" s="3">
        <v>0</v>
      </c>
      <c r="W245" s="3">
        <v>1877</v>
      </c>
      <c r="X245" s="3">
        <v>10.9</v>
      </c>
    </row>
    <row r="246" spans="1:24" hidden="1">
      <c r="A246" s="1">
        <v>45139</v>
      </c>
      <c r="B246" s="1" t="s">
        <v>470</v>
      </c>
      <c r="C246" s="2" t="s">
        <v>450</v>
      </c>
      <c r="D246" s="2" t="s">
        <v>279</v>
      </c>
      <c r="E246" s="2" t="s">
        <v>280</v>
      </c>
      <c r="F246" s="2" t="s">
        <v>451</v>
      </c>
      <c r="G246" s="2" t="s">
        <v>282</v>
      </c>
      <c r="H246" s="2" t="s">
        <v>452</v>
      </c>
      <c r="I246" t="s">
        <v>198</v>
      </c>
      <c r="J246" s="18">
        <v>14979.23</v>
      </c>
      <c r="K246" s="18"/>
      <c r="L246" s="18">
        <v>14783.819355187599</v>
      </c>
      <c r="M246" s="18">
        <v>-109.14552692971699</v>
      </c>
      <c r="N246" s="18"/>
      <c r="O246" s="18"/>
      <c r="P246" s="3">
        <v>0</v>
      </c>
      <c r="Q246" s="3">
        <v>0</v>
      </c>
      <c r="R246" s="3">
        <v>0</v>
      </c>
      <c r="S246" s="3"/>
      <c r="T246" s="3" t="b">
        <v>0</v>
      </c>
      <c r="U246" s="3">
        <v>4042</v>
      </c>
      <c r="V246" s="3">
        <v>0</v>
      </c>
      <c r="W246" s="3">
        <v>1822</v>
      </c>
      <c r="X246" s="3">
        <v>10.32</v>
      </c>
    </row>
    <row r="247" spans="1:24" hidden="1">
      <c r="A247" s="1">
        <v>45170</v>
      </c>
      <c r="B247" s="1" t="s">
        <v>471</v>
      </c>
      <c r="C247" s="2" t="s">
        <v>450</v>
      </c>
      <c r="D247" s="2" t="s">
        <v>279</v>
      </c>
      <c r="E247" s="2" t="s">
        <v>280</v>
      </c>
      <c r="F247" s="2" t="s">
        <v>451</v>
      </c>
      <c r="G247" s="2" t="s">
        <v>282</v>
      </c>
      <c r="H247" s="2" t="s">
        <v>452</v>
      </c>
      <c r="I247" t="s">
        <v>198</v>
      </c>
      <c r="J247" s="18">
        <v>15310.91</v>
      </c>
      <c r="K247" s="18"/>
      <c r="L247" s="18">
        <v>14824.186982013</v>
      </c>
      <c r="M247" s="18">
        <v>12.332806074816901</v>
      </c>
      <c r="N247" s="18"/>
      <c r="O247" s="18"/>
      <c r="P247" s="3">
        <v>0</v>
      </c>
      <c r="Q247" s="3">
        <v>0</v>
      </c>
      <c r="R247" s="3">
        <v>0</v>
      </c>
      <c r="S247" s="3"/>
      <c r="T247" s="3" t="b">
        <v>0</v>
      </c>
      <c r="U247" s="3">
        <v>3939</v>
      </c>
      <c r="V247" s="3">
        <v>0</v>
      </c>
      <c r="W247" s="3">
        <v>2152</v>
      </c>
      <c r="X247" s="3">
        <v>11.45</v>
      </c>
    </row>
    <row r="248" spans="1:24" hidden="1">
      <c r="A248" s="1">
        <v>45200</v>
      </c>
      <c r="B248" s="1" t="s">
        <v>472</v>
      </c>
      <c r="C248" s="2" t="s">
        <v>450</v>
      </c>
      <c r="D248" s="2" t="s">
        <v>279</v>
      </c>
      <c r="E248" s="2" t="s">
        <v>280</v>
      </c>
      <c r="F248" s="2" t="s">
        <v>451</v>
      </c>
      <c r="G248" s="2" t="s">
        <v>282</v>
      </c>
      <c r="H248" s="2" t="s">
        <v>452</v>
      </c>
      <c r="I248" t="s">
        <v>198</v>
      </c>
      <c r="J248" s="18">
        <v>15308.09</v>
      </c>
      <c r="K248" s="18"/>
      <c r="L248" s="18">
        <v>14863.252216785</v>
      </c>
      <c r="M248" s="18">
        <v>66.012723467379701</v>
      </c>
      <c r="N248" s="18"/>
      <c r="O248" s="18"/>
      <c r="P248" s="3">
        <v>0</v>
      </c>
      <c r="Q248" s="3">
        <v>0</v>
      </c>
      <c r="R248" s="3">
        <v>0</v>
      </c>
      <c r="S248" s="3"/>
      <c r="T248" s="3" t="b">
        <v>0</v>
      </c>
      <c r="U248" s="3">
        <v>2132</v>
      </c>
      <c r="V248" s="3">
        <v>1</v>
      </c>
      <c r="W248" s="3">
        <v>1048</v>
      </c>
      <c r="X248" s="3">
        <v>8.8000000000000007</v>
      </c>
    </row>
    <row r="249" spans="1:24" hidden="1">
      <c r="A249" s="1">
        <v>45231</v>
      </c>
      <c r="B249" s="1" t="s">
        <v>473</v>
      </c>
      <c r="C249" s="2" t="s">
        <v>450</v>
      </c>
      <c r="D249" s="2" t="s">
        <v>279</v>
      </c>
      <c r="E249" s="2" t="s">
        <v>280</v>
      </c>
      <c r="F249" s="2" t="s">
        <v>451</v>
      </c>
      <c r="G249" s="2" t="s">
        <v>282</v>
      </c>
      <c r="H249" s="2" t="s">
        <v>452</v>
      </c>
      <c r="I249" t="s">
        <v>198</v>
      </c>
      <c r="J249" s="18">
        <v>15358.84</v>
      </c>
      <c r="K249" s="18"/>
      <c r="L249" s="18">
        <v>14903.404791228</v>
      </c>
      <c r="M249" s="18">
        <v>187.401642147562</v>
      </c>
      <c r="N249" s="18"/>
      <c r="O249" s="18"/>
      <c r="P249" s="3">
        <v>0</v>
      </c>
      <c r="Q249" s="3">
        <v>0</v>
      </c>
      <c r="R249" s="3">
        <v>0</v>
      </c>
      <c r="S249" s="3"/>
      <c r="T249" s="3" t="b">
        <v>0</v>
      </c>
      <c r="U249" s="3">
        <v>4838</v>
      </c>
      <c r="V249" s="3">
        <v>1</v>
      </c>
      <c r="W249" s="3">
        <v>2699</v>
      </c>
      <c r="X249" s="3">
        <v>11.16</v>
      </c>
    </row>
    <row r="250" spans="1:24" hidden="1">
      <c r="A250" s="1">
        <v>45261</v>
      </c>
      <c r="B250" s="1" t="s">
        <v>474</v>
      </c>
      <c r="C250" s="2" t="s">
        <v>450</v>
      </c>
      <c r="D250" s="2" t="s">
        <v>279</v>
      </c>
      <c r="E250" s="2" t="s">
        <v>280</v>
      </c>
      <c r="F250" s="2" t="s">
        <v>451</v>
      </c>
      <c r="G250" s="2" t="s">
        <v>282</v>
      </c>
      <c r="H250" s="2" t="s">
        <v>452</v>
      </c>
      <c r="I250" t="s">
        <v>198</v>
      </c>
      <c r="J250" s="18">
        <v>14809.61</v>
      </c>
      <c r="K250" s="18"/>
      <c r="L250" s="18">
        <v>14942.023055346501</v>
      </c>
      <c r="M250" s="18">
        <v>-158.458496971904</v>
      </c>
      <c r="N250" s="18"/>
      <c r="O250" s="18"/>
      <c r="P250" s="3">
        <v>0</v>
      </c>
      <c r="Q250" s="3">
        <v>0</v>
      </c>
      <c r="R250" s="3">
        <v>1</v>
      </c>
      <c r="S250" s="3"/>
      <c r="T250" s="3" t="b">
        <v>0</v>
      </c>
      <c r="U250" s="3">
        <v>4696</v>
      </c>
      <c r="V250" s="3">
        <v>0</v>
      </c>
      <c r="W250" s="3">
        <v>1788</v>
      </c>
      <c r="X250" s="3">
        <v>10.57</v>
      </c>
    </row>
    <row r="251" spans="1:24" hidden="1">
      <c r="A251" s="1">
        <v>45292</v>
      </c>
      <c r="B251" s="1" t="s">
        <v>475</v>
      </c>
      <c r="C251" s="2" t="s">
        <v>450</v>
      </c>
      <c r="D251" s="2" t="s">
        <v>279</v>
      </c>
      <c r="E251" s="2" t="s">
        <v>280</v>
      </c>
      <c r="F251" s="2" t="s">
        <v>451</v>
      </c>
      <c r="G251" s="2" t="s">
        <v>282</v>
      </c>
      <c r="H251" s="2" t="s">
        <v>452</v>
      </c>
      <c r="I251" t="s">
        <v>198</v>
      </c>
      <c r="J251" s="18">
        <v>15433.77</v>
      </c>
      <c r="K251" s="18"/>
      <c r="L251" s="18">
        <v>14981.6421564558</v>
      </c>
      <c r="M251" s="18">
        <v>-94.551094946540303</v>
      </c>
      <c r="N251" s="18"/>
      <c r="O251" s="18"/>
      <c r="P251" s="3">
        <v>0</v>
      </c>
      <c r="Q251" s="3">
        <v>0</v>
      </c>
      <c r="R251" s="3">
        <v>0</v>
      </c>
      <c r="S251" s="3"/>
      <c r="T251" s="3" t="b">
        <v>0</v>
      </c>
      <c r="U251" s="3">
        <v>4268</v>
      </c>
      <c r="V251" s="3">
        <v>1</v>
      </c>
      <c r="W251" s="3">
        <v>1292</v>
      </c>
      <c r="X251" s="3">
        <v>9.9700000000000006</v>
      </c>
    </row>
    <row r="252" spans="1:24" hidden="1">
      <c r="A252" s="1">
        <v>45323</v>
      </c>
      <c r="B252" s="1" t="s">
        <v>476</v>
      </c>
      <c r="C252" s="2" t="s">
        <v>450</v>
      </c>
      <c r="D252" s="2" t="s">
        <v>279</v>
      </c>
      <c r="E252" s="2" t="s">
        <v>280</v>
      </c>
      <c r="F252" s="2" t="s">
        <v>451</v>
      </c>
      <c r="G252" s="2" t="s">
        <v>282</v>
      </c>
      <c r="H252" s="2" t="s">
        <v>452</v>
      </c>
      <c r="I252" t="s">
        <v>198</v>
      </c>
      <c r="J252" s="18">
        <v>15187.58</v>
      </c>
      <c r="K252" s="18"/>
      <c r="L252" s="18">
        <v>14728.1498898933</v>
      </c>
      <c r="M252" s="18">
        <v>172.08916626774101</v>
      </c>
      <c r="N252" s="18"/>
      <c r="O252" s="18"/>
      <c r="P252" s="3">
        <v>0</v>
      </c>
      <c r="Q252" s="3">
        <v>0</v>
      </c>
      <c r="R252" s="3">
        <v>0</v>
      </c>
      <c r="S252" s="3"/>
      <c r="T252" s="3" t="b">
        <v>0</v>
      </c>
      <c r="U252" s="3">
        <v>2975</v>
      </c>
      <c r="V252" s="3">
        <v>0</v>
      </c>
      <c r="W252" s="3">
        <v>2651</v>
      </c>
      <c r="X252" s="3">
        <v>11.12</v>
      </c>
    </row>
    <row r="253" spans="1:24" hidden="1">
      <c r="A253" s="1">
        <v>45352</v>
      </c>
      <c r="B253" s="1" t="s">
        <v>477</v>
      </c>
      <c r="C253" s="2" t="s">
        <v>450</v>
      </c>
      <c r="D253" s="2" t="s">
        <v>279</v>
      </c>
      <c r="E253" s="2" t="s">
        <v>280</v>
      </c>
      <c r="F253" s="2" t="s">
        <v>451</v>
      </c>
      <c r="G253" s="2" t="s">
        <v>282</v>
      </c>
      <c r="H253" s="2" t="s">
        <v>452</v>
      </c>
      <c r="I253" t="s">
        <v>198</v>
      </c>
      <c r="J253" s="18">
        <v>15069.21</v>
      </c>
      <c r="K253" s="18"/>
      <c r="L253" s="18">
        <v>14490.552512247399</v>
      </c>
      <c r="M253" s="18">
        <v>-30.769172628798501</v>
      </c>
      <c r="N253" s="18"/>
      <c r="O253" s="18"/>
      <c r="P253" s="3">
        <v>0</v>
      </c>
      <c r="Q253" s="3">
        <v>0</v>
      </c>
      <c r="R253" s="3">
        <v>1</v>
      </c>
      <c r="S253" s="3"/>
      <c r="T253" s="3" t="b">
        <v>0</v>
      </c>
      <c r="U253" s="3">
        <v>3813</v>
      </c>
      <c r="V253" s="3">
        <v>1</v>
      </c>
      <c r="W253" s="3">
        <v>1535</v>
      </c>
      <c r="X253" s="3">
        <v>12.38</v>
      </c>
    </row>
    <row r="254" spans="1:24" hidden="1">
      <c r="A254" s="1">
        <v>45383</v>
      </c>
      <c r="B254" s="1" t="s">
        <v>478</v>
      </c>
      <c r="C254" s="2" t="s">
        <v>450</v>
      </c>
      <c r="D254" s="2" t="s">
        <v>279</v>
      </c>
      <c r="E254" s="2" t="s">
        <v>280</v>
      </c>
      <c r="F254" s="2" t="s">
        <v>451</v>
      </c>
      <c r="G254" s="2" t="s">
        <v>282</v>
      </c>
      <c r="H254" s="2" t="s">
        <v>452</v>
      </c>
      <c r="I254" t="s">
        <v>198</v>
      </c>
      <c r="J254" s="18">
        <v>14976.24</v>
      </c>
      <c r="K254" s="18"/>
      <c r="L254" s="18">
        <v>14236.5691085571</v>
      </c>
      <c r="M254" s="18">
        <v>135.68060759993199</v>
      </c>
      <c r="N254" s="18"/>
      <c r="O254" s="18"/>
      <c r="P254" s="3">
        <v>0</v>
      </c>
      <c r="Q254" s="3">
        <v>0</v>
      </c>
      <c r="R254" s="3">
        <v>0</v>
      </c>
      <c r="S254" s="3"/>
      <c r="T254" s="3" t="b">
        <v>0</v>
      </c>
      <c r="U254" s="3">
        <v>3543</v>
      </c>
      <c r="V254" s="3">
        <v>0</v>
      </c>
      <c r="W254" s="3">
        <v>1310</v>
      </c>
      <c r="X254" s="3">
        <v>10.96</v>
      </c>
    </row>
    <row r="255" spans="1:24" hidden="1">
      <c r="A255" s="1">
        <v>45413</v>
      </c>
      <c r="B255" s="1" t="s">
        <v>479</v>
      </c>
      <c r="C255" s="2" t="s">
        <v>450</v>
      </c>
      <c r="D255" s="2" t="s">
        <v>279</v>
      </c>
      <c r="E255" s="2" t="s">
        <v>280</v>
      </c>
      <c r="F255" s="2" t="s">
        <v>451</v>
      </c>
      <c r="G255" s="2" t="s">
        <v>282</v>
      </c>
      <c r="H255" s="2" t="s">
        <v>452</v>
      </c>
      <c r="I255" t="s">
        <v>198</v>
      </c>
      <c r="J255" s="18">
        <v>14502.86</v>
      </c>
      <c r="K255" s="18"/>
      <c r="L255" s="18">
        <v>13990.778717888999</v>
      </c>
      <c r="M255" s="18">
        <v>166.17069627735799</v>
      </c>
      <c r="N255" s="18"/>
      <c r="O255" s="18"/>
      <c r="P255" s="3">
        <v>0</v>
      </c>
      <c r="Q255" s="3">
        <v>0</v>
      </c>
      <c r="R255" s="3">
        <v>0</v>
      </c>
      <c r="S255" s="3"/>
      <c r="T255" s="3" t="b">
        <v>0</v>
      </c>
      <c r="U255" s="3">
        <v>4835</v>
      </c>
      <c r="V255" s="3">
        <v>1</v>
      </c>
      <c r="W255" s="3">
        <v>1536</v>
      </c>
      <c r="X255" s="3">
        <v>9.5</v>
      </c>
    </row>
    <row r="256" spans="1:24" hidden="1">
      <c r="A256" s="1">
        <v>45444</v>
      </c>
      <c r="B256" s="1" t="s">
        <v>480</v>
      </c>
      <c r="C256" s="2" t="s">
        <v>450</v>
      </c>
      <c r="D256" s="2" t="s">
        <v>279</v>
      </c>
      <c r="E256" s="2" t="s">
        <v>280</v>
      </c>
      <c r="F256" s="2" t="s">
        <v>451</v>
      </c>
      <c r="G256" s="2" t="s">
        <v>282</v>
      </c>
      <c r="H256" s="2" t="s">
        <v>452</v>
      </c>
      <c r="I256" t="s">
        <v>198</v>
      </c>
      <c r="J256" s="18">
        <v>12996.71</v>
      </c>
      <c r="K256" s="18"/>
      <c r="L256" s="18">
        <v>13736.7953141986</v>
      </c>
      <c r="M256" s="18">
        <v>-164.29083054052001</v>
      </c>
      <c r="N256" s="18"/>
      <c r="O256" s="18"/>
      <c r="P256" s="3">
        <v>0</v>
      </c>
      <c r="Q256" s="3">
        <v>1</v>
      </c>
      <c r="R256" s="3">
        <v>0</v>
      </c>
      <c r="S256" s="3"/>
      <c r="T256" s="3" t="b">
        <v>0</v>
      </c>
      <c r="U256" s="3">
        <v>4738</v>
      </c>
      <c r="V256" s="3">
        <v>0</v>
      </c>
      <c r="W256" s="3">
        <v>2926</v>
      </c>
      <c r="X256" s="3">
        <v>10.87</v>
      </c>
    </row>
    <row r="257" spans="1:24" hidden="1">
      <c r="A257" s="1">
        <v>45474</v>
      </c>
      <c r="B257" s="1" t="s">
        <v>481</v>
      </c>
      <c r="C257" s="2" t="s">
        <v>450</v>
      </c>
      <c r="D257" s="2" t="s">
        <v>279</v>
      </c>
      <c r="E257" s="2" t="s">
        <v>280</v>
      </c>
      <c r="F257" s="2" t="s">
        <v>451</v>
      </c>
      <c r="G257" s="2" t="s">
        <v>282</v>
      </c>
      <c r="H257" s="2" t="s">
        <v>452</v>
      </c>
      <c r="I257" t="s">
        <v>198</v>
      </c>
      <c r="J257" s="18">
        <v>12573.84</v>
      </c>
      <c r="K257" s="18">
        <v>14316.02</v>
      </c>
      <c r="L257" s="18">
        <v>13491.0049235305</v>
      </c>
      <c r="M257" s="18">
        <v>-222.292323582226</v>
      </c>
      <c r="N257" s="18">
        <v>14516.02</v>
      </c>
      <c r="O257" s="18">
        <v>14116.02</v>
      </c>
      <c r="P257" s="3">
        <v>0</v>
      </c>
      <c r="Q257" s="3">
        <v>1</v>
      </c>
      <c r="R257" s="3">
        <v>0</v>
      </c>
      <c r="S257" s="3"/>
      <c r="T257" s="3" t="b">
        <v>0</v>
      </c>
      <c r="U257" s="3">
        <v>3357</v>
      </c>
      <c r="V257" s="3">
        <v>0</v>
      </c>
      <c r="W257" s="3">
        <v>1638</v>
      </c>
      <c r="X257" s="3">
        <v>11.38</v>
      </c>
    </row>
    <row r="258" spans="1:24" hidden="1">
      <c r="A258" s="1">
        <v>45505</v>
      </c>
      <c r="B258" s="1" t="s">
        <v>482</v>
      </c>
      <c r="C258" s="2" t="s">
        <v>450</v>
      </c>
      <c r="D258" s="2" t="s">
        <v>279</v>
      </c>
      <c r="E258" s="2" t="s">
        <v>280</v>
      </c>
      <c r="F258" s="2" t="s">
        <v>451</v>
      </c>
      <c r="G258" s="2" t="s">
        <v>282</v>
      </c>
      <c r="H258" s="2" t="s">
        <v>452</v>
      </c>
      <c r="I258" t="s">
        <v>198</v>
      </c>
      <c r="J258" s="18">
        <v>12746.48</v>
      </c>
      <c r="K258" s="18">
        <v>14378.33</v>
      </c>
      <c r="L258" s="18">
        <v>13237.0215198401</v>
      </c>
      <c r="M258" s="18">
        <v>-166.87338863556701</v>
      </c>
      <c r="N258" s="18">
        <v>14578.33</v>
      </c>
      <c r="O258" s="18">
        <v>14178.33</v>
      </c>
      <c r="P258" s="3">
        <v>0</v>
      </c>
      <c r="Q258" s="3">
        <v>1</v>
      </c>
      <c r="R258" s="3">
        <v>0</v>
      </c>
      <c r="S258" s="3"/>
      <c r="T258" s="3" t="b">
        <v>0</v>
      </c>
      <c r="U258" s="3">
        <v>2038</v>
      </c>
      <c r="V258" s="3">
        <v>0</v>
      </c>
      <c r="W258" s="3">
        <v>1233</v>
      </c>
      <c r="X258" s="3">
        <v>9.6</v>
      </c>
    </row>
    <row r="259" spans="1:24" hidden="1">
      <c r="A259" s="1">
        <v>45536</v>
      </c>
      <c r="B259" s="1" t="s">
        <v>483</v>
      </c>
      <c r="C259" s="2" t="s">
        <v>450</v>
      </c>
      <c r="D259" s="2" t="s">
        <v>279</v>
      </c>
      <c r="E259" s="2" t="s">
        <v>280</v>
      </c>
      <c r="F259" s="2" t="s">
        <v>451</v>
      </c>
      <c r="G259" s="2" t="s">
        <v>282</v>
      </c>
      <c r="H259" s="2" t="s">
        <v>452</v>
      </c>
      <c r="I259" t="s">
        <v>198</v>
      </c>
      <c r="J259" s="18">
        <v>12807.68</v>
      </c>
      <c r="K259" s="18">
        <v>14359.47</v>
      </c>
      <c r="L259" s="18">
        <v>12983.038116149701</v>
      </c>
      <c r="M259" s="18">
        <v>74.964582001366907</v>
      </c>
      <c r="N259" s="18">
        <v>14559.47</v>
      </c>
      <c r="O259" s="18">
        <v>14159.47</v>
      </c>
      <c r="P259" s="3">
        <v>0</v>
      </c>
      <c r="Q259" s="3">
        <v>1</v>
      </c>
      <c r="R259" s="3">
        <v>0</v>
      </c>
      <c r="S259" s="3"/>
      <c r="T259" s="3" t="b">
        <v>0</v>
      </c>
      <c r="U259" s="3">
        <v>3316</v>
      </c>
      <c r="V259" s="3">
        <v>0</v>
      </c>
      <c r="W259" s="3">
        <v>2232</v>
      </c>
      <c r="X259" s="3">
        <v>10.86</v>
      </c>
    </row>
    <row r="260" spans="1:24" hidden="1">
      <c r="A260" s="1">
        <v>45566</v>
      </c>
      <c r="B260" s="1" t="s">
        <v>484</v>
      </c>
      <c r="C260" s="2" t="s">
        <v>450</v>
      </c>
      <c r="D260" s="2" t="s">
        <v>279</v>
      </c>
      <c r="E260" s="2" t="s">
        <v>280</v>
      </c>
      <c r="F260" s="2" t="s">
        <v>451</v>
      </c>
      <c r="G260" s="2" t="s">
        <v>282</v>
      </c>
      <c r="H260" s="2" t="s">
        <v>452</v>
      </c>
      <c r="I260" t="s">
        <v>224</v>
      </c>
      <c r="J260" s="18"/>
      <c r="K260" s="18">
        <v>15172.78</v>
      </c>
      <c r="L260" s="18">
        <v>12737.2477254816</v>
      </c>
      <c r="M260" s="18">
        <v>7.7659326836549303</v>
      </c>
      <c r="N260" s="18">
        <v>15372.78</v>
      </c>
      <c r="O260" s="18">
        <v>14972.78</v>
      </c>
      <c r="P260" s="3"/>
      <c r="Q260" s="3"/>
      <c r="R260" s="3"/>
      <c r="S260" s="3"/>
      <c r="T260" s="3"/>
      <c r="U260" s="3"/>
      <c r="V260" s="3"/>
      <c r="W260" s="3">
        <v>1604</v>
      </c>
      <c r="X260" s="3">
        <v>11.04</v>
      </c>
    </row>
    <row r="261" spans="1:24" hidden="1">
      <c r="A261" s="1">
        <v>45597</v>
      </c>
      <c r="B261" s="1" t="s">
        <v>485</v>
      </c>
      <c r="C261" s="2" t="s">
        <v>450</v>
      </c>
      <c r="D261" s="2" t="s">
        <v>279</v>
      </c>
      <c r="E261" s="2" t="s">
        <v>280</v>
      </c>
      <c r="F261" s="2" t="s">
        <v>451</v>
      </c>
      <c r="G261" s="2" t="s">
        <v>282</v>
      </c>
      <c r="H261" s="2" t="s">
        <v>452</v>
      </c>
      <c r="I261" t="s">
        <v>224</v>
      </c>
      <c r="J261" s="18"/>
      <c r="K261" s="18">
        <v>15017.2</v>
      </c>
      <c r="L261" s="18">
        <v>12483.264321791299</v>
      </c>
      <c r="M261" s="18">
        <v>246.66961026407299</v>
      </c>
      <c r="N261" s="18">
        <v>15217.2</v>
      </c>
      <c r="O261" s="18">
        <v>14817.2</v>
      </c>
      <c r="P261" s="3"/>
      <c r="Q261" s="3"/>
      <c r="R261" s="3"/>
      <c r="S261" s="3"/>
      <c r="T261" s="3"/>
      <c r="U261" s="3"/>
      <c r="V261" s="3"/>
      <c r="W261" s="3">
        <v>1093</v>
      </c>
      <c r="X261" s="3">
        <v>40</v>
      </c>
    </row>
    <row r="262" spans="1:24" hidden="1">
      <c r="A262" s="1">
        <v>45627</v>
      </c>
      <c r="B262" s="1" t="s">
        <v>486</v>
      </c>
      <c r="C262" s="2" t="s">
        <v>450</v>
      </c>
      <c r="D262" s="2" t="s">
        <v>279</v>
      </c>
      <c r="E262" s="2" t="s">
        <v>280</v>
      </c>
      <c r="F262" s="2" t="s">
        <v>451</v>
      </c>
      <c r="G262" s="2" t="s">
        <v>282</v>
      </c>
      <c r="H262" s="2" t="s">
        <v>452</v>
      </c>
      <c r="I262" t="s">
        <v>224</v>
      </c>
      <c r="J262" s="18"/>
      <c r="K262" s="18">
        <v>15047.03</v>
      </c>
      <c r="L262" s="18">
        <v>12237.473931123201</v>
      </c>
      <c r="M262" s="18">
        <v>-229.48867028063799</v>
      </c>
      <c r="N262" s="18">
        <v>15247.03</v>
      </c>
      <c r="O262" s="18">
        <v>14847.03</v>
      </c>
      <c r="P262" s="3"/>
      <c r="Q262" s="3"/>
      <c r="R262" s="3"/>
      <c r="S262" s="3"/>
      <c r="T262" s="3"/>
      <c r="U262" s="3"/>
      <c r="V262" s="3"/>
      <c r="W262" s="3">
        <v>1326</v>
      </c>
      <c r="X262" s="3">
        <v>9.76</v>
      </c>
    </row>
    <row r="263" spans="1:24" hidden="1">
      <c r="A263" s="1">
        <v>44562</v>
      </c>
      <c r="B263" s="1" t="s">
        <v>487</v>
      </c>
      <c r="C263" s="2" t="s">
        <v>488</v>
      </c>
      <c r="D263" s="2" t="s">
        <v>279</v>
      </c>
      <c r="E263" s="2" t="s">
        <v>280</v>
      </c>
      <c r="F263" s="2" t="s">
        <v>489</v>
      </c>
      <c r="G263" s="2" t="s">
        <v>141</v>
      </c>
      <c r="H263" s="2" t="s">
        <v>415</v>
      </c>
      <c r="I263" t="s">
        <v>198</v>
      </c>
      <c r="J263" s="18">
        <v>18866.75</v>
      </c>
      <c r="K263" s="18"/>
      <c r="L263" s="18">
        <v>18798.455685919998</v>
      </c>
      <c r="M263" s="18">
        <v>102.399897694597</v>
      </c>
      <c r="N263" s="18"/>
      <c r="O263" s="18"/>
      <c r="P263" s="3">
        <v>0</v>
      </c>
      <c r="Q263" s="3">
        <v>0</v>
      </c>
      <c r="R263" s="3">
        <v>0</v>
      </c>
      <c r="S263" s="3"/>
      <c r="T263" s="3" t="b">
        <v>0</v>
      </c>
      <c r="U263" s="3">
        <v>2717</v>
      </c>
      <c r="V263" s="3">
        <v>1</v>
      </c>
      <c r="W263" s="3">
        <v>2459</v>
      </c>
      <c r="X263" s="3">
        <v>12.34</v>
      </c>
    </row>
    <row r="264" spans="1:24" hidden="1">
      <c r="A264" s="1">
        <v>44593</v>
      </c>
      <c r="B264" s="1" t="s">
        <v>490</v>
      </c>
      <c r="C264" s="2" t="s">
        <v>488</v>
      </c>
      <c r="D264" s="2" t="s">
        <v>279</v>
      </c>
      <c r="E264" s="2" t="s">
        <v>280</v>
      </c>
      <c r="F264" s="2" t="s">
        <v>489</v>
      </c>
      <c r="G264" s="2" t="s">
        <v>141</v>
      </c>
      <c r="H264" s="2" t="s">
        <v>415</v>
      </c>
      <c r="I264" t="s">
        <v>198</v>
      </c>
      <c r="J264" s="18">
        <v>19045.599999999999</v>
      </c>
      <c r="K264" s="18"/>
      <c r="L264" s="18">
        <v>18966.4272715433</v>
      </c>
      <c r="M264" s="18">
        <v>-572.28468167173696</v>
      </c>
      <c r="N264" s="18"/>
      <c r="O264" s="18"/>
      <c r="P264" s="3">
        <v>0</v>
      </c>
      <c r="Q264" s="3">
        <v>0</v>
      </c>
      <c r="R264" s="3">
        <v>0</v>
      </c>
      <c r="S264" s="3"/>
      <c r="T264" s="3" t="b">
        <v>0</v>
      </c>
      <c r="U264" s="3">
        <v>3016</v>
      </c>
      <c r="V264" s="3">
        <v>1</v>
      </c>
      <c r="W264" s="3">
        <v>2810</v>
      </c>
      <c r="X264" s="3">
        <v>11.55</v>
      </c>
    </row>
    <row r="265" spans="1:24" hidden="1">
      <c r="A265" s="1">
        <v>44621</v>
      </c>
      <c r="B265" s="1" t="s">
        <v>491</v>
      </c>
      <c r="C265" s="2" t="s">
        <v>488</v>
      </c>
      <c r="D265" s="2" t="s">
        <v>279</v>
      </c>
      <c r="E265" s="2" t="s">
        <v>280</v>
      </c>
      <c r="F265" s="2" t="s">
        <v>489</v>
      </c>
      <c r="G265" s="2" t="s">
        <v>141</v>
      </c>
      <c r="H265" s="2" t="s">
        <v>415</v>
      </c>
      <c r="I265" t="s">
        <v>198</v>
      </c>
      <c r="J265" s="18">
        <v>19306.310000000001</v>
      </c>
      <c r="K265" s="18"/>
      <c r="L265" s="18">
        <v>19118.143542387301</v>
      </c>
      <c r="M265" s="18">
        <v>2236.1749855641001</v>
      </c>
      <c r="N265" s="18"/>
      <c r="O265" s="18"/>
      <c r="P265" s="3">
        <v>0</v>
      </c>
      <c r="Q265" s="3">
        <v>0</v>
      </c>
      <c r="R265" s="3">
        <v>0</v>
      </c>
      <c r="S265" s="3"/>
      <c r="T265" s="3" t="b">
        <v>0</v>
      </c>
      <c r="U265" s="3">
        <v>3337</v>
      </c>
      <c r="V265" s="3">
        <v>1</v>
      </c>
      <c r="W265" s="3">
        <v>1460</v>
      </c>
      <c r="X265" s="3">
        <v>11.62</v>
      </c>
    </row>
    <row r="266" spans="1:24" hidden="1">
      <c r="A266" s="1">
        <v>44652</v>
      </c>
      <c r="B266" s="1" t="s">
        <v>492</v>
      </c>
      <c r="C266" s="2" t="s">
        <v>488</v>
      </c>
      <c r="D266" s="2" t="s">
        <v>279</v>
      </c>
      <c r="E266" s="2" t="s">
        <v>280</v>
      </c>
      <c r="F266" s="2" t="s">
        <v>489</v>
      </c>
      <c r="G266" s="2" t="s">
        <v>141</v>
      </c>
      <c r="H266" s="2" t="s">
        <v>415</v>
      </c>
      <c r="I266" t="s">
        <v>198</v>
      </c>
      <c r="J266" s="18">
        <v>19768.73</v>
      </c>
      <c r="K266" s="18"/>
      <c r="L266" s="18">
        <v>19286.115127877099</v>
      </c>
      <c r="M266" s="18">
        <v>25.525329258965598</v>
      </c>
      <c r="N266" s="18"/>
      <c r="O266" s="18"/>
      <c r="P266" s="3">
        <v>0</v>
      </c>
      <c r="Q266" s="3">
        <v>0</v>
      </c>
      <c r="R266" s="3">
        <v>0</v>
      </c>
      <c r="S266" s="3"/>
      <c r="T266" s="3" t="b">
        <v>0</v>
      </c>
      <c r="U266" s="3">
        <v>2605</v>
      </c>
      <c r="V266" s="3">
        <v>0</v>
      </c>
      <c r="W266" s="3">
        <v>1617</v>
      </c>
      <c r="X266" s="3">
        <v>12.33</v>
      </c>
    </row>
    <row r="267" spans="1:24" hidden="1">
      <c r="A267" s="1">
        <v>44682</v>
      </c>
      <c r="B267" s="1" t="s">
        <v>493</v>
      </c>
      <c r="C267" s="2" t="s">
        <v>488</v>
      </c>
      <c r="D267" s="2" t="s">
        <v>279</v>
      </c>
      <c r="E267" s="2" t="s">
        <v>280</v>
      </c>
      <c r="F267" s="2" t="s">
        <v>489</v>
      </c>
      <c r="G267" s="2" t="s">
        <v>141</v>
      </c>
      <c r="H267" s="2" t="s">
        <v>415</v>
      </c>
      <c r="I267" t="s">
        <v>198</v>
      </c>
      <c r="J267" s="18">
        <v>19882.32</v>
      </c>
      <c r="K267" s="18"/>
      <c r="L267" s="18">
        <v>19448.668275166401</v>
      </c>
      <c r="M267" s="18">
        <v>-405.23315964448699</v>
      </c>
      <c r="N267" s="18"/>
      <c r="O267" s="18"/>
      <c r="P267" s="3">
        <v>0</v>
      </c>
      <c r="Q267" s="3">
        <v>0</v>
      </c>
      <c r="R267" s="3">
        <v>0</v>
      </c>
      <c r="S267" s="3"/>
      <c r="T267" s="3" t="b">
        <v>0</v>
      </c>
      <c r="U267" s="3">
        <v>2374</v>
      </c>
      <c r="V267" s="3">
        <v>0</v>
      </c>
      <c r="W267" s="3">
        <v>2044</v>
      </c>
      <c r="X267" s="3">
        <v>14.96</v>
      </c>
    </row>
    <row r="268" spans="1:24" hidden="1">
      <c r="A268" s="1">
        <v>44713</v>
      </c>
      <c r="B268" s="1" t="s">
        <v>494</v>
      </c>
      <c r="C268" s="2" t="s">
        <v>488</v>
      </c>
      <c r="D268" s="2" t="s">
        <v>279</v>
      </c>
      <c r="E268" s="2" t="s">
        <v>280</v>
      </c>
      <c r="F268" s="2" t="s">
        <v>489</v>
      </c>
      <c r="G268" s="2" t="s">
        <v>141</v>
      </c>
      <c r="H268" s="2" t="s">
        <v>415</v>
      </c>
      <c r="I268" t="s">
        <v>198</v>
      </c>
      <c r="J268" s="18">
        <v>19690.28</v>
      </c>
      <c r="K268" s="18"/>
      <c r="L268" s="18">
        <v>19616.639860599102</v>
      </c>
      <c r="M268" s="18">
        <v>-331.17901621399301</v>
      </c>
      <c r="N268" s="18"/>
      <c r="O268" s="18"/>
      <c r="P268" s="3">
        <v>0</v>
      </c>
      <c r="Q268" s="3">
        <v>0</v>
      </c>
      <c r="R268" s="3">
        <v>0</v>
      </c>
      <c r="S268" s="3"/>
      <c r="T268" s="3" t="b">
        <v>0</v>
      </c>
      <c r="U268" s="3">
        <v>4686</v>
      </c>
      <c r="V268" s="3">
        <v>0</v>
      </c>
      <c r="W268" s="3">
        <v>1063</v>
      </c>
      <c r="X268" s="3">
        <v>11.42</v>
      </c>
    </row>
    <row r="269" spans="1:24" hidden="1">
      <c r="A269" s="1">
        <v>44774</v>
      </c>
      <c r="B269" s="1" t="s">
        <v>495</v>
      </c>
      <c r="C269" s="2" t="s">
        <v>488</v>
      </c>
      <c r="D269" s="2" t="s">
        <v>279</v>
      </c>
      <c r="E269" s="2" t="s">
        <v>280</v>
      </c>
      <c r="F269" s="2" t="s">
        <v>489</v>
      </c>
      <c r="G269" s="2" t="s">
        <v>141</v>
      </c>
      <c r="H269" s="2" t="s">
        <v>415</v>
      </c>
      <c r="I269" t="s">
        <v>198</v>
      </c>
      <c r="J269" s="18">
        <v>20394.21</v>
      </c>
      <c r="K269" s="18"/>
      <c r="L269" s="18">
        <v>19947.1645932069</v>
      </c>
      <c r="M269" s="18">
        <v>-238.08184528414799</v>
      </c>
      <c r="N269" s="18"/>
      <c r="O269" s="18"/>
      <c r="P269" s="3">
        <v>0</v>
      </c>
      <c r="Q269" s="3">
        <v>0</v>
      </c>
      <c r="R269" s="3">
        <v>0</v>
      </c>
      <c r="S269" s="3"/>
      <c r="T269" s="3" t="b">
        <v>0</v>
      </c>
      <c r="U269" s="3">
        <v>3048</v>
      </c>
      <c r="V269" s="3">
        <v>0</v>
      </c>
      <c r="W269" s="3">
        <v>1026</v>
      </c>
      <c r="X269" s="3">
        <v>14.01</v>
      </c>
    </row>
    <row r="270" spans="1:24" hidden="1">
      <c r="A270" s="1">
        <v>44805</v>
      </c>
      <c r="B270" s="1" t="s">
        <v>496</v>
      </c>
      <c r="C270" s="2" t="s">
        <v>488</v>
      </c>
      <c r="D270" s="2" t="s">
        <v>279</v>
      </c>
      <c r="E270" s="2" t="s">
        <v>280</v>
      </c>
      <c r="F270" s="2" t="s">
        <v>489</v>
      </c>
      <c r="G270" s="2" t="s">
        <v>141</v>
      </c>
      <c r="H270" s="2" t="s">
        <v>415</v>
      </c>
      <c r="I270" t="s">
        <v>198</v>
      </c>
      <c r="J270" s="18">
        <v>20264.79</v>
      </c>
      <c r="K270" s="18"/>
      <c r="L270" s="18">
        <v>20115.1361785318</v>
      </c>
      <c r="M270" s="18">
        <v>-346.16180385286799</v>
      </c>
      <c r="N270" s="18"/>
      <c r="O270" s="18"/>
      <c r="P270" s="3">
        <v>0</v>
      </c>
      <c r="Q270" s="3">
        <v>0</v>
      </c>
      <c r="R270" s="3">
        <v>0</v>
      </c>
      <c r="S270" s="3"/>
      <c r="T270" s="3" t="b">
        <v>0</v>
      </c>
      <c r="U270" s="3">
        <v>3357</v>
      </c>
      <c r="V270" s="3">
        <v>0</v>
      </c>
      <c r="W270" s="3">
        <v>2334</v>
      </c>
      <c r="X270" s="3">
        <v>12.51</v>
      </c>
    </row>
    <row r="271" spans="1:24" hidden="1">
      <c r="A271" s="1">
        <v>44866</v>
      </c>
      <c r="B271" s="1" t="s">
        <v>497</v>
      </c>
      <c r="C271" s="2" t="s">
        <v>488</v>
      </c>
      <c r="D271" s="2" t="s">
        <v>279</v>
      </c>
      <c r="E271" s="2" t="s">
        <v>280</v>
      </c>
      <c r="F271" s="2" t="s">
        <v>489</v>
      </c>
      <c r="G271" s="2" t="s">
        <v>141</v>
      </c>
      <c r="H271" s="2" t="s">
        <v>415</v>
      </c>
      <c r="I271" t="s">
        <v>198</v>
      </c>
      <c r="J271" s="18">
        <v>19946.349999999999</v>
      </c>
      <c r="K271" s="18"/>
      <c r="L271" s="18">
        <v>20445.6609110678</v>
      </c>
      <c r="M271" s="18">
        <v>182.87902594514699</v>
      </c>
      <c r="N271" s="18"/>
      <c r="O271" s="18"/>
      <c r="P271" s="3">
        <v>0</v>
      </c>
      <c r="Q271" s="3">
        <v>0</v>
      </c>
      <c r="R271" s="3">
        <v>0</v>
      </c>
      <c r="S271" s="3"/>
      <c r="T271" s="3" t="b">
        <v>0</v>
      </c>
      <c r="U271" s="3">
        <v>4095</v>
      </c>
      <c r="V271" s="3">
        <v>0</v>
      </c>
      <c r="W271" s="3">
        <v>1284</v>
      </c>
      <c r="X271" s="3">
        <v>12.62</v>
      </c>
    </row>
    <row r="272" spans="1:24" hidden="1">
      <c r="A272" s="1">
        <v>44896</v>
      </c>
      <c r="B272" s="1" t="s">
        <v>498</v>
      </c>
      <c r="C272" s="2" t="s">
        <v>488</v>
      </c>
      <c r="D272" s="2" t="s">
        <v>279</v>
      </c>
      <c r="E272" s="2" t="s">
        <v>280</v>
      </c>
      <c r="F272" s="2" t="s">
        <v>489</v>
      </c>
      <c r="G272" s="2" t="s">
        <v>141</v>
      </c>
      <c r="H272" s="2" t="s">
        <v>415</v>
      </c>
      <c r="I272" t="s">
        <v>198</v>
      </c>
      <c r="J272" s="18">
        <v>19710.88</v>
      </c>
      <c r="K272" s="18"/>
      <c r="L272" s="18">
        <v>20608.214058186299</v>
      </c>
      <c r="M272" s="18">
        <v>-927.76352046023396</v>
      </c>
      <c r="N272" s="18"/>
      <c r="O272" s="18"/>
      <c r="P272" s="3">
        <v>0</v>
      </c>
      <c r="Q272" s="3">
        <v>0</v>
      </c>
      <c r="R272" s="3">
        <v>0</v>
      </c>
      <c r="S272" s="3"/>
      <c r="T272" s="3" t="b">
        <v>0</v>
      </c>
      <c r="U272" s="3">
        <v>3801</v>
      </c>
      <c r="V272" s="3">
        <v>0</v>
      </c>
      <c r="W272" s="3">
        <v>2683</v>
      </c>
      <c r="X272" s="3">
        <v>14.56</v>
      </c>
    </row>
    <row r="273" spans="1:24" hidden="1">
      <c r="A273" s="1">
        <v>44958</v>
      </c>
      <c r="B273" s="1" t="s">
        <v>499</v>
      </c>
      <c r="C273" s="2" t="s">
        <v>488</v>
      </c>
      <c r="D273" s="2" t="s">
        <v>279</v>
      </c>
      <c r="E273" s="2" t="s">
        <v>280</v>
      </c>
      <c r="F273" s="2" t="s">
        <v>489</v>
      </c>
      <c r="G273" s="2" t="s">
        <v>141</v>
      </c>
      <c r="H273" s="2" t="s">
        <v>415</v>
      </c>
      <c r="I273" t="s">
        <v>198</v>
      </c>
      <c r="J273" s="18">
        <v>20179.310000000001</v>
      </c>
      <c r="K273" s="18"/>
      <c r="L273" s="18">
        <v>20944.157228985801</v>
      </c>
      <c r="M273" s="18">
        <v>-338.98624613969798</v>
      </c>
      <c r="N273" s="18"/>
      <c r="O273" s="18"/>
      <c r="P273" s="3">
        <v>0</v>
      </c>
      <c r="Q273" s="3">
        <v>0</v>
      </c>
      <c r="R273" s="3">
        <v>0</v>
      </c>
      <c r="S273" s="3"/>
      <c r="T273" s="3" t="b">
        <v>0</v>
      </c>
      <c r="U273" s="3">
        <v>3482</v>
      </c>
      <c r="V273" s="3">
        <v>0</v>
      </c>
      <c r="W273" s="3">
        <v>1837</v>
      </c>
      <c r="X273" s="3">
        <v>12.53</v>
      </c>
    </row>
    <row r="274" spans="1:24" hidden="1">
      <c r="A274" s="1">
        <v>44986</v>
      </c>
      <c r="B274" s="1" t="s">
        <v>500</v>
      </c>
      <c r="C274" s="2" t="s">
        <v>488</v>
      </c>
      <c r="D274" s="2" t="s">
        <v>279</v>
      </c>
      <c r="E274" s="2" t="s">
        <v>280</v>
      </c>
      <c r="F274" s="2" t="s">
        <v>489</v>
      </c>
      <c r="G274" s="2" t="s">
        <v>141</v>
      </c>
      <c r="H274" s="2" t="s">
        <v>415</v>
      </c>
      <c r="I274" t="s">
        <v>198</v>
      </c>
      <c r="J274" s="18">
        <v>20894.45</v>
      </c>
      <c r="K274" s="18"/>
      <c r="L274" s="18">
        <v>21095.873499723501</v>
      </c>
      <c r="M274" s="18">
        <v>1979.09455666644</v>
      </c>
      <c r="N274" s="18"/>
      <c r="O274" s="18"/>
      <c r="P274" s="3">
        <v>0</v>
      </c>
      <c r="Q274" s="3">
        <v>0</v>
      </c>
      <c r="R274" s="3">
        <v>0</v>
      </c>
      <c r="S274" s="3"/>
      <c r="T274" s="3" t="b">
        <v>0</v>
      </c>
      <c r="U274" s="3">
        <v>3546</v>
      </c>
      <c r="V274" s="3">
        <v>0</v>
      </c>
      <c r="W274" s="3">
        <v>1830</v>
      </c>
      <c r="X274" s="3">
        <v>12.17</v>
      </c>
    </row>
    <row r="275" spans="1:24" hidden="1">
      <c r="A275" s="1">
        <v>45017</v>
      </c>
      <c r="B275" s="1" t="s">
        <v>501</v>
      </c>
      <c r="C275" s="2" t="s">
        <v>488</v>
      </c>
      <c r="D275" s="2" t="s">
        <v>279</v>
      </c>
      <c r="E275" s="2" t="s">
        <v>280</v>
      </c>
      <c r="F275" s="2" t="s">
        <v>489</v>
      </c>
      <c r="G275" s="2" t="s">
        <v>141</v>
      </c>
      <c r="H275" s="2" t="s">
        <v>415</v>
      </c>
      <c r="I275" t="s">
        <v>198</v>
      </c>
      <c r="J275" s="18">
        <v>21056.61</v>
      </c>
      <c r="K275" s="18"/>
      <c r="L275" s="18">
        <v>21263.8450852405</v>
      </c>
      <c r="M275" s="18">
        <v>312.63553438698102</v>
      </c>
      <c r="N275" s="18"/>
      <c r="O275" s="18"/>
      <c r="P275" s="3">
        <v>0</v>
      </c>
      <c r="Q275" s="3">
        <v>0</v>
      </c>
      <c r="R275" s="3">
        <v>0</v>
      </c>
      <c r="S275" s="3"/>
      <c r="T275" s="3" t="b">
        <v>0</v>
      </c>
      <c r="U275" s="3">
        <v>3620</v>
      </c>
      <c r="V275" s="3">
        <v>0</v>
      </c>
      <c r="W275" s="3">
        <v>2187</v>
      </c>
      <c r="X275" s="3">
        <v>12.92</v>
      </c>
    </row>
    <row r="276" spans="1:24" hidden="1">
      <c r="A276" s="1">
        <v>45047</v>
      </c>
      <c r="B276" s="1" t="s">
        <v>502</v>
      </c>
      <c r="C276" s="2" t="s">
        <v>488</v>
      </c>
      <c r="D276" s="2" t="s">
        <v>279</v>
      </c>
      <c r="E276" s="2" t="s">
        <v>280</v>
      </c>
      <c r="F276" s="2" t="s">
        <v>489</v>
      </c>
      <c r="G276" s="2" t="s">
        <v>141</v>
      </c>
      <c r="H276" s="2" t="s">
        <v>415</v>
      </c>
      <c r="I276" t="s">
        <v>198</v>
      </c>
      <c r="J276" s="18">
        <v>20772.509999999998</v>
      </c>
      <c r="K276" s="18"/>
      <c r="L276" s="18">
        <v>21426.398232582898</v>
      </c>
      <c r="M276" s="18">
        <v>-684.35746592206704</v>
      </c>
      <c r="N276" s="18"/>
      <c r="O276" s="18"/>
      <c r="P276" s="3">
        <v>0</v>
      </c>
      <c r="Q276" s="3">
        <v>0</v>
      </c>
      <c r="R276" s="3">
        <v>0</v>
      </c>
      <c r="S276" s="3"/>
      <c r="T276" s="3" t="b">
        <v>0</v>
      </c>
      <c r="U276" s="3">
        <v>4452</v>
      </c>
      <c r="V276" s="3">
        <v>0</v>
      </c>
      <c r="W276" s="3">
        <v>2921</v>
      </c>
      <c r="X276" s="3">
        <v>13.53</v>
      </c>
    </row>
    <row r="277" spans="1:24" hidden="1">
      <c r="A277" s="1">
        <v>45078</v>
      </c>
      <c r="B277" s="1" t="s">
        <v>503</v>
      </c>
      <c r="C277" s="2" t="s">
        <v>488</v>
      </c>
      <c r="D277" s="2" t="s">
        <v>279</v>
      </c>
      <c r="E277" s="2" t="s">
        <v>280</v>
      </c>
      <c r="F277" s="2" t="s">
        <v>489</v>
      </c>
      <c r="G277" s="2" t="s">
        <v>141</v>
      </c>
      <c r="H277" s="2" t="s">
        <v>415</v>
      </c>
      <c r="I277" t="s">
        <v>198</v>
      </c>
      <c r="J277" s="18">
        <v>21131.88</v>
      </c>
      <c r="K277" s="18"/>
      <c r="L277" s="18">
        <v>21594.369818097701</v>
      </c>
      <c r="M277" s="18">
        <v>-48.5615430369905</v>
      </c>
      <c r="N277" s="18"/>
      <c r="O277" s="18"/>
      <c r="P277" s="3">
        <v>0</v>
      </c>
      <c r="Q277" s="3">
        <v>0</v>
      </c>
      <c r="R277" s="3">
        <v>0</v>
      </c>
      <c r="S277" s="3"/>
      <c r="T277" s="3" t="b">
        <v>0</v>
      </c>
      <c r="U277" s="3">
        <v>2684</v>
      </c>
      <c r="V277" s="3">
        <v>0</v>
      </c>
      <c r="W277" s="3">
        <v>1917</v>
      </c>
      <c r="X277" s="3">
        <v>15.36</v>
      </c>
    </row>
    <row r="278" spans="1:24" hidden="1">
      <c r="A278" s="1">
        <v>45108</v>
      </c>
      <c r="B278" s="1" t="s">
        <v>504</v>
      </c>
      <c r="C278" s="2" t="s">
        <v>488</v>
      </c>
      <c r="D278" s="2" t="s">
        <v>279</v>
      </c>
      <c r="E278" s="2" t="s">
        <v>280</v>
      </c>
      <c r="F278" s="2" t="s">
        <v>489</v>
      </c>
      <c r="G278" s="2" t="s">
        <v>141</v>
      </c>
      <c r="H278" s="2" t="s">
        <v>415</v>
      </c>
      <c r="I278" t="s">
        <v>198</v>
      </c>
      <c r="J278" s="18">
        <v>21698.5</v>
      </c>
      <c r="K278" s="18"/>
      <c r="L278" s="18">
        <v>21756.9229653488</v>
      </c>
      <c r="M278" s="18">
        <v>-1047.27083826238</v>
      </c>
      <c r="N278" s="18"/>
      <c r="O278" s="18"/>
      <c r="P278" s="3">
        <v>0</v>
      </c>
      <c r="Q278" s="3">
        <v>0</v>
      </c>
      <c r="R278" s="3">
        <v>0</v>
      </c>
      <c r="S278" s="3"/>
      <c r="T278" s="3" t="b">
        <v>0</v>
      </c>
      <c r="U278" s="3">
        <v>4950</v>
      </c>
      <c r="V278" s="3">
        <v>0</v>
      </c>
      <c r="W278" s="3">
        <v>1223</v>
      </c>
      <c r="X278" s="3">
        <v>13.45</v>
      </c>
    </row>
    <row r="279" spans="1:24" hidden="1">
      <c r="A279" s="1">
        <v>45139</v>
      </c>
      <c r="B279" s="1" t="s">
        <v>505</v>
      </c>
      <c r="C279" s="2" t="s">
        <v>488</v>
      </c>
      <c r="D279" s="2" t="s">
        <v>279</v>
      </c>
      <c r="E279" s="2" t="s">
        <v>280</v>
      </c>
      <c r="F279" s="2" t="s">
        <v>489</v>
      </c>
      <c r="G279" s="2" t="s">
        <v>141</v>
      </c>
      <c r="H279" s="2" t="s">
        <v>415</v>
      </c>
      <c r="I279" t="s">
        <v>198</v>
      </c>
      <c r="J279" s="18">
        <v>21574.69</v>
      </c>
      <c r="K279" s="18"/>
      <c r="L279" s="18">
        <v>21924.894550862598</v>
      </c>
      <c r="M279" s="18">
        <v>45.255909256907202</v>
      </c>
      <c r="N279" s="18"/>
      <c r="O279" s="18"/>
      <c r="P279" s="3">
        <v>0</v>
      </c>
      <c r="Q279" s="3">
        <v>0</v>
      </c>
      <c r="R279" s="3">
        <v>0</v>
      </c>
      <c r="S279" s="3"/>
      <c r="T279" s="3" t="b">
        <v>0</v>
      </c>
      <c r="U279" s="3">
        <v>4550</v>
      </c>
      <c r="V279" s="3">
        <v>0</v>
      </c>
      <c r="W279" s="3">
        <v>1783</v>
      </c>
      <c r="X279" s="3">
        <v>12.71</v>
      </c>
    </row>
    <row r="280" spans="1:24" hidden="1">
      <c r="A280" s="1">
        <v>45170</v>
      </c>
      <c r="B280" s="1" t="s">
        <v>506</v>
      </c>
      <c r="C280" s="2" t="s">
        <v>488</v>
      </c>
      <c r="D280" s="2" t="s">
        <v>279</v>
      </c>
      <c r="E280" s="2" t="s">
        <v>280</v>
      </c>
      <c r="F280" s="2" t="s">
        <v>489</v>
      </c>
      <c r="G280" s="2" t="s">
        <v>141</v>
      </c>
      <c r="H280" s="2" t="s">
        <v>415</v>
      </c>
      <c r="I280" t="s">
        <v>198</v>
      </c>
      <c r="J280" s="18">
        <v>22125.57</v>
      </c>
      <c r="K280" s="18"/>
      <c r="L280" s="18">
        <v>22092.866136343298</v>
      </c>
      <c r="M280" s="18">
        <v>-622.42500029028304</v>
      </c>
      <c r="N280" s="18"/>
      <c r="O280" s="18"/>
      <c r="P280" s="3">
        <v>0</v>
      </c>
      <c r="Q280" s="3">
        <v>0</v>
      </c>
      <c r="R280" s="3">
        <v>0</v>
      </c>
      <c r="S280" s="3"/>
      <c r="T280" s="3" t="b">
        <v>0</v>
      </c>
      <c r="U280" s="3">
        <v>3471</v>
      </c>
      <c r="V280" s="3">
        <v>0</v>
      </c>
      <c r="W280" s="3">
        <v>2169</v>
      </c>
      <c r="X280" s="3">
        <v>13.56</v>
      </c>
    </row>
    <row r="281" spans="1:24" hidden="1">
      <c r="A281" s="1">
        <v>45200</v>
      </c>
      <c r="B281" s="1" t="s">
        <v>507</v>
      </c>
      <c r="C281" s="2" t="s">
        <v>488</v>
      </c>
      <c r="D281" s="2" t="s">
        <v>279</v>
      </c>
      <c r="E281" s="2" t="s">
        <v>280</v>
      </c>
      <c r="F281" s="2" t="s">
        <v>489</v>
      </c>
      <c r="G281" s="2" t="s">
        <v>141</v>
      </c>
      <c r="H281" s="2" t="s">
        <v>415</v>
      </c>
      <c r="I281" t="s">
        <v>198</v>
      </c>
      <c r="J281" s="18">
        <v>22343.37</v>
      </c>
      <c r="K281" s="18"/>
      <c r="L281" s="18">
        <v>22255.419283488201</v>
      </c>
      <c r="M281" s="18">
        <v>56.837871527671702</v>
      </c>
      <c r="N281" s="18"/>
      <c r="O281" s="18"/>
      <c r="P281" s="3">
        <v>0</v>
      </c>
      <c r="Q281" s="3">
        <v>0</v>
      </c>
      <c r="R281" s="3">
        <v>0</v>
      </c>
      <c r="S281" s="3"/>
      <c r="T281" s="3" t="b">
        <v>0</v>
      </c>
      <c r="U281" s="3">
        <v>4941</v>
      </c>
      <c r="V281" s="3">
        <v>0</v>
      </c>
      <c r="W281" s="3">
        <v>1964</v>
      </c>
      <c r="X281" s="3">
        <v>13.27</v>
      </c>
    </row>
    <row r="282" spans="1:24" hidden="1">
      <c r="A282" s="1">
        <v>45231</v>
      </c>
      <c r="B282" s="1" t="s">
        <v>508</v>
      </c>
      <c r="C282" s="2" t="s">
        <v>488</v>
      </c>
      <c r="D282" s="2" t="s">
        <v>279</v>
      </c>
      <c r="E282" s="2" t="s">
        <v>280</v>
      </c>
      <c r="F282" s="2" t="s">
        <v>489</v>
      </c>
      <c r="G282" s="2" t="s">
        <v>141</v>
      </c>
      <c r="H282" s="2" t="s">
        <v>415</v>
      </c>
      <c r="I282" t="s">
        <v>198</v>
      </c>
      <c r="J282" s="18">
        <v>22998.37</v>
      </c>
      <c r="K282" s="18"/>
      <c r="L282" s="18">
        <v>22423.390868816099</v>
      </c>
      <c r="M282" s="18">
        <v>-82.505875799222807</v>
      </c>
      <c r="N282" s="18"/>
      <c r="O282" s="18"/>
      <c r="P282" s="3">
        <v>0</v>
      </c>
      <c r="Q282" s="3">
        <v>0</v>
      </c>
      <c r="R282" s="3">
        <v>0</v>
      </c>
      <c r="S282" s="3"/>
      <c r="T282" s="3" t="b">
        <v>0</v>
      </c>
      <c r="U282" s="3">
        <v>3599</v>
      </c>
      <c r="V282" s="3">
        <v>0</v>
      </c>
      <c r="W282" s="3">
        <v>1949</v>
      </c>
      <c r="X282" s="3">
        <v>13.43</v>
      </c>
    </row>
    <row r="283" spans="1:24" hidden="1">
      <c r="A283" s="1">
        <v>45323</v>
      </c>
      <c r="B283" s="1" t="s">
        <v>509</v>
      </c>
      <c r="C283" s="2" t="s">
        <v>488</v>
      </c>
      <c r="D283" s="2" t="s">
        <v>279</v>
      </c>
      <c r="E283" s="2" t="s">
        <v>280</v>
      </c>
      <c r="F283" s="2" t="s">
        <v>489</v>
      </c>
      <c r="G283" s="2" t="s">
        <v>141</v>
      </c>
      <c r="H283" s="2" t="s">
        <v>415</v>
      </c>
      <c r="I283" t="s">
        <v>198</v>
      </c>
      <c r="J283" s="18">
        <v>22678.78</v>
      </c>
      <c r="K283" s="18"/>
      <c r="L283" s="18">
        <v>22921.887182433002</v>
      </c>
      <c r="M283" s="18">
        <v>-104.65626001262901</v>
      </c>
      <c r="N283" s="18"/>
      <c r="O283" s="18"/>
      <c r="P283" s="3">
        <v>0</v>
      </c>
      <c r="Q283" s="3">
        <v>0</v>
      </c>
      <c r="R283" s="3">
        <v>0</v>
      </c>
      <c r="S283" s="3"/>
      <c r="T283" s="3" t="b">
        <v>0</v>
      </c>
      <c r="U283" s="3">
        <v>4168</v>
      </c>
      <c r="V283" s="3">
        <v>0</v>
      </c>
      <c r="W283" s="3">
        <v>1044</v>
      </c>
      <c r="X283" s="3">
        <v>13.52</v>
      </c>
    </row>
    <row r="284" spans="1:24" hidden="1">
      <c r="A284" s="1">
        <v>45352</v>
      </c>
      <c r="B284" s="1" t="s">
        <v>510</v>
      </c>
      <c r="C284" s="2" t="s">
        <v>488</v>
      </c>
      <c r="D284" s="2" t="s">
        <v>279</v>
      </c>
      <c r="E284" s="2" t="s">
        <v>280</v>
      </c>
      <c r="F284" s="2" t="s">
        <v>489</v>
      </c>
      <c r="G284" s="2" t="s">
        <v>141</v>
      </c>
      <c r="H284" s="2" t="s">
        <v>415</v>
      </c>
      <c r="I284" t="s">
        <v>198</v>
      </c>
      <c r="J284" s="18">
        <v>30055.119999999999</v>
      </c>
      <c r="K284" s="18"/>
      <c r="L284" s="18">
        <v>23079.021865728599</v>
      </c>
      <c r="M284" s="18">
        <v>2750.14034949299</v>
      </c>
      <c r="N284" s="18"/>
      <c r="O284" s="18"/>
      <c r="P284" s="3">
        <v>0</v>
      </c>
      <c r="Q284" s="3">
        <v>0</v>
      </c>
      <c r="R284" s="3">
        <v>1</v>
      </c>
      <c r="S284" s="3"/>
      <c r="T284" s="3" t="b">
        <v>1</v>
      </c>
      <c r="U284" s="3">
        <v>2809</v>
      </c>
      <c r="V284" s="3">
        <v>0</v>
      </c>
      <c r="W284" s="3">
        <v>2810</v>
      </c>
      <c r="X284" s="3">
        <v>11.8</v>
      </c>
    </row>
    <row r="285" spans="1:24" hidden="1">
      <c r="A285" s="1">
        <v>45383</v>
      </c>
      <c r="B285" s="1" t="s">
        <v>511</v>
      </c>
      <c r="C285" s="2" t="s">
        <v>488</v>
      </c>
      <c r="D285" s="2" t="s">
        <v>279</v>
      </c>
      <c r="E285" s="2" t="s">
        <v>280</v>
      </c>
      <c r="F285" s="2" t="s">
        <v>489</v>
      </c>
      <c r="G285" s="2" t="s">
        <v>141</v>
      </c>
      <c r="H285" s="2" t="s">
        <v>415</v>
      </c>
      <c r="I285" t="s">
        <v>198</v>
      </c>
      <c r="J285" s="18">
        <v>22662.11</v>
      </c>
      <c r="K285" s="18"/>
      <c r="L285" s="18">
        <v>23246.992691090902</v>
      </c>
      <c r="M285" s="18">
        <v>-547.59034668097695</v>
      </c>
      <c r="N285" s="18"/>
      <c r="O285" s="18"/>
      <c r="P285" s="3">
        <v>0</v>
      </c>
      <c r="Q285" s="3">
        <v>0</v>
      </c>
      <c r="R285" s="3">
        <v>0</v>
      </c>
      <c r="S285" s="3"/>
      <c r="T285" s="3" t="b">
        <v>0</v>
      </c>
      <c r="U285" s="3">
        <v>2977</v>
      </c>
      <c r="V285" s="3">
        <v>0</v>
      </c>
      <c r="W285" s="3">
        <v>1470</v>
      </c>
      <c r="X285" s="3">
        <v>15.45</v>
      </c>
    </row>
    <row r="286" spans="1:24" hidden="1">
      <c r="A286" s="1">
        <v>45413</v>
      </c>
      <c r="B286" s="1" t="s">
        <v>512</v>
      </c>
      <c r="C286" s="2" t="s">
        <v>488</v>
      </c>
      <c r="D286" s="2" t="s">
        <v>279</v>
      </c>
      <c r="E286" s="2" t="s">
        <v>280</v>
      </c>
      <c r="F286" s="2" t="s">
        <v>489</v>
      </c>
      <c r="G286" s="2" t="s">
        <v>141</v>
      </c>
      <c r="H286" s="2" t="s">
        <v>415</v>
      </c>
      <c r="I286" t="s">
        <v>198</v>
      </c>
      <c r="J286" s="18">
        <v>22743.68</v>
      </c>
      <c r="K286" s="18"/>
      <c r="L286" s="18">
        <v>23409.545102731699</v>
      </c>
      <c r="M286" s="18">
        <v>153.592883230589</v>
      </c>
      <c r="N286" s="18"/>
      <c r="O286" s="18"/>
      <c r="P286" s="3">
        <v>0</v>
      </c>
      <c r="Q286" s="3">
        <v>0</v>
      </c>
      <c r="R286" s="3">
        <v>0</v>
      </c>
      <c r="S286" s="3"/>
      <c r="T286" s="3" t="b">
        <v>0</v>
      </c>
      <c r="U286" s="3">
        <v>4101</v>
      </c>
      <c r="V286" s="3">
        <v>0</v>
      </c>
      <c r="W286" s="3">
        <v>1033</v>
      </c>
      <c r="X286" s="3">
        <v>13.79</v>
      </c>
    </row>
    <row r="287" spans="1:24" hidden="1">
      <c r="A287" s="1">
        <v>45444</v>
      </c>
      <c r="B287" s="1" t="s">
        <v>513</v>
      </c>
      <c r="C287" s="2" t="s">
        <v>488</v>
      </c>
      <c r="D287" s="2" t="s">
        <v>279</v>
      </c>
      <c r="E287" s="2" t="s">
        <v>280</v>
      </c>
      <c r="F287" s="2" t="s">
        <v>489</v>
      </c>
      <c r="G287" s="2" t="s">
        <v>141</v>
      </c>
      <c r="H287" s="2" t="s">
        <v>415</v>
      </c>
      <c r="I287" t="s">
        <v>198</v>
      </c>
      <c r="J287" s="18">
        <v>22655.69</v>
      </c>
      <c r="K287" s="18"/>
      <c r="L287" s="18">
        <v>23577.515928093901</v>
      </c>
      <c r="M287" s="18">
        <v>-895.98132643664803</v>
      </c>
      <c r="N287" s="18"/>
      <c r="O287" s="18"/>
      <c r="P287" s="3">
        <v>0</v>
      </c>
      <c r="Q287" s="3">
        <v>0</v>
      </c>
      <c r="R287" s="3">
        <v>0</v>
      </c>
      <c r="S287" s="3"/>
      <c r="T287" s="3" t="b">
        <v>0</v>
      </c>
      <c r="U287" s="3">
        <v>3354</v>
      </c>
      <c r="V287" s="3">
        <v>0</v>
      </c>
      <c r="W287" s="3">
        <v>1652</v>
      </c>
      <c r="X287" s="3">
        <v>14.11</v>
      </c>
    </row>
    <row r="288" spans="1:24" hidden="1">
      <c r="A288" s="1">
        <v>45474</v>
      </c>
      <c r="B288" s="1" t="s">
        <v>514</v>
      </c>
      <c r="C288" s="2" t="s">
        <v>488</v>
      </c>
      <c r="D288" s="2" t="s">
        <v>279</v>
      </c>
      <c r="E288" s="2" t="s">
        <v>280</v>
      </c>
      <c r="F288" s="2" t="s">
        <v>489</v>
      </c>
      <c r="G288" s="2" t="s">
        <v>141</v>
      </c>
      <c r="H288" s="2" t="s">
        <v>415</v>
      </c>
      <c r="I288" t="s">
        <v>198</v>
      </c>
      <c r="J288" s="18">
        <v>22562.99</v>
      </c>
      <c r="K288" s="18">
        <v>22386.05</v>
      </c>
      <c r="L288" s="18">
        <v>23740.0683397348</v>
      </c>
      <c r="M288" s="18">
        <v>-201.450815114481</v>
      </c>
      <c r="N288" s="18">
        <v>22586.05</v>
      </c>
      <c r="O288" s="18">
        <v>22186.05</v>
      </c>
      <c r="P288" s="3">
        <v>0</v>
      </c>
      <c r="Q288" s="3">
        <v>0</v>
      </c>
      <c r="R288" s="3">
        <v>0</v>
      </c>
      <c r="S288" s="3"/>
      <c r="T288" s="3" t="b">
        <v>0</v>
      </c>
      <c r="U288" s="3">
        <v>2783</v>
      </c>
      <c r="V288" s="3">
        <v>0</v>
      </c>
      <c r="W288" s="3">
        <v>2450</v>
      </c>
      <c r="X288" s="3">
        <v>13.02</v>
      </c>
    </row>
    <row r="289" spans="1:24" hidden="1">
      <c r="A289" s="1">
        <v>45505</v>
      </c>
      <c r="B289" s="1" t="s">
        <v>515</v>
      </c>
      <c r="C289" s="2" t="s">
        <v>488</v>
      </c>
      <c r="D289" s="2" t="s">
        <v>279</v>
      </c>
      <c r="E289" s="2" t="s">
        <v>280</v>
      </c>
      <c r="F289" s="2" t="s">
        <v>489</v>
      </c>
      <c r="G289" s="2" t="s">
        <v>141</v>
      </c>
      <c r="H289" s="2" t="s">
        <v>415</v>
      </c>
      <c r="I289" t="s">
        <v>198</v>
      </c>
      <c r="J289" s="18">
        <v>22812.45</v>
      </c>
      <c r="K289" s="18">
        <v>22749.98</v>
      </c>
      <c r="L289" s="18">
        <v>23908.039165097001</v>
      </c>
      <c r="M289" s="18">
        <v>-804.74747847633</v>
      </c>
      <c r="N289" s="18">
        <v>22949.98</v>
      </c>
      <c r="O289" s="18">
        <v>22549.98</v>
      </c>
      <c r="P289" s="3">
        <v>0</v>
      </c>
      <c r="Q289" s="3">
        <v>0</v>
      </c>
      <c r="R289" s="3">
        <v>0</v>
      </c>
      <c r="S289" s="3"/>
      <c r="T289" s="3" t="b">
        <v>0</v>
      </c>
      <c r="U289" s="3">
        <v>2240</v>
      </c>
      <c r="V289" s="3">
        <v>1</v>
      </c>
      <c r="W289" s="3">
        <v>1829</v>
      </c>
      <c r="X289" s="3">
        <v>40</v>
      </c>
    </row>
    <row r="290" spans="1:24" hidden="1">
      <c r="A290" s="1">
        <v>45536</v>
      </c>
      <c r="B290" s="1" t="s">
        <v>516</v>
      </c>
      <c r="C290" s="2" t="s">
        <v>488</v>
      </c>
      <c r="D290" s="2" t="s">
        <v>279</v>
      </c>
      <c r="E290" s="2" t="s">
        <v>280</v>
      </c>
      <c r="F290" s="2" t="s">
        <v>489</v>
      </c>
      <c r="G290" s="2" t="s">
        <v>141</v>
      </c>
      <c r="H290" s="2" t="s">
        <v>415</v>
      </c>
      <c r="I290" t="s">
        <v>198</v>
      </c>
      <c r="J290" s="18">
        <v>23119.599999999999</v>
      </c>
      <c r="K290" s="18">
        <v>23099.95</v>
      </c>
      <c r="L290" s="18">
        <v>24076.009990459199</v>
      </c>
      <c r="M290" s="18">
        <v>205.44145942145701</v>
      </c>
      <c r="N290" s="18">
        <v>23299.95</v>
      </c>
      <c r="O290" s="18">
        <v>22899.95</v>
      </c>
      <c r="P290" s="3">
        <v>0</v>
      </c>
      <c r="Q290" s="3">
        <v>0</v>
      </c>
      <c r="R290" s="3">
        <v>0</v>
      </c>
      <c r="S290" s="3"/>
      <c r="T290" s="3" t="b">
        <v>0</v>
      </c>
      <c r="U290" s="3">
        <v>3778</v>
      </c>
      <c r="V290" s="3">
        <v>1</v>
      </c>
      <c r="W290" s="3">
        <v>2909</v>
      </c>
      <c r="X290" s="3">
        <v>11.62</v>
      </c>
    </row>
    <row r="291" spans="1:24" hidden="1">
      <c r="A291" s="1">
        <v>45566</v>
      </c>
      <c r="B291" s="1" t="s">
        <v>517</v>
      </c>
      <c r="C291" s="2" t="s">
        <v>488</v>
      </c>
      <c r="D291" s="2" t="s">
        <v>279</v>
      </c>
      <c r="E291" s="2" t="s">
        <v>280</v>
      </c>
      <c r="F291" s="2" t="s">
        <v>489</v>
      </c>
      <c r="G291" s="2" t="s">
        <v>141</v>
      </c>
      <c r="H291" s="2" t="s">
        <v>415</v>
      </c>
      <c r="I291" t="s">
        <v>224</v>
      </c>
      <c r="J291" s="18"/>
      <c r="K291" s="18">
        <v>23526.76</v>
      </c>
      <c r="L291" s="18">
        <v>24238.5624021</v>
      </c>
      <c r="M291" s="18">
        <v>-748.96476973168797</v>
      </c>
      <c r="N291" s="18">
        <v>23726.76</v>
      </c>
      <c r="O291" s="18">
        <v>23326.76</v>
      </c>
      <c r="P291" s="3"/>
      <c r="Q291" s="3"/>
      <c r="R291" s="3"/>
      <c r="S291" s="3"/>
      <c r="T291" s="3"/>
      <c r="U291" s="3"/>
      <c r="V291" s="3"/>
      <c r="W291" s="3">
        <v>1220</v>
      </c>
      <c r="X291" s="3">
        <v>11.29</v>
      </c>
    </row>
    <row r="292" spans="1:24" hidden="1">
      <c r="A292" s="1">
        <v>45597</v>
      </c>
      <c r="B292" s="1" t="s">
        <v>518</v>
      </c>
      <c r="C292" s="2" t="s">
        <v>488</v>
      </c>
      <c r="D292" s="2" t="s">
        <v>279</v>
      </c>
      <c r="E292" s="2" t="s">
        <v>280</v>
      </c>
      <c r="F292" s="2" t="s">
        <v>489</v>
      </c>
      <c r="G292" s="2" t="s">
        <v>141</v>
      </c>
      <c r="H292" s="2" t="s">
        <v>415</v>
      </c>
      <c r="I292" t="s">
        <v>224</v>
      </c>
      <c r="J292" s="18"/>
      <c r="K292" s="18">
        <v>23832.29</v>
      </c>
      <c r="L292" s="18">
        <v>24406.533227462201</v>
      </c>
      <c r="M292" s="18">
        <v>712.18336484688405</v>
      </c>
      <c r="N292" s="18">
        <v>24032.29</v>
      </c>
      <c r="O292" s="18">
        <v>23632.29</v>
      </c>
      <c r="P292" s="3"/>
      <c r="Q292" s="3"/>
      <c r="R292" s="3"/>
      <c r="S292" s="3"/>
      <c r="T292" s="3"/>
      <c r="U292" s="3"/>
      <c r="V292" s="3"/>
      <c r="W292" s="3">
        <v>2891</v>
      </c>
      <c r="X292" s="3">
        <v>14.02</v>
      </c>
    </row>
    <row r="293" spans="1:24" hidden="1">
      <c r="A293" s="1">
        <v>45627</v>
      </c>
      <c r="B293" s="1" t="s">
        <v>519</v>
      </c>
      <c r="C293" s="2" t="s">
        <v>488</v>
      </c>
      <c r="D293" s="2" t="s">
        <v>279</v>
      </c>
      <c r="E293" s="2" t="s">
        <v>280</v>
      </c>
      <c r="F293" s="2" t="s">
        <v>489</v>
      </c>
      <c r="G293" s="2" t="s">
        <v>141</v>
      </c>
      <c r="H293" s="2" t="s">
        <v>415</v>
      </c>
      <c r="I293" t="s">
        <v>224</v>
      </c>
      <c r="J293" s="18"/>
      <c r="K293" s="18">
        <v>24101.37</v>
      </c>
      <c r="L293" s="18">
        <v>24569.085639103101</v>
      </c>
      <c r="M293" s="18">
        <v>-1467.5575417989201</v>
      </c>
      <c r="N293" s="18">
        <v>24301.37</v>
      </c>
      <c r="O293" s="18">
        <v>23901.37</v>
      </c>
      <c r="P293" s="3"/>
      <c r="Q293" s="3"/>
      <c r="R293" s="3"/>
      <c r="S293" s="3"/>
      <c r="T293" s="3"/>
      <c r="U293" s="3"/>
      <c r="V293" s="3"/>
      <c r="W293" s="3">
        <v>1533</v>
      </c>
      <c r="X293" s="3">
        <v>13.24</v>
      </c>
    </row>
    <row r="294" spans="1:24" hidden="1">
      <c r="A294" s="1">
        <v>45566</v>
      </c>
      <c r="B294" s="1" t="s">
        <v>520</v>
      </c>
      <c r="C294" s="2" t="s">
        <v>521</v>
      </c>
      <c r="D294" s="2" t="s">
        <v>279</v>
      </c>
      <c r="E294" s="2" t="s">
        <v>280</v>
      </c>
      <c r="F294" s="2" t="s">
        <v>522</v>
      </c>
      <c r="G294" s="2" t="s">
        <v>282</v>
      </c>
      <c r="H294" s="2" t="s">
        <v>523</v>
      </c>
      <c r="I294" t="s">
        <v>224</v>
      </c>
      <c r="J294" s="18"/>
      <c r="K294" s="18">
        <v>11948.02</v>
      </c>
      <c r="L294" s="18">
        <v>0</v>
      </c>
      <c r="M294" s="18">
        <v>0</v>
      </c>
      <c r="N294" s="18">
        <v>12148.02</v>
      </c>
      <c r="O294" s="18">
        <v>11748.02</v>
      </c>
      <c r="P294" s="3"/>
      <c r="Q294" s="3"/>
      <c r="R294" s="3"/>
      <c r="S294" s="3"/>
      <c r="T294" s="3"/>
      <c r="U294" s="3"/>
      <c r="V294" s="3"/>
      <c r="W294" s="3">
        <v>1206</v>
      </c>
      <c r="X294" s="3">
        <v>12.98</v>
      </c>
    </row>
    <row r="295" spans="1:24" hidden="1">
      <c r="A295" s="1">
        <v>45597</v>
      </c>
      <c r="B295" s="1" t="s">
        <v>524</v>
      </c>
      <c r="C295" s="2" t="s">
        <v>521</v>
      </c>
      <c r="D295" s="2" t="s">
        <v>279</v>
      </c>
      <c r="E295" s="2" t="s">
        <v>280</v>
      </c>
      <c r="F295" s="2" t="s">
        <v>522</v>
      </c>
      <c r="G295" s="2" t="s">
        <v>282</v>
      </c>
      <c r="H295" s="2" t="s">
        <v>523</v>
      </c>
      <c r="I295" t="s">
        <v>224</v>
      </c>
      <c r="J295" s="18"/>
      <c r="K295" s="18">
        <v>12308.26</v>
      </c>
      <c r="L295" s="18">
        <v>0</v>
      </c>
      <c r="M295" s="18">
        <v>0</v>
      </c>
      <c r="N295" s="18">
        <v>12508.26</v>
      </c>
      <c r="O295" s="18">
        <v>12108.26</v>
      </c>
      <c r="P295" s="3"/>
      <c r="Q295" s="3"/>
      <c r="R295" s="3"/>
      <c r="S295" s="3"/>
      <c r="T295" s="3"/>
      <c r="U295" s="3"/>
      <c r="V295" s="3"/>
      <c r="W295" s="3">
        <v>2072</v>
      </c>
      <c r="X295" s="3">
        <v>12.76</v>
      </c>
    </row>
    <row r="296" spans="1:24" hidden="1">
      <c r="A296" s="1">
        <v>45627</v>
      </c>
      <c r="B296" s="1" t="s">
        <v>525</v>
      </c>
      <c r="C296" s="2" t="s">
        <v>521</v>
      </c>
      <c r="D296" s="2" t="s">
        <v>279</v>
      </c>
      <c r="E296" s="2" t="s">
        <v>280</v>
      </c>
      <c r="F296" s="2" t="s">
        <v>522</v>
      </c>
      <c r="G296" s="2" t="s">
        <v>282</v>
      </c>
      <c r="H296" s="2" t="s">
        <v>523</v>
      </c>
      <c r="I296" t="s">
        <v>224</v>
      </c>
      <c r="J296" s="18"/>
      <c r="K296" s="18">
        <v>12084.96</v>
      </c>
      <c r="L296" s="18">
        <v>0</v>
      </c>
      <c r="M296" s="18">
        <v>0</v>
      </c>
      <c r="N296" s="18">
        <v>12284.96</v>
      </c>
      <c r="O296" s="18">
        <v>11884.96</v>
      </c>
      <c r="P296" s="3"/>
      <c r="Q296" s="3"/>
      <c r="R296" s="3"/>
      <c r="S296" s="3"/>
      <c r="T296" s="3"/>
      <c r="U296" s="3"/>
      <c r="V296" s="3"/>
      <c r="W296" s="3">
        <v>1543</v>
      </c>
      <c r="X296" s="3">
        <v>12.32</v>
      </c>
    </row>
    <row r="297" spans="1:24" hidden="1">
      <c r="A297" s="1">
        <v>44958</v>
      </c>
      <c r="B297" s="1" t="s">
        <v>526</v>
      </c>
      <c r="C297" s="2" t="s">
        <v>527</v>
      </c>
      <c r="D297" s="2" t="s">
        <v>194</v>
      </c>
      <c r="E297" s="2" t="s">
        <v>528</v>
      </c>
      <c r="F297" s="2" t="s">
        <v>529</v>
      </c>
      <c r="G297" s="2" t="s">
        <v>530</v>
      </c>
      <c r="H297" s="2" t="s">
        <v>531</v>
      </c>
      <c r="I297" t="s">
        <v>198</v>
      </c>
      <c r="J297" s="18">
        <v>6254.93</v>
      </c>
      <c r="K297" s="18"/>
      <c r="L297" s="18">
        <v>6343.5787587200002</v>
      </c>
      <c r="M297" s="18">
        <v>-88.689813237975002</v>
      </c>
      <c r="N297" s="18"/>
      <c r="O297" s="18"/>
      <c r="P297" s="3">
        <v>0</v>
      </c>
      <c r="Q297" s="3">
        <v>0</v>
      </c>
      <c r="R297" s="3">
        <v>0</v>
      </c>
      <c r="S297" s="3"/>
      <c r="T297" s="3" t="b">
        <v>0</v>
      </c>
      <c r="U297" s="3">
        <v>4921</v>
      </c>
      <c r="V297" s="3">
        <v>0</v>
      </c>
      <c r="W297" s="3">
        <v>1350</v>
      </c>
      <c r="X297" s="3">
        <v>10.15</v>
      </c>
    </row>
    <row r="298" spans="1:24" hidden="1">
      <c r="A298" s="1">
        <v>44986</v>
      </c>
      <c r="B298" s="1" t="s">
        <v>532</v>
      </c>
      <c r="C298" s="2" t="s">
        <v>527</v>
      </c>
      <c r="D298" s="2" t="s">
        <v>194</v>
      </c>
      <c r="E298" s="2" t="s">
        <v>528</v>
      </c>
      <c r="F298" s="2" t="s">
        <v>529</v>
      </c>
      <c r="G298" s="2" t="s">
        <v>530</v>
      </c>
      <c r="H298" s="2" t="s">
        <v>531</v>
      </c>
      <c r="I298" t="s">
        <v>198</v>
      </c>
      <c r="J298" s="18">
        <v>6243.95</v>
      </c>
      <c r="K298" s="18"/>
      <c r="L298" s="18">
        <v>6738.8654213292702</v>
      </c>
      <c r="M298" s="18">
        <v>-494.90295801898799</v>
      </c>
      <c r="N298" s="18"/>
      <c r="O298" s="18"/>
      <c r="P298" s="3">
        <v>0</v>
      </c>
      <c r="Q298" s="3">
        <v>0</v>
      </c>
      <c r="R298" s="3">
        <v>0</v>
      </c>
      <c r="S298" s="3"/>
      <c r="T298" s="3" t="b">
        <v>0</v>
      </c>
      <c r="U298" s="3">
        <v>2580</v>
      </c>
      <c r="V298" s="3">
        <v>1</v>
      </c>
      <c r="W298" s="3">
        <v>1142</v>
      </c>
      <c r="X298" s="3">
        <v>12.62</v>
      </c>
    </row>
    <row r="299" spans="1:24" hidden="1">
      <c r="A299" s="1">
        <v>45017</v>
      </c>
      <c r="B299" s="1" t="s">
        <v>533</v>
      </c>
      <c r="C299" s="2" t="s">
        <v>527</v>
      </c>
      <c r="D299" s="2" t="s">
        <v>194</v>
      </c>
      <c r="E299" s="2" t="s">
        <v>528</v>
      </c>
      <c r="F299" s="2" t="s">
        <v>529</v>
      </c>
      <c r="G299" s="2" t="s">
        <v>530</v>
      </c>
      <c r="H299" s="2" t="s">
        <v>531</v>
      </c>
      <c r="I299" t="s">
        <v>198</v>
      </c>
      <c r="J299" s="18">
        <v>7838.72</v>
      </c>
      <c r="K299" s="18"/>
      <c r="L299" s="18">
        <v>7158.0870431479498</v>
      </c>
      <c r="M299" s="18">
        <v>680.67898925190502</v>
      </c>
      <c r="N299" s="18"/>
      <c r="O299" s="18"/>
      <c r="P299" s="3">
        <v>1</v>
      </c>
      <c r="Q299" s="3">
        <v>0</v>
      </c>
      <c r="R299" s="3">
        <v>0</v>
      </c>
      <c r="S299" s="3"/>
      <c r="T299" s="3" t="b">
        <v>0</v>
      </c>
      <c r="U299" s="3">
        <v>4417</v>
      </c>
      <c r="V299" s="3">
        <v>0</v>
      </c>
      <c r="W299" s="3">
        <v>1966</v>
      </c>
      <c r="X299" s="3">
        <v>10.45</v>
      </c>
    </row>
    <row r="300" spans="1:24" hidden="1">
      <c r="A300" s="1">
        <v>45047</v>
      </c>
      <c r="B300" s="1" t="s">
        <v>534</v>
      </c>
      <c r="C300" s="2" t="s">
        <v>527</v>
      </c>
      <c r="D300" s="2" t="s">
        <v>194</v>
      </c>
      <c r="E300" s="2" t="s">
        <v>528</v>
      </c>
      <c r="F300" s="2" t="s">
        <v>529</v>
      </c>
      <c r="G300" s="2" t="s">
        <v>530</v>
      </c>
      <c r="H300" s="2" t="s">
        <v>531</v>
      </c>
      <c r="I300" t="s">
        <v>198</v>
      </c>
      <c r="J300" s="18">
        <v>8188.27</v>
      </c>
      <c r="K300" s="18"/>
      <c r="L300" s="18">
        <v>7537.7380988813802</v>
      </c>
      <c r="M300" s="18">
        <v>650.55182106016503</v>
      </c>
      <c r="N300" s="18"/>
      <c r="O300" s="18"/>
      <c r="P300" s="3">
        <v>1</v>
      </c>
      <c r="Q300" s="3">
        <v>0</v>
      </c>
      <c r="R300" s="3">
        <v>0</v>
      </c>
      <c r="S300" s="3"/>
      <c r="T300" s="3" t="b">
        <v>0</v>
      </c>
      <c r="U300" s="3">
        <v>2532</v>
      </c>
      <c r="V300" s="3">
        <v>0</v>
      </c>
      <c r="W300" s="3">
        <v>1803</v>
      </c>
      <c r="X300" s="3">
        <v>11.34</v>
      </c>
    </row>
    <row r="301" spans="1:24" hidden="1">
      <c r="A301" s="1">
        <v>45078</v>
      </c>
      <c r="B301" s="1" t="s">
        <v>535</v>
      </c>
      <c r="C301" s="2" t="s">
        <v>527</v>
      </c>
      <c r="D301" s="2" t="s">
        <v>194</v>
      </c>
      <c r="E301" s="2" t="s">
        <v>528</v>
      </c>
      <c r="F301" s="2" t="s">
        <v>529</v>
      </c>
      <c r="G301" s="2" t="s">
        <v>530</v>
      </c>
      <c r="H301" s="2" t="s">
        <v>531</v>
      </c>
      <c r="I301" t="s">
        <v>198</v>
      </c>
      <c r="J301" s="18">
        <v>8501.42</v>
      </c>
      <c r="K301" s="18"/>
      <c r="L301" s="18">
        <v>7924.5193728694503</v>
      </c>
      <c r="M301" s="18">
        <v>576.86523347663206</v>
      </c>
      <c r="N301" s="18"/>
      <c r="O301" s="18"/>
      <c r="P301" s="3">
        <v>1</v>
      </c>
      <c r="Q301" s="3">
        <v>0</v>
      </c>
      <c r="R301" s="3">
        <v>0</v>
      </c>
      <c r="S301" s="3"/>
      <c r="T301" s="3" t="b">
        <v>0</v>
      </c>
      <c r="U301" s="3">
        <v>3175</v>
      </c>
      <c r="V301" s="3">
        <v>0</v>
      </c>
      <c r="W301" s="3">
        <v>2421</v>
      </c>
      <c r="X301" s="3">
        <v>13.5</v>
      </c>
    </row>
    <row r="302" spans="1:24" hidden="1">
      <c r="A302" s="1">
        <v>45108</v>
      </c>
      <c r="B302" s="1" t="s">
        <v>536</v>
      </c>
      <c r="C302" s="2" t="s">
        <v>527</v>
      </c>
      <c r="D302" s="2" t="s">
        <v>194</v>
      </c>
      <c r="E302" s="2" t="s">
        <v>528</v>
      </c>
      <c r="F302" s="2" t="s">
        <v>529</v>
      </c>
      <c r="G302" s="2" t="s">
        <v>530</v>
      </c>
      <c r="H302" s="2" t="s">
        <v>531</v>
      </c>
      <c r="I302" t="s">
        <v>198</v>
      </c>
      <c r="J302" s="18">
        <v>8403.24</v>
      </c>
      <c r="K302" s="18"/>
      <c r="L302" s="18">
        <v>8230.5588021364401</v>
      </c>
      <c r="M302" s="18">
        <v>172.64017967357299</v>
      </c>
      <c r="N302" s="18"/>
      <c r="O302" s="18"/>
      <c r="P302" s="3">
        <v>1</v>
      </c>
      <c r="Q302" s="3">
        <v>0</v>
      </c>
      <c r="R302" s="3">
        <v>0</v>
      </c>
      <c r="S302" s="3"/>
      <c r="T302" s="3" t="b">
        <v>0</v>
      </c>
      <c r="U302" s="3">
        <v>3125</v>
      </c>
      <c r="V302" s="3">
        <v>0</v>
      </c>
      <c r="W302" s="3">
        <v>2647</v>
      </c>
      <c r="X302" s="3">
        <v>11.06</v>
      </c>
    </row>
    <row r="303" spans="1:24" hidden="1">
      <c r="A303" s="1">
        <v>45139</v>
      </c>
      <c r="B303" s="1" t="s">
        <v>537</v>
      </c>
      <c r="C303" s="2" t="s">
        <v>527</v>
      </c>
      <c r="D303" s="2" t="s">
        <v>194</v>
      </c>
      <c r="E303" s="2" t="s">
        <v>528</v>
      </c>
      <c r="F303" s="2" t="s">
        <v>529</v>
      </c>
      <c r="G303" s="2" t="s">
        <v>530</v>
      </c>
      <c r="H303" s="2" t="s">
        <v>531</v>
      </c>
      <c r="I303" t="s">
        <v>198</v>
      </c>
      <c r="J303" s="18">
        <v>9003.68</v>
      </c>
      <c r="K303" s="18"/>
      <c r="L303" s="18">
        <v>8135.5379870332999</v>
      </c>
      <c r="M303" s="18">
        <v>868.176235947451</v>
      </c>
      <c r="N303" s="18"/>
      <c r="O303" s="18"/>
      <c r="P303" s="3">
        <v>1</v>
      </c>
      <c r="Q303" s="3">
        <v>0</v>
      </c>
      <c r="R303" s="3">
        <v>0</v>
      </c>
      <c r="S303" s="3"/>
      <c r="T303" s="3" t="b">
        <v>0</v>
      </c>
      <c r="U303" s="3">
        <v>2898</v>
      </c>
      <c r="V303" s="3">
        <v>0</v>
      </c>
      <c r="W303" s="3">
        <v>1717</v>
      </c>
      <c r="X303" s="3">
        <v>11.81</v>
      </c>
    </row>
    <row r="304" spans="1:24" hidden="1">
      <c r="A304" s="1">
        <v>45474</v>
      </c>
      <c r="B304" s="1" t="s">
        <v>538</v>
      </c>
      <c r="C304" s="2" t="s">
        <v>527</v>
      </c>
      <c r="D304" s="2" t="s">
        <v>194</v>
      </c>
      <c r="E304" s="2" t="s">
        <v>528</v>
      </c>
      <c r="F304" s="2" t="s">
        <v>529</v>
      </c>
      <c r="G304" s="2" t="s">
        <v>530</v>
      </c>
      <c r="H304" s="2" t="s">
        <v>531</v>
      </c>
      <c r="I304" t="s">
        <v>198</v>
      </c>
      <c r="J304" s="18">
        <v>7470.85</v>
      </c>
      <c r="K304" s="18">
        <v>7028.13</v>
      </c>
      <c r="L304" s="18">
        <v>7108.6716083524598</v>
      </c>
      <c r="M304" s="18">
        <v>362.14189572598701</v>
      </c>
      <c r="N304" s="18">
        <v>7228.13</v>
      </c>
      <c r="O304" s="18">
        <v>6828.13</v>
      </c>
      <c r="P304" s="3">
        <v>1</v>
      </c>
      <c r="Q304" s="3">
        <v>1</v>
      </c>
      <c r="R304" s="3">
        <v>0</v>
      </c>
      <c r="S304" s="3"/>
      <c r="T304" s="3" t="b">
        <v>0</v>
      </c>
      <c r="U304" s="3">
        <v>2553</v>
      </c>
      <c r="V304" s="3">
        <v>0</v>
      </c>
      <c r="W304" s="3">
        <v>2483</v>
      </c>
      <c r="X304" s="3">
        <v>9.32</v>
      </c>
    </row>
    <row r="305" spans="1:24" hidden="1">
      <c r="A305" s="1">
        <v>45505</v>
      </c>
      <c r="B305" s="1" t="s">
        <v>539</v>
      </c>
      <c r="C305" s="2" t="s">
        <v>527</v>
      </c>
      <c r="D305" s="2" t="s">
        <v>194</v>
      </c>
      <c r="E305" s="2" t="s">
        <v>528</v>
      </c>
      <c r="F305" s="2" t="s">
        <v>529</v>
      </c>
      <c r="G305" s="2" t="s">
        <v>530</v>
      </c>
      <c r="H305" s="2" t="s">
        <v>531</v>
      </c>
      <c r="I305" t="s">
        <v>198</v>
      </c>
      <c r="J305" s="18">
        <v>7862.57</v>
      </c>
      <c r="K305" s="18">
        <v>7273.13</v>
      </c>
      <c r="L305" s="18">
        <v>7013.6481538292401</v>
      </c>
      <c r="M305" s="18">
        <v>848.96156628347796</v>
      </c>
      <c r="N305" s="18">
        <v>7473.13</v>
      </c>
      <c r="O305" s="18">
        <v>7073.13</v>
      </c>
      <c r="P305" s="3">
        <v>1</v>
      </c>
      <c r="Q305" s="3">
        <v>1</v>
      </c>
      <c r="R305" s="3">
        <v>0</v>
      </c>
      <c r="S305" s="3"/>
      <c r="T305" s="3" t="b">
        <v>0</v>
      </c>
      <c r="U305" s="3">
        <v>4835</v>
      </c>
      <c r="V305" s="3">
        <v>1</v>
      </c>
      <c r="W305" s="3">
        <v>1949</v>
      </c>
      <c r="X305" s="3">
        <v>10.3</v>
      </c>
    </row>
    <row r="306" spans="1:24" hidden="1">
      <c r="A306" s="1">
        <v>45536</v>
      </c>
      <c r="B306" s="1" t="s">
        <v>540</v>
      </c>
      <c r="C306" s="2" t="s">
        <v>527</v>
      </c>
      <c r="D306" s="2" t="s">
        <v>194</v>
      </c>
      <c r="E306" s="2" t="s">
        <v>528</v>
      </c>
      <c r="F306" s="2" t="s">
        <v>529</v>
      </c>
      <c r="G306" s="2" t="s">
        <v>530</v>
      </c>
      <c r="H306" s="2" t="s">
        <v>531</v>
      </c>
      <c r="I306" t="s">
        <v>198</v>
      </c>
      <c r="J306" s="18">
        <v>7806.69</v>
      </c>
      <c r="K306" s="18">
        <v>7302.94</v>
      </c>
      <c r="L306" s="18">
        <v>6918.6246993060104</v>
      </c>
      <c r="M306" s="18">
        <v>888.09613485149396</v>
      </c>
      <c r="N306" s="18">
        <v>7502.94</v>
      </c>
      <c r="O306" s="18">
        <v>7102.94</v>
      </c>
      <c r="P306" s="3">
        <v>1</v>
      </c>
      <c r="Q306" s="3">
        <v>1</v>
      </c>
      <c r="R306" s="3">
        <v>0</v>
      </c>
      <c r="S306" s="3"/>
      <c r="T306" s="3" t="b">
        <v>0</v>
      </c>
      <c r="U306" s="3">
        <v>3091</v>
      </c>
      <c r="V306" s="3">
        <v>1</v>
      </c>
      <c r="W306" s="3">
        <v>2348</v>
      </c>
      <c r="X306" s="3">
        <v>11.45</v>
      </c>
    </row>
    <row r="307" spans="1:24" hidden="1">
      <c r="A307" s="1">
        <v>45566</v>
      </c>
      <c r="B307" s="1" t="s">
        <v>541</v>
      </c>
      <c r="C307" s="2" t="s">
        <v>527</v>
      </c>
      <c r="D307" s="2" t="s">
        <v>194</v>
      </c>
      <c r="E307" s="2" t="s">
        <v>528</v>
      </c>
      <c r="F307" s="2" t="s">
        <v>529</v>
      </c>
      <c r="G307" s="2" t="s">
        <v>530</v>
      </c>
      <c r="H307" s="2" t="s">
        <v>531</v>
      </c>
      <c r="I307" t="s">
        <v>224</v>
      </c>
      <c r="J307" s="18"/>
      <c r="K307" s="18">
        <v>7528.81</v>
      </c>
      <c r="L307" s="18">
        <v>6826.6665175093403</v>
      </c>
      <c r="M307" s="18">
        <v>-50567.334142973101</v>
      </c>
      <c r="N307" s="18">
        <v>7728.81</v>
      </c>
      <c r="O307" s="18">
        <v>7328.81</v>
      </c>
      <c r="P307" s="3"/>
      <c r="Q307" s="3"/>
      <c r="R307" s="3"/>
      <c r="S307" s="3"/>
      <c r="T307" s="3"/>
      <c r="U307" s="3"/>
      <c r="V307" s="3"/>
      <c r="W307" s="3">
        <v>1521</v>
      </c>
      <c r="X307" s="3">
        <v>11.39</v>
      </c>
    </row>
    <row r="308" spans="1:24" hidden="1">
      <c r="A308" s="1">
        <v>45597</v>
      </c>
      <c r="B308" s="1" t="s">
        <v>542</v>
      </c>
      <c r="C308" s="2" t="s">
        <v>527</v>
      </c>
      <c r="D308" s="2" t="s">
        <v>194</v>
      </c>
      <c r="E308" s="2" t="s">
        <v>528</v>
      </c>
      <c r="F308" s="2" t="s">
        <v>529</v>
      </c>
      <c r="G308" s="2" t="s">
        <v>530</v>
      </c>
      <c r="H308" s="2" t="s">
        <v>531</v>
      </c>
      <c r="I308" t="s">
        <v>224</v>
      </c>
      <c r="J308" s="18"/>
      <c r="K308" s="18">
        <v>7568.41</v>
      </c>
      <c r="L308" s="18">
        <v>6731.6430629861097</v>
      </c>
      <c r="M308" s="18">
        <v>10288.314312184701</v>
      </c>
      <c r="N308" s="18">
        <v>7768.41</v>
      </c>
      <c r="O308" s="18">
        <v>7368.41</v>
      </c>
      <c r="P308" s="3"/>
      <c r="Q308" s="3"/>
      <c r="R308" s="3"/>
      <c r="S308" s="3"/>
      <c r="T308" s="3"/>
      <c r="U308" s="3"/>
      <c r="V308" s="3"/>
      <c r="W308" s="3">
        <v>1488</v>
      </c>
      <c r="X308" s="3">
        <v>11.73</v>
      </c>
    </row>
    <row r="309" spans="1:24" hidden="1">
      <c r="A309" s="1">
        <v>45627</v>
      </c>
      <c r="B309" s="1" t="s">
        <v>543</v>
      </c>
      <c r="C309" s="2" t="s">
        <v>527</v>
      </c>
      <c r="D309" s="2" t="s">
        <v>194</v>
      </c>
      <c r="E309" s="2" t="s">
        <v>528</v>
      </c>
      <c r="F309" s="2" t="s">
        <v>529</v>
      </c>
      <c r="G309" s="2" t="s">
        <v>530</v>
      </c>
      <c r="H309" s="2" t="s">
        <v>531</v>
      </c>
      <c r="I309" t="s">
        <v>224</v>
      </c>
      <c r="J309" s="18"/>
      <c r="K309" s="18">
        <v>7795.93</v>
      </c>
      <c r="L309" s="18">
        <v>6639.6848811894397</v>
      </c>
      <c r="M309" s="18">
        <v>47611.217329434097</v>
      </c>
      <c r="N309" s="18">
        <v>7995.93</v>
      </c>
      <c r="O309" s="18">
        <v>7595.93</v>
      </c>
      <c r="P309" s="3"/>
      <c r="Q309" s="3"/>
      <c r="R309" s="3"/>
      <c r="S309" s="3"/>
      <c r="T309" s="3"/>
      <c r="U309" s="3"/>
      <c r="V309" s="3"/>
      <c r="W309" s="3">
        <v>2952</v>
      </c>
      <c r="X309" s="3">
        <v>13.43</v>
      </c>
    </row>
    <row r="310" spans="1:24" hidden="1">
      <c r="A310" s="1">
        <v>44958</v>
      </c>
      <c r="B310" s="1" t="s">
        <v>544</v>
      </c>
      <c r="C310" s="2" t="s">
        <v>545</v>
      </c>
      <c r="D310" s="2" t="s">
        <v>194</v>
      </c>
      <c r="E310" s="2" t="s">
        <v>528</v>
      </c>
      <c r="F310" s="2" t="s">
        <v>529</v>
      </c>
      <c r="G310" s="2" t="s">
        <v>530</v>
      </c>
      <c r="H310" s="2" t="s">
        <v>546</v>
      </c>
      <c r="I310" t="s">
        <v>198</v>
      </c>
      <c r="J310" s="18">
        <v>18467.89</v>
      </c>
      <c r="K310" s="18"/>
      <c r="L310" s="18">
        <v>28179.396353399999</v>
      </c>
      <c r="M310" s="18">
        <v>-9711.5284124331392</v>
      </c>
      <c r="N310" s="18"/>
      <c r="O310" s="18"/>
      <c r="P310" s="3">
        <v>0</v>
      </c>
      <c r="Q310" s="3">
        <v>0</v>
      </c>
      <c r="R310" s="3">
        <v>0</v>
      </c>
      <c r="S310" s="3"/>
      <c r="T310" s="3" t="b">
        <v>0</v>
      </c>
      <c r="U310" s="3">
        <v>3483</v>
      </c>
      <c r="V310" s="3">
        <v>0</v>
      </c>
      <c r="W310" s="3">
        <v>2558</v>
      </c>
      <c r="X310" s="3">
        <v>10.68</v>
      </c>
    </row>
    <row r="311" spans="1:24" hidden="1">
      <c r="A311" s="1">
        <v>44986</v>
      </c>
      <c r="B311" s="1" t="s">
        <v>547</v>
      </c>
      <c r="C311" s="2" t="s">
        <v>545</v>
      </c>
      <c r="D311" s="2" t="s">
        <v>194</v>
      </c>
      <c r="E311" s="2" t="s">
        <v>528</v>
      </c>
      <c r="F311" s="2" t="s">
        <v>529</v>
      </c>
      <c r="G311" s="2" t="s">
        <v>530</v>
      </c>
      <c r="H311" s="2" t="s">
        <v>546</v>
      </c>
      <c r="I311" t="s">
        <v>198</v>
      </c>
      <c r="J311" s="18">
        <v>18543.189999999999</v>
      </c>
      <c r="K311" s="18"/>
      <c r="L311" s="18">
        <v>27636.067712932101</v>
      </c>
      <c r="M311" s="18">
        <v>-9092.8674267721199</v>
      </c>
      <c r="N311" s="18"/>
      <c r="O311" s="18"/>
      <c r="P311" s="3">
        <v>0</v>
      </c>
      <c r="Q311" s="3">
        <v>0</v>
      </c>
      <c r="R311" s="3">
        <v>0</v>
      </c>
      <c r="S311" s="3"/>
      <c r="T311" s="3" t="b">
        <v>0</v>
      </c>
      <c r="U311" s="3">
        <v>3368</v>
      </c>
      <c r="V311" s="3">
        <v>0</v>
      </c>
      <c r="W311" s="3">
        <v>1015</v>
      </c>
      <c r="X311" s="3">
        <v>12.23</v>
      </c>
    </row>
    <row r="312" spans="1:24" hidden="1">
      <c r="A312" s="1">
        <v>45017</v>
      </c>
      <c r="B312" s="1" t="s">
        <v>548</v>
      </c>
      <c r="C312" s="2" t="s">
        <v>545</v>
      </c>
      <c r="D312" s="2" t="s">
        <v>194</v>
      </c>
      <c r="E312" s="2" t="s">
        <v>528</v>
      </c>
      <c r="F312" s="2" t="s">
        <v>529</v>
      </c>
      <c r="G312" s="2" t="s">
        <v>530</v>
      </c>
      <c r="H312" s="2" t="s">
        <v>546</v>
      </c>
      <c r="I312" t="s">
        <v>198</v>
      </c>
      <c r="J312" s="18">
        <v>18940.05</v>
      </c>
      <c r="K312" s="18"/>
      <c r="L312" s="18">
        <v>28115.387939451099</v>
      </c>
      <c r="M312" s="18">
        <v>-9175.3279452462393</v>
      </c>
      <c r="N312" s="18"/>
      <c r="O312" s="18"/>
      <c r="P312" s="3">
        <v>0</v>
      </c>
      <c r="Q312" s="3">
        <v>0</v>
      </c>
      <c r="R312" s="3">
        <v>0</v>
      </c>
      <c r="S312" s="3"/>
      <c r="T312" s="3" t="b">
        <v>1</v>
      </c>
      <c r="U312" s="3">
        <v>2309</v>
      </c>
      <c r="V312" s="3">
        <v>0</v>
      </c>
      <c r="W312" s="3">
        <v>2557</v>
      </c>
      <c r="X312" s="3">
        <v>10.220000000000001</v>
      </c>
    </row>
    <row r="313" spans="1:24" hidden="1">
      <c r="A313" s="1">
        <v>45047</v>
      </c>
      <c r="B313" s="1" t="s">
        <v>549</v>
      </c>
      <c r="C313" s="2" t="s">
        <v>545</v>
      </c>
      <c r="D313" s="2" t="s">
        <v>194</v>
      </c>
      <c r="E313" s="2" t="s">
        <v>528</v>
      </c>
      <c r="F313" s="2" t="s">
        <v>529</v>
      </c>
      <c r="G313" s="2" t="s">
        <v>530</v>
      </c>
      <c r="H313" s="2" t="s">
        <v>546</v>
      </c>
      <c r="I313" t="s">
        <v>198</v>
      </c>
      <c r="J313" s="18">
        <v>19121.37</v>
      </c>
      <c r="K313" s="18"/>
      <c r="L313" s="18">
        <v>28580.461555056299</v>
      </c>
      <c r="M313" s="18">
        <v>-9459.1087039921604</v>
      </c>
      <c r="N313" s="18"/>
      <c r="O313" s="18"/>
      <c r="P313" s="3">
        <v>0</v>
      </c>
      <c r="Q313" s="3">
        <v>0</v>
      </c>
      <c r="R313" s="3">
        <v>0</v>
      </c>
      <c r="S313" s="3"/>
      <c r="T313" s="3" t="b">
        <v>0</v>
      </c>
      <c r="U313" s="3">
        <v>3043</v>
      </c>
      <c r="V313" s="3">
        <v>0</v>
      </c>
      <c r="W313" s="3">
        <v>1996</v>
      </c>
      <c r="X313" s="3">
        <v>9.4499999999999993</v>
      </c>
    </row>
    <row r="314" spans="1:24" hidden="1">
      <c r="A314" s="1">
        <v>45078</v>
      </c>
      <c r="B314" s="1" t="s">
        <v>550</v>
      </c>
      <c r="C314" s="2" t="s">
        <v>545</v>
      </c>
      <c r="D314" s="2" t="s">
        <v>194</v>
      </c>
      <c r="E314" s="2" t="s">
        <v>528</v>
      </c>
      <c r="F314" s="2" t="s">
        <v>529</v>
      </c>
      <c r="G314" s="2" t="s">
        <v>530</v>
      </c>
      <c r="H314" s="2" t="s">
        <v>546</v>
      </c>
      <c r="I314" t="s">
        <v>198</v>
      </c>
      <c r="J314" s="18">
        <v>19655.72</v>
      </c>
      <c r="K314" s="18"/>
      <c r="L314" s="18">
        <v>29061.396722490001</v>
      </c>
      <c r="M314" s="18">
        <v>-9405.7459554994894</v>
      </c>
      <c r="N314" s="18"/>
      <c r="O314" s="18"/>
      <c r="P314" s="3">
        <v>0</v>
      </c>
      <c r="Q314" s="3">
        <v>0</v>
      </c>
      <c r="R314" s="3">
        <v>0</v>
      </c>
      <c r="S314" s="3"/>
      <c r="T314" s="3" t="b">
        <v>0</v>
      </c>
      <c r="U314" s="3">
        <v>3670</v>
      </c>
      <c r="V314" s="3">
        <v>0</v>
      </c>
      <c r="W314" s="3">
        <v>2607</v>
      </c>
      <c r="X314" s="3">
        <v>9.74</v>
      </c>
    </row>
    <row r="315" spans="1:24" hidden="1">
      <c r="A315" s="1">
        <v>45108</v>
      </c>
      <c r="B315" s="1" t="s">
        <v>551</v>
      </c>
      <c r="C315" s="2" t="s">
        <v>545</v>
      </c>
      <c r="D315" s="2" t="s">
        <v>194</v>
      </c>
      <c r="E315" s="2" t="s">
        <v>528</v>
      </c>
      <c r="F315" s="2" t="s">
        <v>529</v>
      </c>
      <c r="G315" s="2" t="s">
        <v>530</v>
      </c>
      <c r="H315" s="2" t="s">
        <v>546</v>
      </c>
      <c r="I315" t="s">
        <v>198</v>
      </c>
      <c r="J315" s="18">
        <v>20023.400000000001</v>
      </c>
      <c r="K315" s="18"/>
      <c r="L315" s="18">
        <v>29814.949918845901</v>
      </c>
      <c r="M315" s="18">
        <v>-9791.3595563127492</v>
      </c>
      <c r="N315" s="18"/>
      <c r="O315" s="18"/>
      <c r="P315" s="3">
        <v>0</v>
      </c>
      <c r="Q315" s="3">
        <v>0</v>
      </c>
      <c r="R315" s="3">
        <v>0</v>
      </c>
      <c r="S315" s="3"/>
      <c r="T315" s="3" t="b">
        <v>0</v>
      </c>
      <c r="U315" s="3">
        <v>3564</v>
      </c>
      <c r="V315" s="3">
        <v>0</v>
      </c>
      <c r="W315" s="3">
        <v>2839</v>
      </c>
      <c r="X315" s="3">
        <v>10.74</v>
      </c>
    </row>
    <row r="316" spans="1:24" hidden="1">
      <c r="A316" s="1">
        <v>45139</v>
      </c>
      <c r="B316" s="1" t="s">
        <v>552</v>
      </c>
      <c r="C316" s="2" t="s">
        <v>545</v>
      </c>
      <c r="D316" s="2" t="s">
        <v>194</v>
      </c>
      <c r="E316" s="2" t="s">
        <v>528</v>
      </c>
      <c r="F316" s="2" t="s">
        <v>529</v>
      </c>
      <c r="G316" s="2" t="s">
        <v>530</v>
      </c>
      <c r="H316" s="2" t="s">
        <v>546</v>
      </c>
      <c r="I316" t="s">
        <v>198</v>
      </c>
      <c r="J316" s="18">
        <v>20162.259999999998</v>
      </c>
      <c r="K316" s="18"/>
      <c r="L316" s="18">
        <v>30613.813540252198</v>
      </c>
      <c r="M316" s="18">
        <v>-10451.8646865269</v>
      </c>
      <c r="N316" s="18"/>
      <c r="O316" s="18"/>
      <c r="P316" s="3">
        <v>0</v>
      </c>
      <c r="Q316" s="3">
        <v>0</v>
      </c>
      <c r="R316" s="3">
        <v>0</v>
      </c>
      <c r="S316" s="3"/>
      <c r="T316" s="3" t="b">
        <v>0</v>
      </c>
      <c r="U316" s="3">
        <v>3583</v>
      </c>
      <c r="V316" s="3">
        <v>0</v>
      </c>
      <c r="W316" s="3">
        <v>2469</v>
      </c>
      <c r="X316" s="3">
        <v>10.95</v>
      </c>
    </row>
    <row r="317" spans="1:24" hidden="1">
      <c r="A317" s="1">
        <v>45474</v>
      </c>
      <c r="B317" s="1" t="s">
        <v>553</v>
      </c>
      <c r="C317" s="2" t="s">
        <v>545</v>
      </c>
      <c r="D317" s="2" t="s">
        <v>194</v>
      </c>
      <c r="E317" s="2" t="s">
        <v>528</v>
      </c>
      <c r="F317" s="2" t="s">
        <v>529</v>
      </c>
      <c r="G317" s="2" t="s">
        <v>530</v>
      </c>
      <c r="H317" s="2" t="s">
        <v>546</v>
      </c>
      <c r="I317" t="s">
        <v>198</v>
      </c>
      <c r="J317" s="18">
        <v>30919.82</v>
      </c>
      <c r="K317" s="18">
        <v>20852.61</v>
      </c>
      <c r="L317" s="18">
        <v>39248.346864390798</v>
      </c>
      <c r="M317" s="18">
        <v>-8328.3591936610701</v>
      </c>
      <c r="N317" s="18">
        <v>21052.61</v>
      </c>
      <c r="O317" s="18">
        <v>20652.61</v>
      </c>
      <c r="P317" s="3">
        <v>1</v>
      </c>
      <c r="Q317" s="3">
        <v>0</v>
      </c>
      <c r="R317" s="3">
        <v>1</v>
      </c>
      <c r="S317" s="3"/>
      <c r="T317" s="3" t="b">
        <v>0</v>
      </c>
      <c r="U317" s="3">
        <v>3567</v>
      </c>
      <c r="V317" s="3">
        <v>0</v>
      </c>
      <c r="W317" s="3">
        <v>1264</v>
      </c>
      <c r="X317" s="3">
        <v>11.37</v>
      </c>
    </row>
    <row r="318" spans="1:24" hidden="1">
      <c r="A318" s="1">
        <v>45505</v>
      </c>
      <c r="B318" s="1" t="s">
        <v>554</v>
      </c>
      <c r="C318" s="2" t="s">
        <v>545</v>
      </c>
      <c r="D318" s="2" t="s">
        <v>194</v>
      </c>
      <c r="E318" s="2" t="s">
        <v>528</v>
      </c>
      <c r="F318" s="2" t="s">
        <v>529</v>
      </c>
      <c r="G318" s="2" t="s">
        <v>530</v>
      </c>
      <c r="H318" s="2" t="s">
        <v>546</v>
      </c>
      <c r="I318" t="s">
        <v>198</v>
      </c>
      <c r="J318" s="18">
        <v>25881.89</v>
      </c>
      <c r="K318" s="18">
        <v>21406.15</v>
      </c>
      <c r="L318" s="18">
        <v>40047.363376115798</v>
      </c>
      <c r="M318" s="18">
        <v>-14165.7925201323</v>
      </c>
      <c r="N318" s="18">
        <v>21606.15</v>
      </c>
      <c r="O318" s="18">
        <v>21206.15</v>
      </c>
      <c r="P318" s="3">
        <v>1</v>
      </c>
      <c r="Q318" s="3">
        <v>0</v>
      </c>
      <c r="R318" s="3">
        <v>0</v>
      </c>
      <c r="S318" s="3"/>
      <c r="T318" s="3" t="b">
        <v>0</v>
      </c>
      <c r="U318" s="3">
        <v>4316</v>
      </c>
      <c r="V318" s="3">
        <v>1</v>
      </c>
      <c r="W318" s="3">
        <v>2361</v>
      </c>
      <c r="X318" s="3">
        <v>11.19</v>
      </c>
    </row>
    <row r="319" spans="1:24" hidden="1">
      <c r="A319" s="1">
        <v>45536</v>
      </c>
      <c r="B319" s="1" t="s">
        <v>555</v>
      </c>
      <c r="C319" s="2" t="s">
        <v>545</v>
      </c>
      <c r="D319" s="2" t="s">
        <v>194</v>
      </c>
      <c r="E319" s="2" t="s">
        <v>528</v>
      </c>
      <c r="F319" s="2" t="s">
        <v>529</v>
      </c>
      <c r="G319" s="2" t="s">
        <v>530</v>
      </c>
      <c r="H319" s="2" t="s">
        <v>546</v>
      </c>
      <c r="I319" t="s">
        <v>198</v>
      </c>
      <c r="J319" s="18">
        <v>26438.1</v>
      </c>
      <c r="K319" s="18">
        <v>22051.06</v>
      </c>
      <c r="L319" s="18">
        <v>40846.379887840798</v>
      </c>
      <c r="M319" s="18">
        <v>-14408.0100513173</v>
      </c>
      <c r="N319" s="18">
        <v>22251.06</v>
      </c>
      <c r="O319" s="18">
        <v>21851.06</v>
      </c>
      <c r="P319" s="3">
        <v>1</v>
      </c>
      <c r="Q319" s="3">
        <v>0</v>
      </c>
      <c r="R319" s="3">
        <v>0</v>
      </c>
      <c r="S319" s="3"/>
      <c r="T319" s="3" t="b">
        <v>0</v>
      </c>
      <c r="U319" s="3">
        <v>2413</v>
      </c>
      <c r="V319" s="3">
        <v>0</v>
      </c>
      <c r="W319" s="3">
        <v>2324</v>
      </c>
      <c r="X319" s="3">
        <v>10.83</v>
      </c>
    </row>
    <row r="320" spans="1:24" hidden="1">
      <c r="A320" s="1">
        <v>45566</v>
      </c>
      <c r="B320" s="1" t="s">
        <v>556</v>
      </c>
      <c r="C320" s="2" t="s">
        <v>545</v>
      </c>
      <c r="D320" s="2" t="s">
        <v>194</v>
      </c>
      <c r="E320" s="2" t="s">
        <v>528</v>
      </c>
      <c r="F320" s="2" t="s">
        <v>529</v>
      </c>
      <c r="G320" s="2" t="s">
        <v>530</v>
      </c>
      <c r="H320" s="2" t="s">
        <v>546</v>
      </c>
      <c r="I320" t="s">
        <v>224</v>
      </c>
      <c r="J320" s="18"/>
      <c r="K320" s="18">
        <v>21820.42</v>
      </c>
      <c r="L320" s="18">
        <v>41619.621673381102</v>
      </c>
      <c r="M320" s="18">
        <v>157891.54563148701</v>
      </c>
      <c r="N320" s="18">
        <v>22020.42</v>
      </c>
      <c r="O320" s="18">
        <v>21620.42</v>
      </c>
      <c r="P320" s="3"/>
      <c r="Q320" s="3"/>
      <c r="R320" s="3"/>
      <c r="S320" s="3"/>
      <c r="T320" s="3"/>
      <c r="U320" s="3"/>
      <c r="V320" s="3"/>
      <c r="W320" s="3">
        <v>1377</v>
      </c>
      <c r="X320" s="3">
        <v>10.17</v>
      </c>
    </row>
    <row r="321" spans="1:24" hidden="1">
      <c r="A321" s="1">
        <v>45597</v>
      </c>
      <c r="B321" s="1" t="s">
        <v>557</v>
      </c>
      <c r="C321" s="2" t="s">
        <v>545</v>
      </c>
      <c r="D321" s="2" t="s">
        <v>194</v>
      </c>
      <c r="E321" s="2" t="s">
        <v>528</v>
      </c>
      <c r="F321" s="2" t="s">
        <v>529</v>
      </c>
      <c r="G321" s="2" t="s">
        <v>530</v>
      </c>
      <c r="H321" s="2" t="s">
        <v>546</v>
      </c>
      <c r="I321" t="s">
        <v>224</v>
      </c>
      <c r="J321" s="18"/>
      <c r="K321" s="18">
        <v>22331.24</v>
      </c>
      <c r="L321" s="18">
        <v>42418.638185106101</v>
      </c>
      <c r="M321" s="18">
        <v>-151159.72519576701</v>
      </c>
      <c r="N321" s="18">
        <v>22531.24</v>
      </c>
      <c r="O321" s="18">
        <v>22131.24</v>
      </c>
      <c r="P321" s="3"/>
      <c r="Q321" s="3"/>
      <c r="R321" s="3"/>
      <c r="S321" s="3"/>
      <c r="T321" s="3"/>
      <c r="U321" s="3"/>
      <c r="V321" s="3"/>
      <c r="W321" s="3">
        <v>2198</v>
      </c>
      <c r="X321" s="3">
        <v>10.97</v>
      </c>
    </row>
    <row r="322" spans="1:24" hidden="1">
      <c r="A322" s="1">
        <v>45627</v>
      </c>
      <c r="B322" s="1" t="s">
        <v>558</v>
      </c>
      <c r="C322" s="2" t="s">
        <v>545</v>
      </c>
      <c r="D322" s="2" t="s">
        <v>194</v>
      </c>
      <c r="E322" s="2" t="s">
        <v>528</v>
      </c>
      <c r="F322" s="2" t="s">
        <v>529</v>
      </c>
      <c r="G322" s="2" t="s">
        <v>530</v>
      </c>
      <c r="H322" s="2" t="s">
        <v>546</v>
      </c>
      <c r="I322" t="s">
        <v>224</v>
      </c>
      <c r="J322" s="18"/>
      <c r="K322" s="18">
        <v>22804.22</v>
      </c>
      <c r="L322" s="18">
        <v>43191.879970646398</v>
      </c>
      <c r="M322" s="18">
        <v>234932.47221291601</v>
      </c>
      <c r="N322" s="18">
        <v>23004.22</v>
      </c>
      <c r="O322" s="18">
        <v>22604.22</v>
      </c>
      <c r="P322" s="3"/>
      <c r="Q322" s="3"/>
      <c r="R322" s="3"/>
      <c r="S322" s="3"/>
      <c r="T322" s="3"/>
      <c r="U322" s="3"/>
      <c r="V322" s="3"/>
      <c r="W322" s="3">
        <v>1962</v>
      </c>
      <c r="X322" s="3">
        <v>11.85</v>
      </c>
    </row>
    <row r="323" spans="1:24" hidden="1">
      <c r="A323" s="1">
        <v>44562</v>
      </c>
      <c r="B323" s="1" t="s">
        <v>559</v>
      </c>
      <c r="C323" s="2" t="s">
        <v>560</v>
      </c>
      <c r="D323" s="2" t="s">
        <v>194</v>
      </c>
      <c r="E323" s="2" t="s">
        <v>528</v>
      </c>
      <c r="F323" s="2" t="s">
        <v>529</v>
      </c>
      <c r="G323" s="2" t="s">
        <v>141</v>
      </c>
      <c r="H323" s="2" t="s">
        <v>415</v>
      </c>
      <c r="I323" t="s">
        <v>198</v>
      </c>
      <c r="J323" s="18">
        <v>18373.12</v>
      </c>
      <c r="K323" s="18"/>
      <c r="L323" s="18">
        <v>20541.038283919999</v>
      </c>
      <c r="M323" s="18">
        <v>-791.69531420454302</v>
      </c>
      <c r="N323" s="18"/>
      <c r="O323" s="18"/>
      <c r="P323" s="3">
        <v>0</v>
      </c>
      <c r="Q323" s="3">
        <v>0</v>
      </c>
      <c r="R323" s="3">
        <v>0</v>
      </c>
      <c r="S323" s="3"/>
      <c r="T323" s="3" t="b">
        <v>1</v>
      </c>
      <c r="U323" s="3">
        <v>2110</v>
      </c>
      <c r="V323" s="3">
        <v>2</v>
      </c>
      <c r="W323" s="3">
        <v>2994</v>
      </c>
      <c r="X323" s="3">
        <v>10.74</v>
      </c>
    </row>
    <row r="324" spans="1:24" hidden="1">
      <c r="A324" s="1">
        <v>44593</v>
      </c>
      <c r="B324" s="1" t="s">
        <v>561</v>
      </c>
      <c r="C324" s="2" t="s">
        <v>560</v>
      </c>
      <c r="D324" s="2" t="s">
        <v>194</v>
      </c>
      <c r="E324" s="2" t="s">
        <v>528</v>
      </c>
      <c r="F324" s="2" t="s">
        <v>529</v>
      </c>
      <c r="G324" s="2" t="s">
        <v>141</v>
      </c>
      <c r="H324" s="2" t="s">
        <v>415</v>
      </c>
      <c r="I324" t="s">
        <v>198</v>
      </c>
      <c r="J324" s="18">
        <v>18684.759999999998</v>
      </c>
      <c r="K324" s="18"/>
      <c r="L324" s="18">
        <v>20522.984838351</v>
      </c>
      <c r="M324" s="18">
        <v>-1197.3481008794199</v>
      </c>
      <c r="N324" s="18"/>
      <c r="O324" s="18"/>
      <c r="P324" s="3">
        <v>0</v>
      </c>
      <c r="Q324" s="3">
        <v>0</v>
      </c>
      <c r="R324" s="3">
        <v>0</v>
      </c>
      <c r="S324" s="3"/>
      <c r="T324" s="3" t="b">
        <v>0</v>
      </c>
      <c r="U324" s="3">
        <v>3493</v>
      </c>
      <c r="V324" s="3">
        <v>0</v>
      </c>
      <c r="W324" s="3">
        <v>1910</v>
      </c>
      <c r="X324" s="3">
        <v>12.42</v>
      </c>
    </row>
    <row r="325" spans="1:24" hidden="1">
      <c r="A325" s="1">
        <v>44621</v>
      </c>
      <c r="B325" s="1" t="s">
        <v>562</v>
      </c>
      <c r="C325" s="2" t="s">
        <v>560</v>
      </c>
      <c r="D325" s="2" t="s">
        <v>194</v>
      </c>
      <c r="E325" s="2" t="s">
        <v>528</v>
      </c>
      <c r="F325" s="2" t="s">
        <v>529</v>
      </c>
      <c r="G325" s="2" t="s">
        <v>141</v>
      </c>
      <c r="H325" s="2" t="s">
        <v>415</v>
      </c>
      <c r="I325" t="s">
        <v>198</v>
      </c>
      <c r="J325" s="18">
        <v>18612.8</v>
      </c>
      <c r="K325" s="18"/>
      <c r="L325" s="18">
        <v>20506.6785005653</v>
      </c>
      <c r="M325" s="18">
        <v>221.418702936469</v>
      </c>
      <c r="N325" s="18"/>
      <c r="O325" s="18"/>
      <c r="P325" s="3">
        <v>0</v>
      </c>
      <c r="Q325" s="3">
        <v>0</v>
      </c>
      <c r="R325" s="3">
        <v>0</v>
      </c>
      <c r="S325" s="3"/>
      <c r="T325" s="3" t="b">
        <v>0</v>
      </c>
      <c r="U325" s="3">
        <v>4081</v>
      </c>
      <c r="V325" s="3">
        <v>0</v>
      </c>
      <c r="W325" s="3">
        <v>2943</v>
      </c>
      <c r="X325" s="3">
        <v>10.63</v>
      </c>
    </row>
    <row r="326" spans="1:24" hidden="1">
      <c r="A326" s="1">
        <v>44652</v>
      </c>
      <c r="B326" s="1" t="s">
        <v>563</v>
      </c>
      <c r="C326" s="2" t="s">
        <v>560</v>
      </c>
      <c r="D326" s="2" t="s">
        <v>194</v>
      </c>
      <c r="E326" s="2" t="s">
        <v>528</v>
      </c>
      <c r="F326" s="2" t="s">
        <v>529</v>
      </c>
      <c r="G326" s="2" t="s">
        <v>141</v>
      </c>
      <c r="H326" s="2" t="s">
        <v>415</v>
      </c>
      <c r="I326" t="s">
        <v>198</v>
      </c>
      <c r="J326" s="18">
        <v>19124.400000000001</v>
      </c>
      <c r="K326" s="18"/>
      <c r="L326" s="18">
        <v>20488.6250548891</v>
      </c>
      <c r="M326" s="18">
        <v>-434.29780161866199</v>
      </c>
      <c r="N326" s="18"/>
      <c r="O326" s="18"/>
      <c r="P326" s="3">
        <v>0</v>
      </c>
      <c r="Q326" s="3">
        <v>0</v>
      </c>
      <c r="R326" s="3">
        <v>0</v>
      </c>
      <c r="S326" s="3"/>
      <c r="T326" s="3" t="b">
        <v>0</v>
      </c>
      <c r="U326" s="3">
        <v>2622</v>
      </c>
      <c r="V326" s="3">
        <v>1</v>
      </c>
      <c r="W326" s="3">
        <v>2573</v>
      </c>
      <c r="X326" s="3">
        <v>10.14</v>
      </c>
    </row>
    <row r="327" spans="1:24" hidden="1">
      <c r="A327" s="1">
        <v>44682</v>
      </c>
      <c r="B327" s="1" t="s">
        <v>564</v>
      </c>
      <c r="C327" s="2" t="s">
        <v>560</v>
      </c>
      <c r="D327" s="2" t="s">
        <v>194</v>
      </c>
      <c r="E327" s="2" t="s">
        <v>528</v>
      </c>
      <c r="F327" s="2" t="s">
        <v>529</v>
      </c>
      <c r="G327" s="2" t="s">
        <v>141</v>
      </c>
      <c r="H327" s="2" t="s">
        <v>415</v>
      </c>
      <c r="I327" t="s">
        <v>198</v>
      </c>
      <c r="J327" s="18">
        <v>19431.61</v>
      </c>
      <c r="K327" s="18"/>
      <c r="L327" s="18">
        <v>20471.153978263901</v>
      </c>
      <c r="M327" s="18">
        <v>-458.84756700365898</v>
      </c>
      <c r="N327" s="18"/>
      <c r="O327" s="18"/>
      <c r="P327" s="3">
        <v>0</v>
      </c>
      <c r="Q327" s="3">
        <v>0</v>
      </c>
      <c r="R327" s="3">
        <v>0</v>
      </c>
      <c r="S327" s="3"/>
      <c r="T327" s="3" t="b">
        <v>0</v>
      </c>
      <c r="U327" s="3">
        <v>4795</v>
      </c>
      <c r="V327" s="3">
        <v>1</v>
      </c>
      <c r="W327" s="3">
        <v>2442</v>
      </c>
      <c r="X327" s="3">
        <v>11.09</v>
      </c>
    </row>
    <row r="328" spans="1:24" hidden="1">
      <c r="A328" s="1">
        <v>44713</v>
      </c>
      <c r="B328" s="1" t="s">
        <v>565</v>
      </c>
      <c r="C328" s="2" t="s">
        <v>560</v>
      </c>
      <c r="D328" s="2" t="s">
        <v>194</v>
      </c>
      <c r="E328" s="2" t="s">
        <v>528</v>
      </c>
      <c r="F328" s="2" t="s">
        <v>529</v>
      </c>
      <c r="G328" s="2" t="s">
        <v>141</v>
      </c>
      <c r="H328" s="2" t="s">
        <v>415</v>
      </c>
      <c r="I328" t="s">
        <v>198</v>
      </c>
      <c r="J328" s="18">
        <v>19898.560000000001</v>
      </c>
      <c r="K328" s="18"/>
      <c r="L328" s="18">
        <v>20453.1005325406</v>
      </c>
      <c r="M328" s="18">
        <v>-3106.2649615475598</v>
      </c>
      <c r="N328" s="18"/>
      <c r="O328" s="18"/>
      <c r="P328" s="3">
        <v>0</v>
      </c>
      <c r="Q328" s="3">
        <v>0</v>
      </c>
      <c r="R328" s="3">
        <v>0</v>
      </c>
      <c r="S328" s="3"/>
      <c r="T328" s="3" t="b">
        <v>0</v>
      </c>
      <c r="U328" s="3">
        <v>4642</v>
      </c>
      <c r="V328" s="3">
        <v>1</v>
      </c>
      <c r="W328" s="3">
        <v>2629</v>
      </c>
      <c r="X328" s="3">
        <v>9.6199999999999992</v>
      </c>
    </row>
    <row r="329" spans="1:24" hidden="1">
      <c r="A329" s="1">
        <v>44743</v>
      </c>
      <c r="B329" s="1" t="s">
        <v>566</v>
      </c>
      <c r="C329" s="2" t="s">
        <v>560</v>
      </c>
      <c r="D329" s="2" t="s">
        <v>194</v>
      </c>
      <c r="E329" s="2" t="s">
        <v>528</v>
      </c>
      <c r="F329" s="2" t="s">
        <v>529</v>
      </c>
      <c r="G329" s="2" t="s">
        <v>141</v>
      </c>
      <c r="H329" s="2" t="s">
        <v>415</v>
      </c>
      <c r="I329" t="s">
        <v>198</v>
      </c>
      <c r="J329" s="18">
        <v>19861.150000000001</v>
      </c>
      <c r="K329" s="18"/>
      <c r="L329" s="18">
        <v>20435.6294561912</v>
      </c>
      <c r="M329" s="18">
        <v>-120.645322435005</v>
      </c>
      <c r="N329" s="18"/>
      <c r="O329" s="18"/>
      <c r="P329" s="3">
        <v>0</v>
      </c>
      <c r="Q329" s="3">
        <v>0</v>
      </c>
      <c r="R329" s="3">
        <v>0</v>
      </c>
      <c r="S329" s="3"/>
      <c r="T329" s="3" t="b">
        <v>0</v>
      </c>
      <c r="U329" s="3">
        <v>4472</v>
      </c>
      <c r="V329" s="3">
        <v>0</v>
      </c>
      <c r="W329" s="3">
        <v>2118</v>
      </c>
      <c r="X329" s="3">
        <v>12.27</v>
      </c>
    </row>
    <row r="330" spans="1:24" hidden="1">
      <c r="A330" s="1">
        <v>44774</v>
      </c>
      <c r="B330" s="1" t="s">
        <v>567</v>
      </c>
      <c r="C330" s="2" t="s">
        <v>560</v>
      </c>
      <c r="D330" s="2" t="s">
        <v>194</v>
      </c>
      <c r="E330" s="2" t="s">
        <v>528</v>
      </c>
      <c r="F330" s="2" t="s">
        <v>529</v>
      </c>
      <c r="G330" s="2" t="s">
        <v>141</v>
      </c>
      <c r="H330" s="2" t="s">
        <v>415</v>
      </c>
      <c r="I330" t="s">
        <v>198</v>
      </c>
      <c r="J330" s="18">
        <v>19747.099999999999</v>
      </c>
      <c r="K330" s="18"/>
      <c r="L330" s="18">
        <v>20417.576010782599</v>
      </c>
      <c r="M330" s="18">
        <v>534.51261125382803</v>
      </c>
      <c r="N330" s="18"/>
      <c r="O330" s="18"/>
      <c r="P330" s="3">
        <v>0</v>
      </c>
      <c r="Q330" s="3">
        <v>0</v>
      </c>
      <c r="R330" s="3">
        <v>0</v>
      </c>
      <c r="S330" s="3"/>
      <c r="T330" s="3" t="b">
        <v>0</v>
      </c>
      <c r="U330" s="3">
        <v>4660</v>
      </c>
      <c r="V330" s="3">
        <v>0</v>
      </c>
      <c r="W330" s="3">
        <v>2840</v>
      </c>
      <c r="X330" s="3">
        <v>12.74</v>
      </c>
    </row>
    <row r="331" spans="1:24" hidden="1">
      <c r="A331" s="1">
        <v>44805</v>
      </c>
      <c r="B331" s="1" t="s">
        <v>568</v>
      </c>
      <c r="C331" s="2" t="s">
        <v>560</v>
      </c>
      <c r="D331" s="2" t="s">
        <v>194</v>
      </c>
      <c r="E331" s="2" t="s">
        <v>528</v>
      </c>
      <c r="F331" s="2" t="s">
        <v>529</v>
      </c>
      <c r="G331" s="2" t="s">
        <v>141</v>
      </c>
      <c r="H331" s="2" t="s">
        <v>415</v>
      </c>
      <c r="I331" t="s">
        <v>198</v>
      </c>
      <c r="J331" s="18">
        <v>19854.23</v>
      </c>
      <c r="K331" s="18"/>
      <c r="L331" s="18">
        <v>20399.522565180701</v>
      </c>
      <c r="M331" s="18">
        <v>320.12296063400902</v>
      </c>
      <c r="N331" s="18"/>
      <c r="O331" s="18"/>
      <c r="P331" s="3">
        <v>0</v>
      </c>
      <c r="Q331" s="3">
        <v>0</v>
      </c>
      <c r="R331" s="3">
        <v>0</v>
      </c>
      <c r="S331" s="3"/>
      <c r="T331" s="3" t="b">
        <v>0</v>
      </c>
      <c r="U331" s="3">
        <v>3541</v>
      </c>
      <c r="V331" s="3">
        <v>0</v>
      </c>
      <c r="W331" s="3">
        <v>2604</v>
      </c>
      <c r="X331" s="3">
        <v>13.28</v>
      </c>
    </row>
    <row r="332" spans="1:24" hidden="1">
      <c r="A332" s="1">
        <v>44835</v>
      </c>
      <c r="B332" s="1" t="s">
        <v>569</v>
      </c>
      <c r="C332" s="2" t="s">
        <v>560</v>
      </c>
      <c r="D332" s="2" t="s">
        <v>194</v>
      </c>
      <c r="E332" s="2" t="s">
        <v>528</v>
      </c>
      <c r="F332" s="2" t="s">
        <v>529</v>
      </c>
      <c r="G332" s="2" t="s">
        <v>141</v>
      </c>
      <c r="H332" s="2" t="s">
        <v>415</v>
      </c>
      <c r="I332" t="s">
        <v>198</v>
      </c>
      <c r="J332" s="18">
        <v>19458.87</v>
      </c>
      <c r="K332" s="18"/>
      <c r="L332" s="18">
        <v>20382.0514886214</v>
      </c>
      <c r="M332" s="18">
        <v>877.67710314272301</v>
      </c>
      <c r="N332" s="18"/>
      <c r="O332" s="18"/>
      <c r="P332" s="3">
        <v>0</v>
      </c>
      <c r="Q332" s="3">
        <v>0</v>
      </c>
      <c r="R332" s="3">
        <v>0</v>
      </c>
      <c r="S332" s="3"/>
      <c r="T332" s="3" t="b">
        <v>0</v>
      </c>
      <c r="U332" s="3">
        <v>4739</v>
      </c>
      <c r="V332" s="3">
        <v>1</v>
      </c>
      <c r="W332" s="3">
        <v>1317</v>
      </c>
      <c r="X332" s="3">
        <v>10</v>
      </c>
    </row>
    <row r="333" spans="1:24" hidden="1">
      <c r="A333" s="1">
        <v>44866</v>
      </c>
      <c r="B333" s="1" t="s">
        <v>570</v>
      </c>
      <c r="C333" s="2" t="s">
        <v>560</v>
      </c>
      <c r="D333" s="2" t="s">
        <v>194</v>
      </c>
      <c r="E333" s="2" t="s">
        <v>528</v>
      </c>
      <c r="F333" s="2" t="s">
        <v>529</v>
      </c>
      <c r="G333" s="2" t="s">
        <v>141</v>
      </c>
      <c r="H333" s="2" t="s">
        <v>415</v>
      </c>
      <c r="I333" t="s">
        <v>198</v>
      </c>
      <c r="J333" s="18">
        <v>20060.53</v>
      </c>
      <c r="K333" s="18"/>
      <c r="L333" s="18">
        <v>20363.998042780499</v>
      </c>
      <c r="M333" s="18">
        <v>1276.12148997145</v>
      </c>
      <c r="N333" s="18"/>
      <c r="O333" s="18"/>
      <c r="P333" s="3">
        <v>0</v>
      </c>
      <c r="Q333" s="3">
        <v>0</v>
      </c>
      <c r="R333" s="3">
        <v>0</v>
      </c>
      <c r="S333" s="3"/>
      <c r="T333" s="3" t="b">
        <v>0</v>
      </c>
      <c r="U333" s="3">
        <v>3305</v>
      </c>
      <c r="V333" s="3">
        <v>0</v>
      </c>
      <c r="W333" s="3">
        <v>2979</v>
      </c>
      <c r="X333" s="3">
        <v>10.84</v>
      </c>
    </row>
    <row r="334" spans="1:24" hidden="1">
      <c r="A334" s="1">
        <v>44896</v>
      </c>
      <c r="B334" s="1" t="s">
        <v>571</v>
      </c>
      <c r="C334" s="2" t="s">
        <v>560</v>
      </c>
      <c r="D334" s="2" t="s">
        <v>194</v>
      </c>
      <c r="E334" s="2" t="s">
        <v>528</v>
      </c>
      <c r="F334" s="2" t="s">
        <v>529</v>
      </c>
      <c r="G334" s="2" t="s">
        <v>141</v>
      </c>
      <c r="H334" s="2" t="s">
        <v>415</v>
      </c>
      <c r="I334" t="s">
        <v>198</v>
      </c>
      <c r="J334" s="18">
        <v>20054.77</v>
      </c>
      <c r="K334" s="18"/>
      <c r="L334" s="18">
        <v>20346.526965705601</v>
      </c>
      <c r="M334" s="18">
        <v>1359.27525108033</v>
      </c>
      <c r="N334" s="18"/>
      <c r="O334" s="18"/>
      <c r="P334" s="3">
        <v>0</v>
      </c>
      <c r="Q334" s="3">
        <v>0</v>
      </c>
      <c r="R334" s="3">
        <v>0</v>
      </c>
      <c r="S334" s="3"/>
      <c r="T334" s="3" t="b">
        <v>0</v>
      </c>
      <c r="U334" s="3">
        <v>3761</v>
      </c>
      <c r="V334" s="3">
        <v>0</v>
      </c>
      <c r="W334" s="3">
        <v>1235</v>
      </c>
      <c r="X334" s="3">
        <v>11.55</v>
      </c>
    </row>
    <row r="335" spans="1:24" hidden="1">
      <c r="A335" s="1">
        <v>44927</v>
      </c>
      <c r="B335" s="1" t="s">
        <v>572</v>
      </c>
      <c r="C335" s="2" t="s">
        <v>560</v>
      </c>
      <c r="D335" s="2" t="s">
        <v>194</v>
      </c>
      <c r="E335" s="2" t="s">
        <v>528</v>
      </c>
      <c r="F335" s="2" t="s">
        <v>529</v>
      </c>
      <c r="G335" s="2" t="s">
        <v>141</v>
      </c>
      <c r="H335" s="2" t="s">
        <v>415</v>
      </c>
      <c r="I335" t="s">
        <v>198</v>
      </c>
      <c r="J335" s="18">
        <v>20272.96</v>
      </c>
      <c r="K335" s="18"/>
      <c r="L335" s="18">
        <v>20328.470139456102</v>
      </c>
      <c r="M335" s="18">
        <v>-1110.40429531925</v>
      </c>
      <c r="N335" s="18"/>
      <c r="O335" s="18"/>
      <c r="P335" s="3">
        <v>0</v>
      </c>
      <c r="Q335" s="3">
        <v>0</v>
      </c>
      <c r="R335" s="3">
        <v>0</v>
      </c>
      <c r="S335" s="3"/>
      <c r="T335" s="3" t="b">
        <v>0</v>
      </c>
      <c r="U335" s="3">
        <v>3975</v>
      </c>
      <c r="V335" s="3">
        <v>0</v>
      </c>
      <c r="W335" s="3">
        <v>2969</v>
      </c>
      <c r="X335" s="3">
        <v>11.22</v>
      </c>
    </row>
    <row r="336" spans="1:24" hidden="1">
      <c r="A336" s="1">
        <v>44958</v>
      </c>
      <c r="B336" s="1" t="s">
        <v>573</v>
      </c>
      <c r="C336" s="2" t="s">
        <v>560</v>
      </c>
      <c r="D336" s="2" t="s">
        <v>194</v>
      </c>
      <c r="E336" s="2" t="s">
        <v>528</v>
      </c>
      <c r="F336" s="2" t="s">
        <v>529</v>
      </c>
      <c r="G336" s="2" t="s">
        <v>141</v>
      </c>
      <c r="H336" s="2" t="s">
        <v>415</v>
      </c>
      <c r="I336" t="s">
        <v>198</v>
      </c>
      <c r="J336" s="18">
        <v>20165.259999999998</v>
      </c>
      <c r="K336" s="18"/>
      <c r="L336" s="18">
        <v>20310.4067623505</v>
      </c>
      <c r="M336" s="18">
        <v>-905.70338294575402</v>
      </c>
      <c r="N336" s="18"/>
      <c r="O336" s="18"/>
      <c r="P336" s="3">
        <v>0</v>
      </c>
      <c r="Q336" s="3">
        <v>0</v>
      </c>
      <c r="R336" s="3">
        <v>0</v>
      </c>
      <c r="S336" s="3"/>
      <c r="T336" s="3" t="b">
        <v>0</v>
      </c>
      <c r="U336" s="3">
        <v>4362</v>
      </c>
      <c r="V336" s="3">
        <v>1</v>
      </c>
      <c r="W336" s="3">
        <v>1333</v>
      </c>
      <c r="X336" s="3">
        <v>12.62</v>
      </c>
    </row>
    <row r="337" spans="1:24" hidden="1">
      <c r="A337" s="1">
        <v>44986</v>
      </c>
      <c r="B337" s="1" t="s">
        <v>574</v>
      </c>
      <c r="C337" s="2" t="s">
        <v>560</v>
      </c>
      <c r="D337" s="2" t="s">
        <v>194</v>
      </c>
      <c r="E337" s="2" t="s">
        <v>528</v>
      </c>
      <c r="F337" s="2" t="s">
        <v>529</v>
      </c>
      <c r="G337" s="2" t="s">
        <v>141</v>
      </c>
      <c r="H337" s="2" t="s">
        <v>415</v>
      </c>
      <c r="I337" t="s">
        <v>198</v>
      </c>
      <c r="J337" s="18">
        <v>24098.48</v>
      </c>
      <c r="K337" s="18"/>
      <c r="L337" s="18">
        <v>20294.020506092598</v>
      </c>
      <c r="M337" s="18">
        <v>-81.234189715094899</v>
      </c>
      <c r="N337" s="18"/>
      <c r="O337" s="18"/>
      <c r="P337" s="3">
        <v>0</v>
      </c>
      <c r="Q337" s="3">
        <v>0</v>
      </c>
      <c r="R337" s="3">
        <v>1</v>
      </c>
      <c r="S337" s="3"/>
      <c r="T337" s="3" t="b">
        <v>1</v>
      </c>
      <c r="U337" s="3">
        <v>2876</v>
      </c>
      <c r="V337" s="3">
        <v>0</v>
      </c>
      <c r="W337" s="3">
        <v>2908</v>
      </c>
      <c r="X337" s="3">
        <v>9.0500000000000007</v>
      </c>
    </row>
    <row r="338" spans="1:24" hidden="1">
      <c r="A338" s="1">
        <v>45017</v>
      </c>
      <c r="B338" s="1" t="s">
        <v>575</v>
      </c>
      <c r="C338" s="2" t="s">
        <v>560</v>
      </c>
      <c r="D338" s="2" t="s">
        <v>194</v>
      </c>
      <c r="E338" s="2" t="s">
        <v>528</v>
      </c>
      <c r="F338" s="2" t="s">
        <v>529</v>
      </c>
      <c r="G338" s="2" t="s">
        <v>141</v>
      </c>
      <c r="H338" s="2" t="s">
        <v>415</v>
      </c>
      <c r="I338" t="s">
        <v>198</v>
      </c>
      <c r="J338" s="18">
        <v>20612.93</v>
      </c>
      <c r="K338" s="18"/>
      <c r="L338" s="18">
        <v>20275.868427809</v>
      </c>
      <c r="M338" s="18">
        <v>-113.4953542066</v>
      </c>
      <c r="N338" s="18"/>
      <c r="O338" s="18"/>
      <c r="P338" s="3">
        <v>0</v>
      </c>
      <c r="Q338" s="3">
        <v>0</v>
      </c>
      <c r="R338" s="3">
        <v>0</v>
      </c>
      <c r="S338" s="3"/>
      <c r="T338" s="3" t="b">
        <v>0</v>
      </c>
      <c r="U338" s="3">
        <v>3989</v>
      </c>
      <c r="V338" s="3">
        <v>0</v>
      </c>
      <c r="W338" s="3">
        <v>1375</v>
      </c>
      <c r="X338" s="3">
        <v>11.37</v>
      </c>
    </row>
    <row r="339" spans="1:24" hidden="1">
      <c r="A339" s="1">
        <v>45047</v>
      </c>
      <c r="B339" s="1" t="s">
        <v>576</v>
      </c>
      <c r="C339" s="2" t="s">
        <v>560</v>
      </c>
      <c r="D339" s="2" t="s">
        <v>194</v>
      </c>
      <c r="E339" s="2" t="s">
        <v>528</v>
      </c>
      <c r="F339" s="2" t="s">
        <v>529</v>
      </c>
      <c r="G339" s="2" t="s">
        <v>141</v>
      </c>
      <c r="H339" s="2" t="s">
        <v>415</v>
      </c>
      <c r="I339" t="s">
        <v>198</v>
      </c>
      <c r="J339" s="18">
        <v>20817.330000000002</v>
      </c>
      <c r="K339" s="18"/>
      <c r="L339" s="18">
        <v>20258.176117505998</v>
      </c>
      <c r="M339" s="18">
        <v>-774.52501462523298</v>
      </c>
      <c r="N339" s="18"/>
      <c r="O339" s="18"/>
      <c r="P339" s="3">
        <v>0</v>
      </c>
      <c r="Q339" s="3">
        <v>0</v>
      </c>
      <c r="R339" s="3">
        <v>0</v>
      </c>
      <c r="S339" s="3"/>
      <c r="T339" s="3" t="b">
        <v>0</v>
      </c>
      <c r="U339" s="3">
        <v>3312</v>
      </c>
      <c r="V339" s="3">
        <v>0</v>
      </c>
      <c r="W339" s="3">
        <v>2482</v>
      </c>
      <c r="X339" s="3">
        <v>11.39</v>
      </c>
    </row>
    <row r="340" spans="1:24" hidden="1">
      <c r="A340" s="1">
        <v>45078</v>
      </c>
      <c r="B340" s="1" t="s">
        <v>577</v>
      </c>
      <c r="C340" s="2" t="s">
        <v>560</v>
      </c>
      <c r="D340" s="2" t="s">
        <v>194</v>
      </c>
      <c r="E340" s="2" t="s">
        <v>528</v>
      </c>
      <c r="F340" s="2" t="s">
        <v>529</v>
      </c>
      <c r="G340" s="2" t="s">
        <v>141</v>
      </c>
      <c r="H340" s="2" t="s">
        <v>415</v>
      </c>
      <c r="I340" t="s">
        <v>198</v>
      </c>
      <c r="J340" s="18">
        <v>21296.93</v>
      </c>
      <c r="K340" s="18"/>
      <c r="L340" s="18">
        <v>20239.643504751399</v>
      </c>
      <c r="M340" s="18">
        <v>-2764.6101630848698</v>
      </c>
      <c r="N340" s="18"/>
      <c r="O340" s="18"/>
      <c r="P340" s="3">
        <v>0</v>
      </c>
      <c r="Q340" s="3">
        <v>0</v>
      </c>
      <c r="R340" s="3">
        <v>0</v>
      </c>
      <c r="S340" s="3"/>
      <c r="T340" s="3" t="b">
        <v>0</v>
      </c>
      <c r="U340" s="3">
        <v>3460</v>
      </c>
      <c r="V340" s="3">
        <v>0</v>
      </c>
      <c r="W340" s="3">
        <v>2160</v>
      </c>
      <c r="X340" s="3">
        <v>10.77</v>
      </c>
    </row>
    <row r="341" spans="1:24" hidden="1">
      <c r="A341" s="1">
        <v>45108</v>
      </c>
      <c r="B341" s="1" t="s">
        <v>578</v>
      </c>
      <c r="C341" s="2" t="s">
        <v>560</v>
      </c>
      <c r="D341" s="2" t="s">
        <v>194</v>
      </c>
      <c r="E341" s="2" t="s">
        <v>528</v>
      </c>
      <c r="F341" s="2" t="s">
        <v>529</v>
      </c>
      <c r="G341" s="2" t="s">
        <v>141</v>
      </c>
      <c r="H341" s="2" t="s">
        <v>415</v>
      </c>
      <c r="I341" t="s">
        <v>198</v>
      </c>
      <c r="J341" s="18">
        <v>21435.360000000001</v>
      </c>
      <c r="K341" s="18"/>
      <c r="L341" s="18">
        <v>20221.682347302602</v>
      </c>
      <c r="M341" s="18">
        <v>-496.62295566734599</v>
      </c>
      <c r="N341" s="18"/>
      <c r="O341" s="18"/>
      <c r="P341" s="3">
        <v>0</v>
      </c>
      <c r="Q341" s="3">
        <v>0</v>
      </c>
      <c r="R341" s="3">
        <v>0</v>
      </c>
      <c r="S341" s="3"/>
      <c r="T341" s="3" t="b">
        <v>0</v>
      </c>
      <c r="U341" s="3">
        <v>4709</v>
      </c>
      <c r="V341" s="3">
        <v>0</v>
      </c>
      <c r="W341" s="3">
        <v>2953</v>
      </c>
      <c r="X341" s="3">
        <v>11.02</v>
      </c>
    </row>
    <row r="342" spans="1:24" hidden="1">
      <c r="A342" s="1">
        <v>45139</v>
      </c>
      <c r="B342" s="1" t="s">
        <v>579</v>
      </c>
      <c r="C342" s="2" t="s">
        <v>560</v>
      </c>
      <c r="D342" s="2" t="s">
        <v>194</v>
      </c>
      <c r="E342" s="2" t="s">
        <v>528</v>
      </c>
      <c r="F342" s="2" t="s">
        <v>529</v>
      </c>
      <c r="G342" s="2" t="s">
        <v>141</v>
      </c>
      <c r="H342" s="2" t="s">
        <v>415</v>
      </c>
      <c r="I342" t="s">
        <v>198</v>
      </c>
      <c r="J342" s="18">
        <v>22352.58</v>
      </c>
      <c r="K342" s="18"/>
      <c r="L342" s="18">
        <v>20203.110155701801</v>
      </c>
      <c r="M342" s="18">
        <v>901.47174407420903</v>
      </c>
      <c r="N342" s="18"/>
      <c r="O342" s="18"/>
      <c r="P342" s="3">
        <v>0</v>
      </c>
      <c r="Q342" s="3">
        <v>0</v>
      </c>
      <c r="R342" s="3">
        <v>0</v>
      </c>
      <c r="S342" s="3"/>
      <c r="T342" s="3" t="b">
        <v>0</v>
      </c>
      <c r="U342" s="3">
        <v>4324</v>
      </c>
      <c r="V342" s="3">
        <v>0</v>
      </c>
      <c r="W342" s="3">
        <v>1587</v>
      </c>
      <c r="X342" s="3">
        <v>11.28</v>
      </c>
    </row>
    <row r="343" spans="1:24" hidden="1">
      <c r="A343" s="1">
        <v>45170</v>
      </c>
      <c r="B343" s="1" t="s">
        <v>580</v>
      </c>
      <c r="C343" s="2" t="s">
        <v>560</v>
      </c>
      <c r="D343" s="2" t="s">
        <v>194</v>
      </c>
      <c r="E343" s="2" t="s">
        <v>528</v>
      </c>
      <c r="F343" s="2" t="s">
        <v>529</v>
      </c>
      <c r="G343" s="2" t="s">
        <v>141</v>
      </c>
      <c r="H343" s="2" t="s">
        <v>415</v>
      </c>
      <c r="I343" t="s">
        <v>198</v>
      </c>
      <c r="J343" s="18">
        <v>22072.42</v>
      </c>
      <c r="K343" s="18"/>
      <c r="L343" s="18">
        <v>20184.431682406401</v>
      </c>
      <c r="M343" s="18">
        <v>-36.390322747261798</v>
      </c>
      <c r="N343" s="18"/>
      <c r="O343" s="18"/>
      <c r="P343" s="3">
        <v>0</v>
      </c>
      <c r="Q343" s="3">
        <v>0</v>
      </c>
      <c r="R343" s="3">
        <v>0</v>
      </c>
      <c r="S343" s="3"/>
      <c r="T343" s="3" t="b">
        <v>0</v>
      </c>
      <c r="U343" s="3">
        <v>3733</v>
      </c>
      <c r="V343" s="3">
        <v>0</v>
      </c>
      <c r="W343" s="3">
        <v>2570</v>
      </c>
      <c r="X343" s="3">
        <v>12.29</v>
      </c>
    </row>
    <row r="344" spans="1:24" hidden="1">
      <c r="A344" s="1">
        <v>45200</v>
      </c>
      <c r="B344" s="1" t="s">
        <v>581</v>
      </c>
      <c r="C344" s="2" t="s">
        <v>560</v>
      </c>
      <c r="D344" s="2" t="s">
        <v>194</v>
      </c>
      <c r="E344" s="2" t="s">
        <v>528</v>
      </c>
      <c r="F344" s="2" t="s">
        <v>529</v>
      </c>
      <c r="G344" s="2" t="s">
        <v>141</v>
      </c>
      <c r="H344" s="2" t="s">
        <v>415</v>
      </c>
      <c r="I344" t="s">
        <v>198</v>
      </c>
      <c r="J344" s="18">
        <v>23201.72</v>
      </c>
      <c r="K344" s="18"/>
      <c r="L344" s="18">
        <v>20166.195170405601</v>
      </c>
      <c r="M344" s="18">
        <v>1222.30994885223</v>
      </c>
      <c r="N344" s="18"/>
      <c r="O344" s="18"/>
      <c r="P344" s="3">
        <v>0</v>
      </c>
      <c r="Q344" s="3">
        <v>0</v>
      </c>
      <c r="R344" s="3">
        <v>0</v>
      </c>
      <c r="S344" s="3"/>
      <c r="T344" s="3" t="b">
        <v>0</v>
      </c>
      <c r="U344" s="3">
        <v>3605</v>
      </c>
      <c r="V344" s="3">
        <v>0</v>
      </c>
      <c r="W344" s="3">
        <v>1512</v>
      </c>
      <c r="X344" s="3">
        <v>11.03</v>
      </c>
    </row>
    <row r="345" spans="1:24" hidden="1">
      <c r="A345" s="1">
        <v>45231</v>
      </c>
      <c r="B345" s="1" t="s">
        <v>582</v>
      </c>
      <c r="C345" s="2" t="s">
        <v>560</v>
      </c>
      <c r="D345" s="2" t="s">
        <v>194</v>
      </c>
      <c r="E345" s="2" t="s">
        <v>528</v>
      </c>
      <c r="F345" s="2" t="s">
        <v>529</v>
      </c>
      <c r="G345" s="2" t="s">
        <v>141</v>
      </c>
      <c r="H345" s="2" t="s">
        <v>415</v>
      </c>
      <c r="I345" t="s">
        <v>198</v>
      </c>
      <c r="J345" s="18">
        <v>22669.71</v>
      </c>
      <c r="K345" s="18"/>
      <c r="L345" s="18">
        <v>20147.327935945599</v>
      </c>
      <c r="M345" s="18">
        <v>927.16865976659597</v>
      </c>
      <c r="N345" s="18"/>
      <c r="O345" s="18"/>
      <c r="P345" s="3">
        <v>0</v>
      </c>
      <c r="Q345" s="3">
        <v>0</v>
      </c>
      <c r="R345" s="3">
        <v>0</v>
      </c>
      <c r="S345" s="3"/>
      <c r="T345" s="3" t="b">
        <v>0</v>
      </c>
      <c r="U345" s="3">
        <v>3526</v>
      </c>
      <c r="V345" s="3">
        <v>0</v>
      </c>
      <c r="W345" s="3">
        <v>2319</v>
      </c>
      <c r="X345" s="3">
        <v>9.6199999999999992</v>
      </c>
    </row>
    <row r="346" spans="1:24" hidden="1">
      <c r="A346" s="1">
        <v>45261</v>
      </c>
      <c r="B346" s="1" t="s">
        <v>583</v>
      </c>
      <c r="C346" s="2" t="s">
        <v>560</v>
      </c>
      <c r="D346" s="2" t="s">
        <v>194</v>
      </c>
      <c r="E346" s="2" t="s">
        <v>528</v>
      </c>
      <c r="F346" s="2" t="s">
        <v>529</v>
      </c>
      <c r="G346" s="2" t="s">
        <v>141</v>
      </c>
      <c r="H346" s="2" t="s">
        <v>415</v>
      </c>
      <c r="I346" t="s">
        <v>198</v>
      </c>
      <c r="J346" s="18">
        <v>23486.05</v>
      </c>
      <c r="K346" s="18"/>
      <c r="L346" s="18">
        <v>20128.940195170599</v>
      </c>
      <c r="M346" s="18">
        <v>1709.0076383881401</v>
      </c>
      <c r="N346" s="18"/>
      <c r="O346" s="18"/>
      <c r="P346" s="3">
        <v>0</v>
      </c>
      <c r="Q346" s="3">
        <v>0</v>
      </c>
      <c r="R346" s="3">
        <v>0</v>
      </c>
      <c r="S346" s="3"/>
      <c r="T346" s="3" t="b">
        <v>0</v>
      </c>
      <c r="U346" s="3">
        <v>4671</v>
      </c>
      <c r="V346" s="3">
        <v>0</v>
      </c>
      <c r="W346" s="3">
        <v>2343</v>
      </c>
      <c r="X346" s="3">
        <v>10.15</v>
      </c>
    </row>
    <row r="347" spans="1:24" hidden="1">
      <c r="A347" s="1">
        <v>45292</v>
      </c>
      <c r="B347" s="1" t="s">
        <v>584</v>
      </c>
      <c r="C347" s="2" t="s">
        <v>560</v>
      </c>
      <c r="D347" s="2" t="s">
        <v>194</v>
      </c>
      <c r="E347" s="2" t="s">
        <v>528</v>
      </c>
      <c r="F347" s="2" t="s">
        <v>529</v>
      </c>
      <c r="G347" s="2" t="s">
        <v>141</v>
      </c>
      <c r="H347" s="2" t="s">
        <v>415</v>
      </c>
      <c r="I347" t="s">
        <v>198</v>
      </c>
      <c r="J347" s="18">
        <v>19032.16</v>
      </c>
      <c r="K347" s="18"/>
      <c r="L347" s="18">
        <v>20109.886036575099</v>
      </c>
      <c r="M347" s="18">
        <v>-1429.0815214788199</v>
      </c>
      <c r="N347" s="18"/>
      <c r="O347" s="18"/>
      <c r="P347" s="3">
        <v>0</v>
      </c>
      <c r="Q347" s="3">
        <v>1</v>
      </c>
      <c r="R347" s="3">
        <v>0</v>
      </c>
      <c r="S347" s="3"/>
      <c r="T347" s="3" t="b">
        <v>0</v>
      </c>
      <c r="U347" s="3">
        <v>4563</v>
      </c>
      <c r="V347" s="3">
        <v>0</v>
      </c>
      <c r="W347" s="3">
        <v>1917</v>
      </c>
      <c r="X347" s="3">
        <v>9.91</v>
      </c>
    </row>
    <row r="348" spans="1:24" hidden="1">
      <c r="A348" s="1">
        <v>45323</v>
      </c>
      <c r="B348" s="1" t="s">
        <v>585</v>
      </c>
      <c r="C348" s="2" t="s">
        <v>560</v>
      </c>
      <c r="D348" s="2" t="s">
        <v>194</v>
      </c>
      <c r="E348" s="2" t="s">
        <v>528</v>
      </c>
      <c r="F348" s="2" t="s">
        <v>529</v>
      </c>
      <c r="G348" s="2" t="s">
        <v>141</v>
      </c>
      <c r="H348" s="2" t="s">
        <v>415</v>
      </c>
      <c r="I348" t="s">
        <v>198</v>
      </c>
      <c r="J348" s="18">
        <v>19322.580000000002</v>
      </c>
      <c r="K348" s="18"/>
      <c r="L348" s="18">
        <v>20090.8318770388</v>
      </c>
      <c r="M348" s="18">
        <v>-613.20290922497804</v>
      </c>
      <c r="N348" s="18"/>
      <c r="O348" s="18"/>
      <c r="P348" s="3">
        <v>0</v>
      </c>
      <c r="Q348" s="3">
        <v>1</v>
      </c>
      <c r="R348" s="3">
        <v>0</v>
      </c>
      <c r="S348" s="3"/>
      <c r="T348" s="3" t="b">
        <v>0</v>
      </c>
      <c r="U348" s="3">
        <v>4890</v>
      </c>
      <c r="V348" s="3">
        <v>0</v>
      </c>
      <c r="W348" s="3">
        <v>2595</v>
      </c>
      <c r="X348" s="3">
        <v>12.01</v>
      </c>
    </row>
    <row r="349" spans="1:24" hidden="1">
      <c r="A349" s="1">
        <v>45352</v>
      </c>
      <c r="B349" s="1" t="s">
        <v>586</v>
      </c>
      <c r="C349" s="2" t="s">
        <v>560</v>
      </c>
      <c r="D349" s="2" t="s">
        <v>194</v>
      </c>
      <c r="E349" s="2" t="s">
        <v>528</v>
      </c>
      <c r="F349" s="2" t="s">
        <v>529</v>
      </c>
      <c r="G349" s="2" t="s">
        <v>141</v>
      </c>
      <c r="H349" s="2" t="s">
        <v>415</v>
      </c>
      <c r="I349" t="s">
        <v>198</v>
      </c>
      <c r="J349" s="18">
        <v>19131.89</v>
      </c>
      <c r="K349" s="18"/>
      <c r="L349" s="18">
        <v>20073.007017866599</v>
      </c>
      <c r="M349" s="18">
        <v>827.84078418315903</v>
      </c>
      <c r="N349" s="18"/>
      <c r="O349" s="18"/>
      <c r="P349" s="3">
        <v>0</v>
      </c>
      <c r="Q349" s="3">
        <v>1</v>
      </c>
      <c r="R349" s="3">
        <v>0</v>
      </c>
      <c r="S349" s="3"/>
      <c r="T349" s="3" t="b">
        <v>0</v>
      </c>
      <c r="U349" s="3">
        <v>4397</v>
      </c>
      <c r="V349" s="3">
        <v>0</v>
      </c>
      <c r="W349" s="3">
        <v>2855</v>
      </c>
      <c r="X349" s="3">
        <v>12.49</v>
      </c>
    </row>
    <row r="350" spans="1:24" hidden="1">
      <c r="A350" s="1">
        <v>45383</v>
      </c>
      <c r="B350" s="1" t="s">
        <v>587</v>
      </c>
      <c r="C350" s="2" t="s">
        <v>560</v>
      </c>
      <c r="D350" s="2" t="s">
        <v>194</v>
      </c>
      <c r="E350" s="2" t="s">
        <v>528</v>
      </c>
      <c r="F350" s="2" t="s">
        <v>529</v>
      </c>
      <c r="G350" s="2" t="s">
        <v>141</v>
      </c>
      <c r="H350" s="2" t="s">
        <v>415</v>
      </c>
      <c r="I350" t="s">
        <v>198</v>
      </c>
      <c r="J350" s="18">
        <v>19552.47</v>
      </c>
      <c r="K350" s="18"/>
      <c r="L350" s="18">
        <v>20053.952858061799</v>
      </c>
      <c r="M350" s="18">
        <v>-1075.0604629371701</v>
      </c>
      <c r="N350" s="18"/>
      <c r="O350" s="18"/>
      <c r="P350" s="3">
        <v>0</v>
      </c>
      <c r="Q350" s="3">
        <v>1</v>
      </c>
      <c r="R350" s="3">
        <v>0</v>
      </c>
      <c r="S350" s="3"/>
      <c r="T350" s="3" t="b">
        <v>0</v>
      </c>
      <c r="U350" s="3">
        <v>3630</v>
      </c>
      <c r="V350" s="3">
        <v>0</v>
      </c>
      <c r="W350" s="3">
        <v>2372</v>
      </c>
      <c r="X350" s="3">
        <v>11.62</v>
      </c>
    </row>
    <row r="351" spans="1:24" hidden="1">
      <c r="A351" s="1">
        <v>45413</v>
      </c>
      <c r="B351" s="1" t="s">
        <v>588</v>
      </c>
      <c r="C351" s="2" t="s">
        <v>560</v>
      </c>
      <c r="D351" s="2" t="s">
        <v>194</v>
      </c>
      <c r="E351" s="2" t="s">
        <v>528</v>
      </c>
      <c r="F351" s="2" t="s">
        <v>529</v>
      </c>
      <c r="G351" s="2" t="s">
        <v>141</v>
      </c>
      <c r="H351" s="2" t="s">
        <v>415</v>
      </c>
      <c r="I351" t="s">
        <v>198</v>
      </c>
      <c r="J351" s="18">
        <v>19318.900000000001</v>
      </c>
      <c r="K351" s="18"/>
      <c r="L351" s="18">
        <v>20035.5133485734</v>
      </c>
      <c r="M351" s="18">
        <v>172.16811862643499</v>
      </c>
      <c r="N351" s="18"/>
      <c r="O351" s="18"/>
      <c r="P351" s="3">
        <v>0</v>
      </c>
      <c r="Q351" s="3">
        <v>1</v>
      </c>
      <c r="R351" s="3">
        <v>0</v>
      </c>
      <c r="S351" s="3"/>
      <c r="T351" s="3" t="b">
        <v>0</v>
      </c>
      <c r="U351" s="3">
        <v>4870</v>
      </c>
      <c r="V351" s="3">
        <v>0</v>
      </c>
      <c r="W351" s="3">
        <v>2863</v>
      </c>
      <c r="X351" s="3">
        <v>3</v>
      </c>
    </row>
    <row r="352" spans="1:24" hidden="1">
      <c r="A352" s="1">
        <v>45444</v>
      </c>
      <c r="B352" s="1" t="s">
        <v>589</v>
      </c>
      <c r="C352" s="2" t="s">
        <v>560</v>
      </c>
      <c r="D352" s="2" t="s">
        <v>194</v>
      </c>
      <c r="E352" s="2" t="s">
        <v>528</v>
      </c>
      <c r="F352" s="2" t="s">
        <v>529</v>
      </c>
      <c r="G352" s="2" t="s">
        <v>141</v>
      </c>
      <c r="H352" s="2" t="s">
        <v>415</v>
      </c>
      <c r="I352" t="s">
        <v>198</v>
      </c>
      <c r="J352" s="18">
        <v>9861.34</v>
      </c>
      <c r="K352" s="18"/>
      <c r="L352" s="18">
        <v>20016.4591887686</v>
      </c>
      <c r="M352" s="18">
        <v>-3787.1090445871</v>
      </c>
      <c r="N352" s="18"/>
      <c r="O352" s="18"/>
      <c r="P352" s="3">
        <v>0</v>
      </c>
      <c r="Q352" s="3">
        <v>1</v>
      </c>
      <c r="R352" s="3">
        <v>1</v>
      </c>
      <c r="S352" s="3"/>
      <c r="T352" s="3" t="b">
        <v>0</v>
      </c>
      <c r="U352" s="3">
        <v>3160</v>
      </c>
      <c r="V352" s="3">
        <v>0</v>
      </c>
      <c r="W352" s="3">
        <v>2802</v>
      </c>
      <c r="X352" s="3">
        <v>10.4</v>
      </c>
    </row>
    <row r="353" spans="1:24" hidden="1">
      <c r="A353" s="1">
        <v>45474</v>
      </c>
      <c r="B353" s="1" t="s">
        <v>590</v>
      </c>
      <c r="C353" s="2" t="s">
        <v>560</v>
      </c>
      <c r="D353" s="2" t="s">
        <v>194</v>
      </c>
      <c r="E353" s="2" t="s">
        <v>528</v>
      </c>
      <c r="F353" s="2" t="s">
        <v>529</v>
      </c>
      <c r="G353" s="2" t="s">
        <v>141</v>
      </c>
      <c r="H353" s="2" t="s">
        <v>415</v>
      </c>
      <c r="I353" t="s">
        <v>198</v>
      </c>
      <c r="J353" s="18">
        <v>19499.63</v>
      </c>
      <c r="K353" s="18">
        <v>23795.93</v>
      </c>
      <c r="L353" s="18">
        <v>19998.0196792801</v>
      </c>
      <c r="M353" s="18">
        <v>631.14603391585695</v>
      </c>
      <c r="N353" s="18">
        <v>23995.93</v>
      </c>
      <c r="O353" s="18">
        <v>23595.93</v>
      </c>
      <c r="P353" s="3">
        <v>0</v>
      </c>
      <c r="Q353" s="3">
        <v>1</v>
      </c>
      <c r="R353" s="3">
        <v>0</v>
      </c>
      <c r="S353" s="3"/>
      <c r="T353" s="3" t="b">
        <v>0</v>
      </c>
      <c r="U353" s="3">
        <v>2758</v>
      </c>
      <c r="V353" s="3">
        <v>2</v>
      </c>
      <c r="W353" s="3">
        <v>1872</v>
      </c>
      <c r="X353" s="3">
        <v>13.19</v>
      </c>
    </row>
    <row r="354" spans="1:24" hidden="1">
      <c r="A354" s="1">
        <v>45505</v>
      </c>
      <c r="B354" s="1" t="s">
        <v>591</v>
      </c>
      <c r="C354" s="2" t="s">
        <v>560</v>
      </c>
      <c r="D354" s="2" t="s">
        <v>194</v>
      </c>
      <c r="E354" s="2" t="s">
        <v>528</v>
      </c>
      <c r="F354" s="2" t="s">
        <v>529</v>
      </c>
      <c r="G354" s="2" t="s">
        <v>141</v>
      </c>
      <c r="H354" s="2" t="s">
        <v>415</v>
      </c>
      <c r="I354" t="s">
        <v>198</v>
      </c>
      <c r="J354" s="18">
        <v>19706.05</v>
      </c>
      <c r="K354" s="18">
        <v>23949.95</v>
      </c>
      <c r="L354" s="18">
        <v>19978.965519475401</v>
      </c>
      <c r="M354" s="18">
        <v>-199.22303380671499</v>
      </c>
      <c r="N354" s="18">
        <v>24149.95</v>
      </c>
      <c r="O354" s="18">
        <v>23749.95</v>
      </c>
      <c r="P354" s="3">
        <v>0</v>
      </c>
      <c r="Q354" s="3">
        <v>1</v>
      </c>
      <c r="R354" s="3">
        <v>0</v>
      </c>
      <c r="S354" s="3"/>
      <c r="T354" s="3" t="b">
        <v>0</v>
      </c>
      <c r="U354" s="3">
        <v>4946</v>
      </c>
      <c r="V354" s="3">
        <v>0</v>
      </c>
      <c r="W354" s="3">
        <v>2252</v>
      </c>
      <c r="X354" s="3">
        <v>9.9700000000000006</v>
      </c>
    </row>
    <row r="355" spans="1:24" hidden="1">
      <c r="A355" s="1">
        <v>45536</v>
      </c>
      <c r="B355" s="1" t="s">
        <v>592</v>
      </c>
      <c r="C355" s="2" t="s">
        <v>560</v>
      </c>
      <c r="D355" s="2" t="s">
        <v>194</v>
      </c>
      <c r="E355" s="2" t="s">
        <v>528</v>
      </c>
      <c r="F355" s="2" t="s">
        <v>529</v>
      </c>
      <c r="G355" s="2" t="s">
        <v>141</v>
      </c>
      <c r="H355" s="2" t="s">
        <v>415</v>
      </c>
      <c r="I355" t="s">
        <v>198</v>
      </c>
      <c r="J355" s="18">
        <v>19962.25</v>
      </c>
      <c r="K355" s="18">
        <v>24246.23</v>
      </c>
      <c r="L355" s="18">
        <v>19959.911359670601</v>
      </c>
      <c r="M355" s="18">
        <v>1032.1396880975899</v>
      </c>
      <c r="N355" s="18">
        <v>24446.23</v>
      </c>
      <c r="O355" s="18">
        <v>24046.23</v>
      </c>
      <c r="P355" s="3">
        <v>0</v>
      </c>
      <c r="Q355" s="3">
        <v>1</v>
      </c>
      <c r="R355" s="3">
        <v>0</v>
      </c>
      <c r="S355" s="3"/>
      <c r="T355" s="3" t="b">
        <v>0</v>
      </c>
      <c r="U355" s="3">
        <v>2242</v>
      </c>
      <c r="V355" s="3">
        <v>1</v>
      </c>
      <c r="W355" s="3">
        <v>1269</v>
      </c>
      <c r="X355" s="3">
        <v>11.66</v>
      </c>
    </row>
    <row r="356" spans="1:24" hidden="1">
      <c r="A356" s="1">
        <v>45566</v>
      </c>
      <c r="B356" s="1" t="s">
        <v>593</v>
      </c>
      <c r="C356" s="2" t="s">
        <v>560</v>
      </c>
      <c r="D356" s="2" t="s">
        <v>194</v>
      </c>
      <c r="E356" s="2" t="s">
        <v>528</v>
      </c>
      <c r="F356" s="2" t="s">
        <v>529</v>
      </c>
      <c r="G356" s="2" t="s">
        <v>141</v>
      </c>
      <c r="H356" s="2" t="s">
        <v>415</v>
      </c>
      <c r="I356" t="s">
        <v>224</v>
      </c>
      <c r="J356" s="18"/>
      <c r="K356" s="18">
        <v>24236.84</v>
      </c>
      <c r="L356" s="18">
        <v>19941.471850182101</v>
      </c>
      <c r="M356" s="18">
        <v>188.04824027831501</v>
      </c>
      <c r="N356" s="18">
        <v>24436.84</v>
      </c>
      <c r="O356" s="18">
        <v>24036.84</v>
      </c>
      <c r="P356" s="3"/>
      <c r="Q356" s="3"/>
      <c r="R356" s="3"/>
      <c r="S356" s="3"/>
      <c r="T356" s="3"/>
      <c r="U356" s="3"/>
      <c r="V356" s="3"/>
      <c r="W356" s="3">
        <v>2851</v>
      </c>
      <c r="X356" s="3">
        <v>11.93</v>
      </c>
    </row>
    <row r="357" spans="1:24" hidden="1">
      <c r="A357" s="1">
        <v>45597</v>
      </c>
      <c r="B357" s="1" t="s">
        <v>594</v>
      </c>
      <c r="C357" s="2" t="s">
        <v>560</v>
      </c>
      <c r="D357" s="2" t="s">
        <v>194</v>
      </c>
      <c r="E357" s="2" t="s">
        <v>528</v>
      </c>
      <c r="F357" s="2" t="s">
        <v>529</v>
      </c>
      <c r="G357" s="2" t="s">
        <v>141</v>
      </c>
      <c r="H357" s="2" t="s">
        <v>415</v>
      </c>
      <c r="I357" t="s">
        <v>224</v>
      </c>
      <c r="J357" s="18"/>
      <c r="K357" s="18">
        <v>24460.32</v>
      </c>
      <c r="L357" s="18">
        <v>19922.417690377399</v>
      </c>
      <c r="M357" s="18">
        <v>1972.99221734197</v>
      </c>
      <c r="N357" s="18">
        <v>24660.32</v>
      </c>
      <c r="O357" s="18">
        <v>24260.32</v>
      </c>
      <c r="P357" s="3"/>
      <c r="Q357" s="3"/>
      <c r="R357" s="3"/>
      <c r="S357" s="3"/>
      <c r="T357" s="3"/>
      <c r="U357" s="3"/>
      <c r="V357" s="3"/>
      <c r="W357" s="3">
        <v>1797</v>
      </c>
      <c r="X357" s="3">
        <v>12.51</v>
      </c>
    </row>
    <row r="358" spans="1:24" hidden="1">
      <c r="A358" s="1">
        <v>45627</v>
      </c>
      <c r="B358" s="1" t="s">
        <v>595</v>
      </c>
      <c r="C358" s="2" t="s">
        <v>560</v>
      </c>
      <c r="D358" s="2" t="s">
        <v>194</v>
      </c>
      <c r="E358" s="2" t="s">
        <v>528</v>
      </c>
      <c r="F358" s="2" t="s">
        <v>529</v>
      </c>
      <c r="G358" s="2" t="s">
        <v>141</v>
      </c>
      <c r="H358" s="2" t="s">
        <v>415</v>
      </c>
      <c r="I358" t="s">
        <v>224</v>
      </c>
      <c r="J358" s="18"/>
      <c r="K358" s="18">
        <v>24785.95</v>
      </c>
      <c r="L358" s="18">
        <v>19903.978180888898</v>
      </c>
      <c r="M358" s="18">
        <v>658.77766444200699</v>
      </c>
      <c r="N358" s="18">
        <v>24985.95</v>
      </c>
      <c r="O358" s="18">
        <v>24585.95</v>
      </c>
      <c r="P358" s="3"/>
      <c r="Q358" s="3"/>
      <c r="R358" s="3"/>
      <c r="S358" s="3"/>
      <c r="T358" s="3"/>
      <c r="U358" s="3"/>
      <c r="V358" s="3"/>
      <c r="W358" s="3">
        <v>2314</v>
      </c>
      <c r="X358" s="3">
        <v>13.15</v>
      </c>
    </row>
    <row r="359" spans="1:24" hidden="1">
      <c r="A359" s="1">
        <v>44562</v>
      </c>
      <c r="B359" s="1" t="s">
        <v>596</v>
      </c>
      <c r="C359" s="2" t="s">
        <v>11</v>
      </c>
      <c r="D359" s="2" t="s">
        <v>194</v>
      </c>
      <c r="E359" s="2" t="s">
        <v>528</v>
      </c>
      <c r="F359" s="2" t="s">
        <v>529</v>
      </c>
      <c r="G359" s="2" t="s">
        <v>141</v>
      </c>
      <c r="H359" s="2" t="s">
        <v>597</v>
      </c>
      <c r="I359" t="s">
        <v>198</v>
      </c>
      <c r="J359" s="18">
        <v>2790</v>
      </c>
      <c r="K359" s="18"/>
      <c r="L359" s="18">
        <v>962.00396999999998</v>
      </c>
      <c r="M359" s="18">
        <v>1601.3038517919799</v>
      </c>
      <c r="N359" s="18"/>
      <c r="O359" s="18"/>
      <c r="P359" s="3">
        <v>0</v>
      </c>
      <c r="Q359" s="3">
        <v>0</v>
      </c>
      <c r="R359" s="3">
        <v>0</v>
      </c>
      <c r="S359" s="3">
        <v>6</v>
      </c>
      <c r="T359" s="3" t="b">
        <v>0</v>
      </c>
      <c r="U359" s="3">
        <v>2353</v>
      </c>
      <c r="V359" s="3">
        <v>0</v>
      </c>
      <c r="W359" s="3">
        <v>2189</v>
      </c>
      <c r="X359" s="48">
        <v>8.4921486855288997E-2</v>
      </c>
    </row>
    <row r="360" spans="1:24" hidden="1">
      <c r="A360" s="1">
        <v>44593</v>
      </c>
      <c r="B360" s="1" t="s">
        <v>598</v>
      </c>
      <c r="C360" s="2" t="s">
        <v>11</v>
      </c>
      <c r="D360" s="2" t="s">
        <v>194</v>
      </c>
      <c r="E360" s="2" t="s">
        <v>528</v>
      </c>
      <c r="F360" s="2" t="s">
        <v>529</v>
      </c>
      <c r="G360" s="2" t="s">
        <v>141</v>
      </c>
      <c r="H360" s="2" t="s">
        <v>597</v>
      </c>
      <c r="I360" t="s">
        <v>198</v>
      </c>
      <c r="J360" s="18">
        <v>1170</v>
      </c>
      <c r="K360" s="18"/>
      <c r="L360" s="18">
        <v>1073.89390943531</v>
      </c>
      <c r="M360" s="18">
        <v>-1910.37165201114</v>
      </c>
      <c r="N360" s="18"/>
      <c r="O360" s="18"/>
      <c r="P360" s="3">
        <v>0</v>
      </c>
      <c r="Q360" s="3">
        <v>0</v>
      </c>
      <c r="R360" s="3">
        <v>0</v>
      </c>
      <c r="S360" s="3">
        <v>6</v>
      </c>
      <c r="T360" s="3" t="b">
        <v>0</v>
      </c>
      <c r="U360" s="3">
        <v>3098</v>
      </c>
      <c r="V360" s="3">
        <v>1</v>
      </c>
      <c r="W360" s="3">
        <v>2189</v>
      </c>
      <c r="X360" s="48">
        <v>8.0929880452229375E-2</v>
      </c>
    </row>
    <row r="361" spans="1:24" hidden="1">
      <c r="A361" s="1">
        <v>44621</v>
      </c>
      <c r="B361" s="1" t="s">
        <v>599</v>
      </c>
      <c r="C361" s="2" t="s">
        <v>11</v>
      </c>
      <c r="D361" s="2" t="s">
        <v>194</v>
      </c>
      <c r="E361" s="2" t="s">
        <v>528</v>
      </c>
      <c r="F361" s="2" t="s">
        <v>529</v>
      </c>
      <c r="G361" s="2" t="s">
        <v>141</v>
      </c>
      <c r="H361" s="2" t="s">
        <v>597</v>
      </c>
      <c r="I361" t="s">
        <v>198</v>
      </c>
      <c r="J361" s="18">
        <v>1440</v>
      </c>
      <c r="K361" s="18"/>
      <c r="L361" s="18">
        <v>1174.9557902269</v>
      </c>
      <c r="M361" s="18">
        <v>1372.7666766160701</v>
      </c>
      <c r="N361" s="18"/>
      <c r="O361" s="18"/>
      <c r="P361" s="3">
        <v>0</v>
      </c>
      <c r="Q361" s="3">
        <v>0</v>
      </c>
      <c r="R361" s="3">
        <v>0</v>
      </c>
      <c r="S361" s="3">
        <v>6</v>
      </c>
      <c r="T361" s="3" t="b">
        <v>0</v>
      </c>
      <c r="U361" s="3">
        <v>4920</v>
      </c>
      <c r="V361" s="3">
        <v>0</v>
      </c>
      <c r="W361" s="3">
        <v>2189</v>
      </c>
      <c r="X361" s="48">
        <v>7.0682256129233734E-2</v>
      </c>
    </row>
    <row r="362" spans="1:24" hidden="1">
      <c r="A362" s="1">
        <v>44652</v>
      </c>
      <c r="B362" s="1" t="s">
        <v>600</v>
      </c>
      <c r="C362" s="2" t="s">
        <v>11</v>
      </c>
      <c r="D362" s="2" t="s">
        <v>194</v>
      </c>
      <c r="E362" s="2" t="s">
        <v>528</v>
      </c>
      <c r="F362" s="2" t="s">
        <v>529</v>
      </c>
      <c r="G362" s="2" t="s">
        <v>141</v>
      </c>
      <c r="H362" s="2" t="s">
        <v>597</v>
      </c>
      <c r="I362" t="s">
        <v>198</v>
      </c>
      <c r="J362" s="18">
        <v>450</v>
      </c>
      <c r="K362" s="18"/>
      <c r="L362" s="18">
        <v>1286.84572968457</v>
      </c>
      <c r="M362" s="18">
        <v>2139.79267154032</v>
      </c>
      <c r="N362" s="18"/>
      <c r="O362" s="18"/>
      <c r="P362" s="3">
        <v>0</v>
      </c>
      <c r="Q362" s="3">
        <v>0</v>
      </c>
      <c r="R362" s="3">
        <v>0</v>
      </c>
      <c r="S362" s="3">
        <v>6</v>
      </c>
      <c r="T362" s="3" t="b">
        <v>0</v>
      </c>
      <c r="U362" s="3">
        <v>3739</v>
      </c>
      <c r="V362" s="3">
        <v>0</v>
      </c>
      <c r="W362" s="3">
        <v>2189</v>
      </c>
      <c r="X362" s="48">
        <v>8.3377252658402456E-2</v>
      </c>
    </row>
    <row r="363" spans="1:24" hidden="1">
      <c r="A363" s="1">
        <v>44682</v>
      </c>
      <c r="B363" s="1" t="s">
        <v>601</v>
      </c>
      <c r="C363" s="2" t="s">
        <v>11</v>
      </c>
      <c r="D363" s="2" t="s">
        <v>194</v>
      </c>
      <c r="E363" s="2" t="s">
        <v>528</v>
      </c>
      <c r="F363" s="2" t="s">
        <v>529</v>
      </c>
      <c r="G363" s="2" t="s">
        <v>141</v>
      </c>
      <c r="H363" s="2" t="s">
        <v>597</v>
      </c>
      <c r="I363" t="s">
        <v>198</v>
      </c>
      <c r="J363" s="18">
        <v>1575</v>
      </c>
      <c r="K363" s="18"/>
      <c r="L363" s="18">
        <v>1395.1263162398</v>
      </c>
      <c r="M363" s="18">
        <v>-1160.3605377367501</v>
      </c>
      <c r="N363" s="18"/>
      <c r="O363" s="18"/>
      <c r="P363" s="3">
        <v>0</v>
      </c>
      <c r="Q363" s="3">
        <v>0</v>
      </c>
      <c r="R363" s="3">
        <v>0</v>
      </c>
      <c r="S363" s="3">
        <v>6</v>
      </c>
      <c r="T363" s="3" t="b">
        <v>0</v>
      </c>
      <c r="U363" s="3">
        <v>3464</v>
      </c>
      <c r="V363" s="3">
        <v>0</v>
      </c>
      <c r="W363" s="3">
        <v>2189</v>
      </c>
      <c r="X363" s="48">
        <v>5.4700482033181563E-2</v>
      </c>
    </row>
    <row r="364" spans="1:24" hidden="1">
      <c r="A364" s="1">
        <v>44713</v>
      </c>
      <c r="B364" s="1" t="s">
        <v>602</v>
      </c>
      <c r="C364" s="2" t="s">
        <v>11</v>
      </c>
      <c r="D364" s="2" t="s">
        <v>194</v>
      </c>
      <c r="E364" s="2" t="s">
        <v>528</v>
      </c>
      <c r="F364" s="2" t="s">
        <v>529</v>
      </c>
      <c r="G364" s="2" t="s">
        <v>141</v>
      </c>
      <c r="H364" s="2" t="s">
        <v>597</v>
      </c>
      <c r="I364" t="s">
        <v>198</v>
      </c>
      <c r="J364" s="18">
        <v>450</v>
      </c>
      <c r="K364" s="18"/>
      <c r="L364" s="18">
        <v>1507.0162556796199</v>
      </c>
      <c r="M364" s="18">
        <v>-1540.45194427212</v>
      </c>
      <c r="N364" s="18"/>
      <c r="O364" s="18"/>
      <c r="P364" s="3">
        <v>0</v>
      </c>
      <c r="Q364" s="3">
        <v>0</v>
      </c>
      <c r="R364" s="3">
        <v>0</v>
      </c>
      <c r="S364" s="3">
        <v>6</v>
      </c>
      <c r="T364" s="3" t="b">
        <v>0</v>
      </c>
      <c r="U364" s="3">
        <v>2990</v>
      </c>
      <c r="V364" s="3">
        <v>0</v>
      </c>
      <c r="W364" s="3">
        <v>2189</v>
      </c>
      <c r="X364" s="48">
        <v>4.2724718945484685E-2</v>
      </c>
    </row>
    <row r="365" spans="1:24" hidden="1">
      <c r="A365" s="1">
        <v>44743</v>
      </c>
      <c r="B365" s="1" t="s">
        <v>603</v>
      </c>
      <c r="C365" s="2" t="s">
        <v>11</v>
      </c>
      <c r="D365" s="2" t="s">
        <v>194</v>
      </c>
      <c r="E365" s="2" t="s">
        <v>528</v>
      </c>
      <c r="F365" s="2" t="s">
        <v>529</v>
      </c>
      <c r="G365" s="2" t="s">
        <v>141</v>
      </c>
      <c r="H365" s="2" t="s">
        <v>597</v>
      </c>
      <c r="I365" t="s">
        <v>198</v>
      </c>
      <c r="J365" s="18">
        <v>450</v>
      </c>
      <c r="K365" s="18"/>
      <c r="L365" s="18">
        <v>1615.29684222433</v>
      </c>
      <c r="M365" s="18">
        <v>-2150.3678955546502</v>
      </c>
      <c r="N365" s="18"/>
      <c r="O365" s="18"/>
      <c r="P365" s="3">
        <v>0</v>
      </c>
      <c r="Q365" s="3">
        <v>0</v>
      </c>
      <c r="R365" s="3">
        <v>0</v>
      </c>
      <c r="S365" s="3">
        <v>6</v>
      </c>
      <c r="T365" s="3" t="b">
        <v>0</v>
      </c>
      <c r="U365" s="3">
        <v>3264</v>
      </c>
      <c r="V365" s="3">
        <v>1</v>
      </c>
      <c r="W365" s="3">
        <v>2189</v>
      </c>
      <c r="X365" s="48">
        <v>9.6061146737201453E-2</v>
      </c>
    </row>
    <row r="366" spans="1:24" hidden="1">
      <c r="A366" s="1">
        <v>44774</v>
      </c>
      <c r="B366" s="1" t="s">
        <v>604</v>
      </c>
      <c r="C366" s="2" t="s">
        <v>11</v>
      </c>
      <c r="D366" s="2" t="s">
        <v>194</v>
      </c>
      <c r="E366" s="2" t="s">
        <v>528</v>
      </c>
      <c r="F366" s="2" t="s">
        <v>529</v>
      </c>
      <c r="G366" s="2" t="s">
        <v>141</v>
      </c>
      <c r="H366" s="2" t="s">
        <v>597</v>
      </c>
      <c r="I366" t="s">
        <v>198</v>
      </c>
      <c r="J366" s="18">
        <v>540</v>
      </c>
      <c r="K366" s="18"/>
      <c r="L366" s="18">
        <v>1727.1867816408501</v>
      </c>
      <c r="M366" s="18">
        <v>-1475.7389669716599</v>
      </c>
      <c r="N366" s="18"/>
      <c r="O366" s="18"/>
      <c r="P366" s="3">
        <v>0</v>
      </c>
      <c r="Q366" s="3">
        <v>0</v>
      </c>
      <c r="R366" s="3">
        <v>0</v>
      </c>
      <c r="S366" s="3">
        <v>6</v>
      </c>
      <c r="T366" s="3" t="b">
        <v>0</v>
      </c>
      <c r="U366" s="3">
        <v>3884</v>
      </c>
      <c r="V366" s="3">
        <v>1</v>
      </c>
      <c r="W366" s="3">
        <v>2189</v>
      </c>
      <c r="X366" s="48">
        <v>3.1511777109440864E-2</v>
      </c>
    </row>
    <row r="367" spans="1:24" hidden="1">
      <c r="A367" s="1">
        <v>44805</v>
      </c>
      <c r="B367" s="1" t="s">
        <v>605</v>
      </c>
      <c r="C367" s="2" t="s">
        <v>11</v>
      </c>
      <c r="D367" s="2" t="s">
        <v>194</v>
      </c>
      <c r="E367" s="2" t="s">
        <v>528</v>
      </c>
      <c r="F367" s="2" t="s">
        <v>529</v>
      </c>
      <c r="G367" s="2" t="s">
        <v>141</v>
      </c>
      <c r="H367" s="2" t="s">
        <v>597</v>
      </c>
      <c r="I367" t="s">
        <v>198</v>
      </c>
      <c r="J367" s="18">
        <v>1305</v>
      </c>
      <c r="K367" s="18"/>
      <c r="L367" s="18">
        <v>1839.0767210494</v>
      </c>
      <c r="M367" s="18">
        <v>574.74768150723696</v>
      </c>
      <c r="N367" s="18"/>
      <c r="O367" s="18"/>
      <c r="P367" s="3">
        <v>0</v>
      </c>
      <c r="Q367" s="3">
        <v>0</v>
      </c>
      <c r="R367" s="3">
        <v>0</v>
      </c>
      <c r="S367" s="3">
        <v>6</v>
      </c>
      <c r="T367" s="3" t="b">
        <v>0</v>
      </c>
      <c r="U367" s="3">
        <v>3809</v>
      </c>
      <c r="V367" s="3">
        <v>0</v>
      </c>
      <c r="W367" s="3">
        <v>2189</v>
      </c>
      <c r="X367" s="48">
        <v>8.9616990873346181E-2</v>
      </c>
    </row>
    <row r="368" spans="1:24" hidden="1">
      <c r="A368" s="1">
        <v>44835</v>
      </c>
      <c r="B368" s="1" t="s">
        <v>606</v>
      </c>
      <c r="C368" s="2" t="s">
        <v>11</v>
      </c>
      <c r="D368" s="2" t="s">
        <v>194</v>
      </c>
      <c r="E368" s="2" t="s">
        <v>528</v>
      </c>
      <c r="F368" s="2" t="s">
        <v>529</v>
      </c>
      <c r="G368" s="2" t="s">
        <v>141</v>
      </c>
      <c r="H368" s="2" t="s">
        <v>597</v>
      </c>
      <c r="I368" t="s">
        <v>198</v>
      </c>
      <c r="J368" s="18">
        <v>405</v>
      </c>
      <c r="K368" s="18"/>
      <c r="L368" s="18">
        <v>1947.35730759019</v>
      </c>
      <c r="M368" s="18">
        <v>-79.146682046747898</v>
      </c>
      <c r="N368" s="18"/>
      <c r="O368" s="18"/>
      <c r="P368" s="3">
        <v>0</v>
      </c>
      <c r="Q368" s="3">
        <v>0</v>
      </c>
      <c r="R368" s="3">
        <v>0</v>
      </c>
      <c r="S368" s="3">
        <v>6</v>
      </c>
      <c r="T368" s="3" t="b">
        <v>0</v>
      </c>
      <c r="U368" s="3">
        <v>4341</v>
      </c>
      <c r="V368" s="3">
        <v>0</v>
      </c>
      <c r="W368" s="3">
        <v>2189</v>
      </c>
      <c r="X368" s="48">
        <v>6.0771487595153717E-2</v>
      </c>
    </row>
    <row r="369" spans="1:24" hidden="1">
      <c r="A369" s="1">
        <v>44866</v>
      </c>
      <c r="B369" s="1" t="s">
        <v>607</v>
      </c>
      <c r="C369" s="2" t="s">
        <v>11</v>
      </c>
      <c r="D369" s="2" t="s">
        <v>194</v>
      </c>
      <c r="E369" s="2" t="s">
        <v>528</v>
      </c>
      <c r="F369" s="2" t="s">
        <v>529</v>
      </c>
      <c r="G369" s="2" t="s">
        <v>141</v>
      </c>
      <c r="H369" s="2" t="s">
        <v>597</v>
      </c>
      <c r="I369" t="s">
        <v>198</v>
      </c>
      <c r="J369" s="18">
        <v>1800</v>
      </c>
      <c r="K369" s="18"/>
      <c r="L369" s="18">
        <v>2059.2472470316702</v>
      </c>
      <c r="M369" s="18">
        <v>493.50987509698501</v>
      </c>
      <c r="N369" s="18"/>
      <c r="O369" s="18"/>
      <c r="P369" s="3">
        <v>0</v>
      </c>
      <c r="Q369" s="3">
        <v>0</v>
      </c>
      <c r="R369" s="3">
        <v>0</v>
      </c>
      <c r="S369" s="3">
        <v>6</v>
      </c>
      <c r="T369" s="3" t="b">
        <v>0</v>
      </c>
      <c r="U369" s="3">
        <v>4256</v>
      </c>
      <c r="V369" s="3">
        <v>0</v>
      </c>
      <c r="W369" s="3">
        <v>2189</v>
      </c>
      <c r="X369" s="48">
        <v>4.4521716929242006E-2</v>
      </c>
    </row>
    <row r="370" spans="1:24" hidden="1">
      <c r="A370" s="1">
        <v>44896</v>
      </c>
      <c r="B370" s="1" t="s">
        <v>608</v>
      </c>
      <c r="C370" s="2" t="s">
        <v>11</v>
      </c>
      <c r="D370" s="2" t="s">
        <v>194</v>
      </c>
      <c r="E370" s="2" t="s">
        <v>528</v>
      </c>
      <c r="F370" s="2" t="s">
        <v>529</v>
      </c>
      <c r="G370" s="2" t="s">
        <v>141</v>
      </c>
      <c r="H370" s="2" t="s">
        <v>597</v>
      </c>
      <c r="I370" t="s">
        <v>198</v>
      </c>
      <c r="J370" s="18">
        <v>2430</v>
      </c>
      <c r="K370" s="18"/>
      <c r="L370" s="18">
        <v>2167.5278335791299</v>
      </c>
      <c r="M370" s="18">
        <v>-691.886181444003</v>
      </c>
      <c r="N370" s="18"/>
      <c r="O370" s="18"/>
      <c r="P370" s="3">
        <v>0</v>
      </c>
      <c r="Q370" s="3">
        <v>0</v>
      </c>
      <c r="R370" s="3">
        <v>0</v>
      </c>
      <c r="S370" s="3">
        <v>6</v>
      </c>
      <c r="T370" s="3" t="b">
        <v>0</v>
      </c>
      <c r="U370" s="3">
        <v>3111</v>
      </c>
      <c r="V370" s="3">
        <v>1</v>
      </c>
      <c r="W370" s="3">
        <v>2189</v>
      </c>
      <c r="X370" s="48">
        <v>3.9796275249420976E-2</v>
      </c>
    </row>
    <row r="371" spans="1:24" hidden="1">
      <c r="A371" s="1">
        <v>44927</v>
      </c>
      <c r="B371" s="1" t="s">
        <v>609</v>
      </c>
      <c r="C371" s="2" t="s">
        <v>11</v>
      </c>
      <c r="D371" s="2" t="s">
        <v>194</v>
      </c>
      <c r="E371" s="2" t="s">
        <v>528</v>
      </c>
      <c r="F371" s="2" t="s">
        <v>529</v>
      </c>
      <c r="G371" s="2" t="s">
        <v>141</v>
      </c>
      <c r="H371" s="2" t="s">
        <v>597</v>
      </c>
      <c r="I371" t="s">
        <v>198</v>
      </c>
      <c r="J371" s="18">
        <v>1800</v>
      </c>
      <c r="K371" s="18"/>
      <c r="L371" s="18">
        <v>2279.4177730370998</v>
      </c>
      <c r="M371" s="18">
        <v>1028.5312237466601</v>
      </c>
      <c r="N371" s="18"/>
      <c r="O371" s="18"/>
      <c r="P371" s="3">
        <v>0</v>
      </c>
      <c r="Q371" s="3">
        <v>0</v>
      </c>
      <c r="R371" s="3">
        <v>0</v>
      </c>
      <c r="S371" s="3">
        <v>6</v>
      </c>
      <c r="T371" s="3" t="b">
        <v>0</v>
      </c>
      <c r="U371" s="3">
        <v>2817</v>
      </c>
      <c r="V371" s="3">
        <v>0</v>
      </c>
      <c r="W371" s="3">
        <v>2189</v>
      </c>
      <c r="X371" s="48">
        <v>4.8664971011428193E-2</v>
      </c>
    </row>
    <row r="372" spans="1:24" hidden="1">
      <c r="A372" s="1">
        <v>44958</v>
      </c>
      <c r="B372" s="1" t="s">
        <v>610</v>
      </c>
      <c r="C372" s="2" t="s">
        <v>11</v>
      </c>
      <c r="D372" s="2" t="s">
        <v>194</v>
      </c>
      <c r="E372" s="2" t="s">
        <v>528</v>
      </c>
      <c r="F372" s="2" t="s">
        <v>529</v>
      </c>
      <c r="G372" s="2" t="s">
        <v>141</v>
      </c>
      <c r="H372" s="2" t="s">
        <v>597</v>
      </c>
      <c r="I372" t="s">
        <v>198</v>
      </c>
      <c r="J372" s="18">
        <v>1935</v>
      </c>
      <c r="K372" s="18"/>
      <c r="L372" s="18">
        <v>2391.3077124947699</v>
      </c>
      <c r="M372" s="18">
        <v>-1373.3740786911801</v>
      </c>
      <c r="N372" s="18"/>
      <c r="O372" s="18"/>
      <c r="P372" s="3">
        <v>0</v>
      </c>
      <c r="Q372" s="3">
        <v>0</v>
      </c>
      <c r="R372" s="3">
        <v>0</v>
      </c>
      <c r="S372" s="3">
        <v>6</v>
      </c>
      <c r="T372" s="3" t="b">
        <v>0</v>
      </c>
      <c r="U372" s="3">
        <v>3799</v>
      </c>
      <c r="V372" s="3">
        <v>0</v>
      </c>
      <c r="W372" s="3">
        <v>2189</v>
      </c>
      <c r="X372" s="48">
        <v>8.1308427324595867E-2</v>
      </c>
    </row>
    <row r="373" spans="1:24" hidden="1">
      <c r="A373" s="1">
        <v>44986</v>
      </c>
      <c r="B373" s="1" t="s">
        <v>611</v>
      </c>
      <c r="C373" s="2" t="s">
        <v>11</v>
      </c>
      <c r="D373" s="2" t="s">
        <v>194</v>
      </c>
      <c r="E373" s="2" t="s">
        <v>528</v>
      </c>
      <c r="F373" s="2" t="s">
        <v>529</v>
      </c>
      <c r="G373" s="2" t="s">
        <v>141</v>
      </c>
      <c r="H373" s="2" t="s">
        <v>597</v>
      </c>
      <c r="I373" t="s">
        <v>198</v>
      </c>
      <c r="J373" s="18">
        <v>2835</v>
      </c>
      <c r="K373" s="18"/>
      <c r="L373" s="18">
        <v>2492.3695933019098</v>
      </c>
      <c r="M373" s="18">
        <v>809.09733768741296</v>
      </c>
      <c r="N373" s="18"/>
      <c r="O373" s="18"/>
      <c r="P373" s="3">
        <v>0</v>
      </c>
      <c r="Q373" s="3">
        <v>0</v>
      </c>
      <c r="R373" s="3">
        <v>0</v>
      </c>
      <c r="S373" s="3">
        <v>7</v>
      </c>
      <c r="T373" s="3" t="b">
        <v>0</v>
      </c>
      <c r="U373" s="3">
        <v>3960</v>
      </c>
      <c r="V373" s="3">
        <v>0</v>
      </c>
      <c r="W373" s="3">
        <v>2189</v>
      </c>
      <c r="X373" s="48">
        <v>6.9604547774480219E-2</v>
      </c>
    </row>
    <row r="374" spans="1:24" hidden="1">
      <c r="A374" s="1">
        <v>45017</v>
      </c>
      <c r="B374" s="1" t="s">
        <v>612</v>
      </c>
      <c r="C374" s="2" t="s">
        <v>11</v>
      </c>
      <c r="D374" s="2" t="s">
        <v>194</v>
      </c>
      <c r="E374" s="2" t="s">
        <v>528</v>
      </c>
      <c r="F374" s="2" t="s">
        <v>529</v>
      </c>
      <c r="G374" s="2" t="s">
        <v>141</v>
      </c>
      <c r="H374" s="2" t="s">
        <v>597</v>
      </c>
      <c r="I374" t="s">
        <v>198</v>
      </c>
      <c r="J374" s="18">
        <v>8100</v>
      </c>
      <c r="K374" s="18"/>
      <c r="L374" s="18">
        <v>2604.2595327875001</v>
      </c>
      <c r="M374" s="18">
        <v>2722.7671193487799</v>
      </c>
      <c r="N374" s="18"/>
      <c r="O374" s="18"/>
      <c r="P374" s="3">
        <v>0</v>
      </c>
      <c r="Q374" s="3">
        <v>0</v>
      </c>
      <c r="R374" s="3">
        <v>0</v>
      </c>
      <c r="S374" s="3">
        <v>7</v>
      </c>
      <c r="T374" s="3" t="b">
        <v>0</v>
      </c>
      <c r="U374" s="3">
        <v>4437</v>
      </c>
      <c r="V374" s="3">
        <v>0</v>
      </c>
      <c r="W374" s="3">
        <v>2189</v>
      </c>
      <c r="X374" s="48">
        <v>5.2720265826162738E-3</v>
      </c>
    </row>
    <row r="375" spans="1:24" hidden="1">
      <c r="A375" s="1">
        <v>45047</v>
      </c>
      <c r="B375" s="1" t="s">
        <v>613</v>
      </c>
      <c r="C375" s="2" t="s">
        <v>11</v>
      </c>
      <c r="D375" s="2" t="s">
        <v>194</v>
      </c>
      <c r="E375" s="2" t="s">
        <v>528</v>
      </c>
      <c r="F375" s="2" t="s">
        <v>529</v>
      </c>
      <c r="G375" s="2" t="s">
        <v>141</v>
      </c>
      <c r="H375" s="2" t="s">
        <v>597</v>
      </c>
      <c r="I375" t="s">
        <v>198</v>
      </c>
      <c r="J375" s="18">
        <v>90</v>
      </c>
      <c r="K375" s="18"/>
      <c r="L375" s="18">
        <v>2712.54011939261</v>
      </c>
      <c r="M375" s="18">
        <v>-1715.3863358492299</v>
      </c>
      <c r="N375" s="18"/>
      <c r="O375" s="18"/>
      <c r="P375" s="3">
        <v>0</v>
      </c>
      <c r="Q375" s="3">
        <v>0</v>
      </c>
      <c r="R375" s="3">
        <v>0</v>
      </c>
      <c r="S375" s="3">
        <v>7</v>
      </c>
      <c r="T375" s="3" t="b">
        <v>0</v>
      </c>
      <c r="U375" s="3">
        <v>4372</v>
      </c>
      <c r="V375" s="3">
        <v>1</v>
      </c>
      <c r="W375" s="3">
        <v>2189</v>
      </c>
      <c r="X375" s="48">
        <v>0.10737198629907274</v>
      </c>
    </row>
    <row r="376" spans="1:24" hidden="1">
      <c r="A376" s="1">
        <v>45078</v>
      </c>
      <c r="B376" s="1" t="s">
        <v>614</v>
      </c>
      <c r="C376" s="2" t="s">
        <v>11</v>
      </c>
      <c r="D376" s="2" t="s">
        <v>194</v>
      </c>
      <c r="E376" s="2" t="s">
        <v>528</v>
      </c>
      <c r="F376" s="2" t="s">
        <v>529</v>
      </c>
      <c r="G376" s="2" t="s">
        <v>141</v>
      </c>
      <c r="H376" s="2" t="s">
        <v>597</v>
      </c>
      <c r="I376" t="s">
        <v>198</v>
      </c>
      <c r="J376" s="18">
        <v>810</v>
      </c>
      <c r="K376" s="18"/>
      <c r="L376" s="18">
        <v>2824.4300588984402</v>
      </c>
      <c r="M376" s="18">
        <v>-959.84315327848003</v>
      </c>
      <c r="N376" s="18"/>
      <c r="O376" s="18"/>
      <c r="P376" s="3">
        <v>0</v>
      </c>
      <c r="Q376" s="3">
        <v>0</v>
      </c>
      <c r="R376" s="3">
        <v>0</v>
      </c>
      <c r="S376" s="3">
        <v>7</v>
      </c>
      <c r="T376" s="3" t="b">
        <v>0</v>
      </c>
      <c r="U376" s="3">
        <v>4987</v>
      </c>
      <c r="V376" s="3">
        <v>0</v>
      </c>
      <c r="W376" s="3">
        <v>2189</v>
      </c>
      <c r="X376" s="48">
        <v>8.5518811508257686E-2</v>
      </c>
    </row>
    <row r="377" spans="1:24" hidden="1">
      <c r="A377" s="1">
        <v>45108</v>
      </c>
      <c r="B377" s="1" t="s">
        <v>615</v>
      </c>
      <c r="C377" s="2" t="s">
        <v>11</v>
      </c>
      <c r="D377" s="2" t="s">
        <v>194</v>
      </c>
      <c r="E377" s="2" t="s">
        <v>528</v>
      </c>
      <c r="F377" s="2" t="s">
        <v>529</v>
      </c>
      <c r="G377" s="2" t="s">
        <v>141</v>
      </c>
      <c r="H377" s="2" t="s">
        <v>597</v>
      </c>
      <c r="I377" t="s">
        <v>198</v>
      </c>
      <c r="J377" s="18">
        <v>1755</v>
      </c>
      <c r="K377" s="18"/>
      <c r="L377" s="18">
        <v>2932.7106454978598</v>
      </c>
      <c r="M377" s="18">
        <v>-2733.14673256383</v>
      </c>
      <c r="N377" s="18"/>
      <c r="O377" s="18"/>
      <c r="P377" s="3">
        <v>0</v>
      </c>
      <c r="Q377" s="3">
        <v>0</v>
      </c>
      <c r="R377" s="3">
        <v>0</v>
      </c>
      <c r="S377" s="3">
        <v>7</v>
      </c>
      <c r="T377" s="3" t="b">
        <v>0</v>
      </c>
      <c r="U377" s="3">
        <v>2888</v>
      </c>
      <c r="V377" s="3">
        <v>0</v>
      </c>
      <c r="W377" s="3">
        <v>2189</v>
      </c>
      <c r="X377" s="48">
        <v>-7.752501498717923E-2</v>
      </c>
    </row>
    <row r="378" spans="1:24" hidden="1">
      <c r="A378" s="1">
        <v>45139</v>
      </c>
      <c r="B378" s="1" t="s">
        <v>616</v>
      </c>
      <c r="C378" s="2" t="s">
        <v>11</v>
      </c>
      <c r="D378" s="2" t="s">
        <v>194</v>
      </c>
      <c r="E378" s="2" t="s">
        <v>528</v>
      </c>
      <c r="F378" s="2" t="s">
        <v>529</v>
      </c>
      <c r="G378" s="2" t="s">
        <v>141</v>
      </c>
      <c r="H378" s="2" t="s">
        <v>597</v>
      </c>
      <c r="I378" t="s">
        <v>198</v>
      </c>
      <c r="J378" s="18">
        <v>3105</v>
      </c>
      <c r="K378" s="18"/>
      <c r="L378" s="18">
        <v>3044.6005850011302</v>
      </c>
      <c r="M378" s="18">
        <v>-890.20340041204201</v>
      </c>
      <c r="N378" s="18"/>
      <c r="O378" s="18"/>
      <c r="P378" s="3">
        <v>0</v>
      </c>
      <c r="Q378" s="3">
        <v>0</v>
      </c>
      <c r="R378" s="3">
        <v>0</v>
      </c>
      <c r="S378" s="3">
        <v>7</v>
      </c>
      <c r="T378" s="3" t="b">
        <v>0</v>
      </c>
      <c r="U378" s="3">
        <v>3855</v>
      </c>
      <c r="V378" s="3">
        <v>0</v>
      </c>
      <c r="W378" s="3">
        <v>2189</v>
      </c>
      <c r="X378" s="48">
        <v>5.0313963462924161E-2</v>
      </c>
    </row>
    <row r="379" spans="1:24" hidden="1">
      <c r="A379" s="1">
        <v>45170</v>
      </c>
      <c r="B379" s="1" t="s">
        <v>617</v>
      </c>
      <c r="C379" s="2" t="s">
        <v>11</v>
      </c>
      <c r="D379" s="2" t="s">
        <v>194</v>
      </c>
      <c r="E379" s="2" t="s">
        <v>528</v>
      </c>
      <c r="F379" s="2" t="s">
        <v>529</v>
      </c>
      <c r="G379" s="2" t="s">
        <v>141</v>
      </c>
      <c r="H379" s="2" t="s">
        <v>597</v>
      </c>
      <c r="I379" t="s">
        <v>198</v>
      </c>
      <c r="J379" s="18">
        <v>1890</v>
      </c>
      <c r="K379" s="18"/>
      <c r="L379" s="18">
        <v>3156.49052452861</v>
      </c>
      <c r="M379" s="18">
        <v>-19.535183042174701</v>
      </c>
      <c r="N379" s="18"/>
      <c r="O379" s="18"/>
      <c r="P379" s="3">
        <v>0</v>
      </c>
      <c r="Q379" s="3">
        <v>0</v>
      </c>
      <c r="R379" s="3">
        <v>0</v>
      </c>
      <c r="S379" s="3">
        <v>7</v>
      </c>
      <c r="T379" s="3" t="b">
        <v>0</v>
      </c>
      <c r="U379" s="3">
        <v>3180</v>
      </c>
      <c r="V379" s="3">
        <v>3</v>
      </c>
      <c r="W379" s="3">
        <v>2189</v>
      </c>
      <c r="X379" s="48">
        <v>0.13427472494024761</v>
      </c>
    </row>
    <row r="380" spans="1:24" hidden="1">
      <c r="A380" s="1">
        <v>45200</v>
      </c>
      <c r="B380" s="1" t="s">
        <v>618</v>
      </c>
      <c r="C380" s="2" t="s">
        <v>11</v>
      </c>
      <c r="D380" s="2" t="s">
        <v>194</v>
      </c>
      <c r="E380" s="2" t="s">
        <v>528</v>
      </c>
      <c r="F380" s="2" t="s">
        <v>529</v>
      </c>
      <c r="G380" s="2" t="s">
        <v>141</v>
      </c>
      <c r="H380" s="2" t="s">
        <v>597</v>
      </c>
      <c r="I380" t="s">
        <v>198</v>
      </c>
      <c r="J380" s="18">
        <v>5175</v>
      </c>
      <c r="K380" s="18"/>
      <c r="L380" s="18">
        <v>3264.7711111492999</v>
      </c>
      <c r="M380" s="18">
        <v>506.26957818822098</v>
      </c>
      <c r="N380" s="18"/>
      <c r="O380" s="18"/>
      <c r="P380" s="3">
        <v>0</v>
      </c>
      <c r="Q380" s="3">
        <v>0</v>
      </c>
      <c r="R380" s="3">
        <v>0</v>
      </c>
      <c r="S380" s="3">
        <v>7</v>
      </c>
      <c r="T380" s="3" t="b">
        <v>0</v>
      </c>
      <c r="U380" s="3">
        <v>2667</v>
      </c>
      <c r="V380" s="3">
        <v>0</v>
      </c>
      <c r="W380" s="3">
        <v>2189</v>
      </c>
      <c r="X380" s="48">
        <v>0.126110263567079</v>
      </c>
    </row>
    <row r="381" spans="1:24" hidden="1">
      <c r="A381" s="1">
        <v>45231</v>
      </c>
      <c r="B381" s="1" t="s">
        <v>619</v>
      </c>
      <c r="C381" s="2" t="s">
        <v>11</v>
      </c>
      <c r="D381" s="2" t="s">
        <v>194</v>
      </c>
      <c r="E381" s="2" t="s">
        <v>528</v>
      </c>
      <c r="F381" s="2" t="s">
        <v>529</v>
      </c>
      <c r="G381" s="2" t="s">
        <v>141</v>
      </c>
      <c r="H381" s="2" t="s">
        <v>597</v>
      </c>
      <c r="I381" t="s">
        <v>198</v>
      </c>
      <c r="J381" s="18">
        <v>4095</v>
      </c>
      <c r="K381" s="18"/>
      <c r="L381" s="18">
        <v>3376.66105067529</v>
      </c>
      <c r="M381" s="18">
        <v>-82.419740841069498</v>
      </c>
      <c r="N381" s="18"/>
      <c r="O381" s="18"/>
      <c r="P381" s="3">
        <v>0</v>
      </c>
      <c r="Q381" s="3">
        <v>0</v>
      </c>
      <c r="R381" s="3">
        <v>0</v>
      </c>
      <c r="S381" s="3">
        <v>7</v>
      </c>
      <c r="T381" s="3" t="b">
        <v>0</v>
      </c>
      <c r="U381" s="3">
        <v>2632</v>
      </c>
      <c r="V381" s="3">
        <v>0</v>
      </c>
      <c r="W381" s="3">
        <v>2189</v>
      </c>
      <c r="X381" s="48">
        <v>8.0080900465338667E-2</v>
      </c>
    </row>
    <row r="382" spans="1:24" hidden="1">
      <c r="A382" s="1">
        <v>45261</v>
      </c>
      <c r="B382" s="1" t="s">
        <v>620</v>
      </c>
      <c r="C382" s="2" t="s">
        <v>11</v>
      </c>
      <c r="D382" s="2" t="s">
        <v>194</v>
      </c>
      <c r="E382" s="2" t="s">
        <v>528</v>
      </c>
      <c r="F382" s="2" t="s">
        <v>529</v>
      </c>
      <c r="G382" s="2" t="s">
        <v>141</v>
      </c>
      <c r="H382" s="2" t="s">
        <v>597</v>
      </c>
      <c r="I382" t="s">
        <v>198</v>
      </c>
      <c r="J382" s="18">
        <v>2385</v>
      </c>
      <c r="K382" s="18"/>
      <c r="L382" s="18">
        <v>3484.9416373199701</v>
      </c>
      <c r="M382" s="18">
        <v>-119.03203253797599</v>
      </c>
      <c r="N382" s="18"/>
      <c r="O382" s="18"/>
      <c r="P382" s="3">
        <v>0</v>
      </c>
      <c r="Q382" s="3">
        <v>0</v>
      </c>
      <c r="R382" s="3">
        <v>0</v>
      </c>
      <c r="S382" s="3">
        <v>7</v>
      </c>
      <c r="T382" s="3" t="b">
        <v>0</v>
      </c>
      <c r="U382" s="3">
        <v>4624</v>
      </c>
      <c r="V382" s="3">
        <v>0</v>
      </c>
      <c r="W382" s="3">
        <v>2189</v>
      </c>
      <c r="X382" s="48">
        <v>0.10601732501101235</v>
      </c>
    </row>
    <row r="383" spans="1:24" hidden="1">
      <c r="A383" s="1">
        <v>45292</v>
      </c>
      <c r="B383" s="1" t="s">
        <v>621</v>
      </c>
      <c r="C383" s="2" t="s">
        <v>11</v>
      </c>
      <c r="D383" s="2" t="s">
        <v>194</v>
      </c>
      <c r="E383" s="2" t="s">
        <v>528</v>
      </c>
      <c r="F383" s="2" t="s">
        <v>529</v>
      </c>
      <c r="G383" s="2" t="s">
        <v>141</v>
      </c>
      <c r="H383" s="2" t="s">
        <v>597</v>
      </c>
      <c r="I383" t="s">
        <v>198</v>
      </c>
      <c r="J383" s="18">
        <v>5355</v>
      </c>
      <c r="K383" s="18"/>
      <c r="L383" s="18">
        <v>3596.8315768573102</v>
      </c>
      <c r="M383" s="18">
        <v>454.85791102979402</v>
      </c>
      <c r="N383" s="18"/>
      <c r="O383" s="18"/>
      <c r="P383" s="3">
        <v>0</v>
      </c>
      <c r="Q383" s="3">
        <v>0</v>
      </c>
      <c r="R383" s="3">
        <v>0</v>
      </c>
      <c r="S383" s="3">
        <v>7</v>
      </c>
      <c r="T383" s="3" t="b">
        <v>0</v>
      </c>
      <c r="U383" s="3">
        <v>3642</v>
      </c>
      <c r="V383" s="3">
        <v>1</v>
      </c>
      <c r="W383" s="3">
        <v>2189</v>
      </c>
      <c r="X383" s="48">
        <v>9.3600046721137753E-2</v>
      </c>
    </row>
    <row r="384" spans="1:24" hidden="1">
      <c r="A384" s="1">
        <v>45323</v>
      </c>
      <c r="B384" s="1" t="s">
        <v>622</v>
      </c>
      <c r="C384" s="2" t="s">
        <v>11</v>
      </c>
      <c r="D384" s="2" t="s">
        <v>194</v>
      </c>
      <c r="E384" s="2" t="s">
        <v>528</v>
      </c>
      <c r="F384" s="2" t="s">
        <v>529</v>
      </c>
      <c r="G384" s="2" t="s">
        <v>141</v>
      </c>
      <c r="H384" s="2" t="s">
        <v>597</v>
      </c>
      <c r="I384" t="s">
        <v>198</v>
      </c>
      <c r="J384" s="18">
        <v>0</v>
      </c>
      <c r="K384" s="18"/>
      <c r="L384" s="18">
        <v>3708.7215163821602</v>
      </c>
      <c r="M384" s="18">
        <v>-834.40474561829001</v>
      </c>
      <c r="N384" s="18"/>
      <c r="O384" s="18"/>
      <c r="P384" s="3">
        <v>0</v>
      </c>
      <c r="Q384" s="3">
        <v>0</v>
      </c>
      <c r="R384" s="3">
        <v>1</v>
      </c>
      <c r="S384" s="3">
        <v>7</v>
      </c>
      <c r="T384" s="3" t="b">
        <v>0</v>
      </c>
      <c r="U384" s="3">
        <v>2136</v>
      </c>
      <c r="V384" s="3">
        <v>0</v>
      </c>
      <c r="W384" s="3">
        <v>2189</v>
      </c>
      <c r="X384" s="48">
        <v>0.10391333970564376</v>
      </c>
    </row>
    <row r="385" spans="1:24" hidden="1">
      <c r="A385" s="1">
        <v>45352</v>
      </c>
      <c r="B385" s="1" t="s">
        <v>623</v>
      </c>
      <c r="C385" s="2" t="s">
        <v>11</v>
      </c>
      <c r="D385" s="2" t="s">
        <v>194</v>
      </c>
      <c r="E385" s="2" t="s">
        <v>528</v>
      </c>
      <c r="F385" s="2" t="s">
        <v>529</v>
      </c>
      <c r="G385" s="2" t="s">
        <v>141</v>
      </c>
      <c r="H385" s="2" t="s">
        <v>597</v>
      </c>
      <c r="I385" t="s">
        <v>198</v>
      </c>
      <c r="J385" s="18">
        <v>7830</v>
      </c>
      <c r="K385" s="18"/>
      <c r="L385" s="18">
        <v>3813.3927501262201</v>
      </c>
      <c r="M385" s="18">
        <v>2502.54555831773</v>
      </c>
      <c r="N385" s="18"/>
      <c r="O385" s="18"/>
      <c r="P385" s="3">
        <v>0</v>
      </c>
      <c r="Q385" s="3">
        <v>0</v>
      </c>
      <c r="R385" s="3">
        <v>0</v>
      </c>
      <c r="S385" s="3">
        <v>7</v>
      </c>
      <c r="T385" s="3" t="b">
        <v>0</v>
      </c>
      <c r="U385" s="3">
        <v>3946</v>
      </c>
      <c r="V385" s="3">
        <v>0</v>
      </c>
      <c r="W385" s="3">
        <v>2189</v>
      </c>
      <c r="X385" s="48">
        <v>9.9736683095241752E-2</v>
      </c>
    </row>
    <row r="386" spans="1:24" hidden="1">
      <c r="A386" s="1">
        <v>45383</v>
      </c>
      <c r="B386" s="1" t="s">
        <v>624</v>
      </c>
      <c r="C386" s="2" t="s">
        <v>11</v>
      </c>
      <c r="D386" s="2" t="s">
        <v>194</v>
      </c>
      <c r="E386" s="2" t="s">
        <v>528</v>
      </c>
      <c r="F386" s="2" t="s">
        <v>529</v>
      </c>
      <c r="G386" s="2" t="s">
        <v>141</v>
      </c>
      <c r="H386" s="2" t="s">
        <v>597</v>
      </c>
      <c r="I386" t="s">
        <v>198</v>
      </c>
      <c r="J386" s="18">
        <v>5085</v>
      </c>
      <c r="K386" s="18"/>
      <c r="L386" s="18">
        <v>3925.28268964573</v>
      </c>
      <c r="M386" s="18">
        <v>973.44430362714104</v>
      </c>
      <c r="N386" s="18"/>
      <c r="O386" s="18"/>
      <c r="P386" s="3">
        <v>0</v>
      </c>
      <c r="Q386" s="3">
        <v>0</v>
      </c>
      <c r="R386" s="3">
        <v>0</v>
      </c>
      <c r="S386" s="3">
        <v>7</v>
      </c>
      <c r="T386" s="3" t="b">
        <v>0</v>
      </c>
      <c r="U386" s="3">
        <v>3697</v>
      </c>
      <c r="V386" s="3">
        <v>0</v>
      </c>
      <c r="W386" s="3">
        <v>2189</v>
      </c>
      <c r="X386" s="48">
        <v>4.6873791830143396E-2</v>
      </c>
    </row>
    <row r="387" spans="1:24" hidden="1">
      <c r="A387" s="1">
        <v>45413</v>
      </c>
      <c r="B387" s="1" t="s">
        <v>625</v>
      </c>
      <c r="C387" s="2" t="s">
        <v>11</v>
      </c>
      <c r="D387" s="2" t="s">
        <v>194</v>
      </c>
      <c r="E387" s="2" t="s">
        <v>528</v>
      </c>
      <c r="F387" s="2" t="s">
        <v>529</v>
      </c>
      <c r="G387" s="2" t="s">
        <v>141</v>
      </c>
      <c r="H387" s="2" t="s">
        <v>597</v>
      </c>
      <c r="I387" t="s">
        <v>198</v>
      </c>
      <c r="J387" s="18">
        <v>3600</v>
      </c>
      <c r="K387" s="18"/>
      <c r="L387" s="18">
        <v>4033.5632762775099</v>
      </c>
      <c r="M387" s="18">
        <v>-48.078222839671398</v>
      </c>
      <c r="N387" s="18"/>
      <c r="O387" s="18"/>
      <c r="P387" s="3">
        <v>0</v>
      </c>
      <c r="Q387" s="3">
        <v>0</v>
      </c>
      <c r="R387" s="3">
        <v>0</v>
      </c>
      <c r="S387" s="3">
        <v>7</v>
      </c>
      <c r="T387" s="3" t="b">
        <v>0</v>
      </c>
      <c r="U387" s="3">
        <v>2427</v>
      </c>
      <c r="V387" s="3">
        <v>1</v>
      </c>
      <c r="W387" s="3">
        <v>2189</v>
      </c>
      <c r="X387" s="48">
        <v>4.2200099295654381E-2</v>
      </c>
    </row>
    <row r="388" spans="1:24" hidden="1">
      <c r="A388" s="1">
        <v>45444</v>
      </c>
      <c r="B388" s="1" t="s">
        <v>626</v>
      </c>
      <c r="C388" s="2" t="s">
        <v>11</v>
      </c>
      <c r="D388" s="2" t="s">
        <v>194</v>
      </c>
      <c r="E388" s="2" t="s">
        <v>528</v>
      </c>
      <c r="F388" s="2" t="s">
        <v>529</v>
      </c>
      <c r="G388" s="2" t="s">
        <v>141</v>
      </c>
      <c r="H388" s="2" t="s">
        <v>597</v>
      </c>
      <c r="I388" t="s">
        <v>198</v>
      </c>
      <c r="J388" s="18">
        <v>1980</v>
      </c>
      <c r="K388" s="18"/>
      <c r="L388" s="18">
        <v>4145.4532157970198</v>
      </c>
      <c r="M388" s="18">
        <v>-2700.8137729331902</v>
      </c>
      <c r="N388" s="18"/>
      <c r="O388" s="18"/>
      <c r="P388" s="3">
        <v>0</v>
      </c>
      <c r="Q388" s="3">
        <v>0</v>
      </c>
      <c r="R388" s="3">
        <v>0</v>
      </c>
      <c r="S388" s="3">
        <v>7</v>
      </c>
      <c r="T388" s="3" t="b">
        <v>0</v>
      </c>
      <c r="U388" s="3">
        <v>3475</v>
      </c>
      <c r="V388" s="3">
        <v>0</v>
      </c>
      <c r="W388" s="3">
        <v>2189</v>
      </c>
      <c r="X388" s="48">
        <v>-9.6324614747977932E-4</v>
      </c>
    </row>
    <row r="389" spans="1:24" hidden="1">
      <c r="A389" s="1">
        <v>45474</v>
      </c>
      <c r="B389" s="1" t="s">
        <v>627</v>
      </c>
      <c r="C389" s="2" t="s">
        <v>11</v>
      </c>
      <c r="D389" s="2" t="s">
        <v>194</v>
      </c>
      <c r="E389" s="2" t="s">
        <v>528</v>
      </c>
      <c r="F389" s="2" t="s">
        <v>529</v>
      </c>
      <c r="G389" s="2" t="s">
        <v>141</v>
      </c>
      <c r="H389" s="2" t="s">
        <v>597</v>
      </c>
      <c r="I389" t="s">
        <v>198</v>
      </c>
      <c r="J389" s="18">
        <v>675</v>
      </c>
      <c r="K389" s="18">
        <v>1784</v>
      </c>
      <c r="L389" s="18">
        <v>4253.7338024288101</v>
      </c>
      <c r="M389" s="18">
        <v>-983.25887426063298</v>
      </c>
      <c r="N389" s="18">
        <v>19955.46</v>
      </c>
      <c r="O389" s="18">
        <v>19555.46</v>
      </c>
      <c r="P389" s="3">
        <v>0</v>
      </c>
      <c r="Q389" s="3">
        <v>0</v>
      </c>
      <c r="R389" s="3">
        <v>1</v>
      </c>
      <c r="S389" s="3">
        <v>10</v>
      </c>
      <c r="T389" s="3" t="b">
        <v>1</v>
      </c>
      <c r="U389" s="3">
        <v>1659</v>
      </c>
      <c r="V389" s="3">
        <v>7</v>
      </c>
      <c r="W389" s="3">
        <v>2189</v>
      </c>
      <c r="X389" s="48">
        <v>1.925979203941619E-2</v>
      </c>
    </row>
    <row r="390" spans="1:24" hidden="1">
      <c r="A390" s="1">
        <v>45505</v>
      </c>
      <c r="B390" s="1" t="s">
        <v>628</v>
      </c>
      <c r="C390" s="2" t="s">
        <v>11</v>
      </c>
      <c r="D390" s="2" t="s">
        <v>194</v>
      </c>
      <c r="E390" s="2" t="s">
        <v>528</v>
      </c>
      <c r="F390" s="2" t="s">
        <v>529</v>
      </c>
      <c r="G390" s="2" t="s">
        <v>141</v>
      </c>
      <c r="H390" s="2" t="s">
        <v>597</v>
      </c>
      <c r="I390" t="s">
        <v>198</v>
      </c>
      <c r="J390" s="18">
        <v>585</v>
      </c>
      <c r="K390" s="18">
        <v>2393</v>
      </c>
      <c r="L390" s="18">
        <v>4365.6237419483195</v>
      </c>
      <c r="M390" s="18">
        <v>-2645.9754199096301</v>
      </c>
      <c r="N390" s="18">
        <v>20396.8</v>
      </c>
      <c r="O390" s="18">
        <v>19996.8</v>
      </c>
      <c r="P390" s="3">
        <v>0</v>
      </c>
      <c r="Q390" s="3">
        <v>0</v>
      </c>
      <c r="R390" s="3">
        <v>1</v>
      </c>
      <c r="S390" s="3">
        <v>10</v>
      </c>
      <c r="T390" s="3" t="b">
        <v>1</v>
      </c>
      <c r="U390" s="3">
        <v>958</v>
      </c>
      <c r="V390" s="3">
        <v>5</v>
      </c>
      <c r="W390" s="3">
        <v>2189</v>
      </c>
      <c r="X390" s="48">
        <v>5.5639384539442283E-2</v>
      </c>
    </row>
    <row r="391" spans="1:24" hidden="1">
      <c r="A391" s="1">
        <v>45536</v>
      </c>
      <c r="B391" s="1" t="s">
        <v>629</v>
      </c>
      <c r="C391" s="2" t="s">
        <v>11</v>
      </c>
      <c r="D391" s="2" t="s">
        <v>194</v>
      </c>
      <c r="E391" s="2" t="s">
        <v>528</v>
      </c>
      <c r="F391" s="2" t="s">
        <v>529</v>
      </c>
      <c r="G391" s="2" t="s">
        <v>141</v>
      </c>
      <c r="H391" s="2" t="s">
        <v>597</v>
      </c>
      <c r="I391" t="s">
        <v>198</v>
      </c>
      <c r="J391" s="18">
        <v>8595</v>
      </c>
      <c r="K391" s="18">
        <v>4503</v>
      </c>
      <c r="L391" s="18">
        <v>4477.5136814678299</v>
      </c>
      <c r="M391" s="18">
        <v>1760.4131857612699</v>
      </c>
      <c r="N391" s="18">
        <v>20738.650000000001</v>
      </c>
      <c r="O391" s="18">
        <v>20338.650000000001</v>
      </c>
      <c r="P391" s="3">
        <v>0</v>
      </c>
      <c r="Q391" s="3">
        <v>1</v>
      </c>
      <c r="R391" s="3">
        <v>1</v>
      </c>
      <c r="S391" s="3">
        <v>10</v>
      </c>
      <c r="T391" s="3" t="b">
        <v>0</v>
      </c>
      <c r="U391" s="3">
        <v>2818</v>
      </c>
      <c r="V391" s="3">
        <v>0</v>
      </c>
      <c r="W391" s="3">
        <v>2189</v>
      </c>
      <c r="X391" s="48">
        <v>3.8364566978879244E-2</v>
      </c>
    </row>
    <row r="392" spans="1:24" hidden="1">
      <c r="A392" s="1">
        <v>45566</v>
      </c>
      <c r="B392" s="1" t="s">
        <v>630</v>
      </c>
      <c r="C392" s="2" t="s">
        <v>11</v>
      </c>
      <c r="D392" s="2" t="s">
        <v>194</v>
      </c>
      <c r="E392" s="2" t="s">
        <v>528</v>
      </c>
      <c r="F392" s="2" t="s">
        <v>529</v>
      </c>
      <c r="G392" s="2" t="s">
        <v>141</v>
      </c>
      <c r="H392" s="2" t="s">
        <v>597</v>
      </c>
      <c r="I392" t="s">
        <v>224</v>
      </c>
      <c r="J392" s="18"/>
      <c r="K392" s="18">
        <v>6492</v>
      </c>
      <c r="L392" s="18">
        <v>4585.7942680996102</v>
      </c>
      <c r="M392" s="18">
        <v>-1249.7655564746699</v>
      </c>
      <c r="N392" s="18">
        <v>20537.77</v>
      </c>
      <c r="O392" s="18">
        <v>20137.77</v>
      </c>
      <c r="P392" s="3"/>
      <c r="Q392" s="3"/>
      <c r="R392" s="3"/>
      <c r="S392" s="3"/>
      <c r="T392" s="3"/>
      <c r="U392" s="3"/>
      <c r="V392" s="3"/>
      <c r="W392" s="3">
        <v>2189</v>
      </c>
      <c r="X392" s="48">
        <v>6.6467795780302819E-2</v>
      </c>
    </row>
    <row r="393" spans="1:24" hidden="1">
      <c r="A393" s="1">
        <v>45597</v>
      </c>
      <c r="B393" s="1" t="s">
        <v>631</v>
      </c>
      <c r="C393" s="2" t="s">
        <v>11</v>
      </c>
      <c r="D393" s="2" t="s">
        <v>194</v>
      </c>
      <c r="E393" s="2" t="s">
        <v>528</v>
      </c>
      <c r="F393" s="2" t="s">
        <v>529</v>
      </c>
      <c r="G393" s="2" t="s">
        <v>141</v>
      </c>
      <c r="H393" s="2" t="s">
        <v>597</v>
      </c>
      <c r="I393" t="s">
        <v>224</v>
      </c>
      <c r="J393" s="18"/>
      <c r="K393" s="18">
        <v>4792</v>
      </c>
      <c r="L393" s="18">
        <v>4697.6842076191197</v>
      </c>
      <c r="M393" s="18">
        <v>1642.6686866590901</v>
      </c>
      <c r="N393" s="18">
        <v>21151.67</v>
      </c>
      <c r="O393" s="18">
        <v>20751.669999999998</v>
      </c>
      <c r="P393" s="3"/>
      <c r="Q393" s="3"/>
      <c r="R393" s="3"/>
      <c r="S393" s="3"/>
      <c r="T393" s="3"/>
      <c r="U393" s="3"/>
      <c r="V393" s="3"/>
      <c r="W393" s="3">
        <v>2189</v>
      </c>
      <c r="X393" s="48">
        <v>7.8827708133170304E-2</v>
      </c>
    </row>
    <row r="394" spans="1:24" hidden="1">
      <c r="A394" s="1">
        <v>45627</v>
      </c>
      <c r="B394" s="1" t="s">
        <v>632</v>
      </c>
      <c r="C394" s="2" t="s">
        <v>11</v>
      </c>
      <c r="D394" s="2" t="s">
        <v>194</v>
      </c>
      <c r="E394" s="2" t="s">
        <v>528</v>
      </c>
      <c r="F394" s="2" t="s">
        <v>529</v>
      </c>
      <c r="G394" s="2" t="s">
        <v>141</v>
      </c>
      <c r="H394" s="2" t="s">
        <v>597</v>
      </c>
      <c r="I394" t="s">
        <v>224</v>
      </c>
      <c r="J394" s="18"/>
      <c r="K394" s="18">
        <v>3940</v>
      </c>
      <c r="L394" s="18">
        <v>4805.9647942509</v>
      </c>
      <c r="M394" s="18">
        <v>-1836.81698459513</v>
      </c>
      <c r="N394" s="18">
        <v>21155.1</v>
      </c>
      <c r="O394" s="18">
        <v>20755.099999999999</v>
      </c>
      <c r="P394" s="3"/>
      <c r="Q394" s="3"/>
      <c r="R394" s="3"/>
      <c r="S394" s="3"/>
      <c r="T394" s="3"/>
      <c r="U394" s="3"/>
      <c r="V394" s="3"/>
      <c r="W394" s="3">
        <v>2189</v>
      </c>
      <c r="X394" s="48">
        <v>1.9933170400844968E-2</v>
      </c>
    </row>
    <row r="395" spans="1:24" hidden="1">
      <c r="A395" s="1">
        <v>44562</v>
      </c>
      <c r="B395" s="1" t="s">
        <v>633</v>
      </c>
      <c r="C395" s="2" t="s">
        <v>634</v>
      </c>
      <c r="D395" s="2" t="s">
        <v>279</v>
      </c>
      <c r="E395" s="2" t="s">
        <v>635</v>
      </c>
      <c r="F395" s="2" t="s">
        <v>281</v>
      </c>
      <c r="G395" s="2" t="s">
        <v>141</v>
      </c>
      <c r="H395" s="2" t="s">
        <v>415</v>
      </c>
      <c r="I395" t="s">
        <v>198</v>
      </c>
      <c r="J395" s="18">
        <v>8665.5400000000009</v>
      </c>
      <c r="K395" s="18"/>
      <c r="L395" s="18">
        <v>2230.30070891999</v>
      </c>
      <c r="M395" s="18">
        <v>6436.7121821732098</v>
      </c>
      <c r="N395" s="18"/>
      <c r="O395" s="18"/>
      <c r="P395" s="3">
        <v>0</v>
      </c>
      <c r="Q395" s="3">
        <v>0</v>
      </c>
      <c r="R395" s="3">
        <v>0</v>
      </c>
      <c r="S395" s="3"/>
      <c r="T395" s="3" t="b">
        <v>0</v>
      </c>
      <c r="U395" s="3">
        <v>4374</v>
      </c>
      <c r="V395" s="3">
        <v>0</v>
      </c>
      <c r="W395" s="3">
        <v>2822</v>
      </c>
      <c r="X395" s="3">
        <v>20.7</v>
      </c>
    </row>
    <row r="396" spans="1:24" hidden="1">
      <c r="A396" s="1">
        <v>44593</v>
      </c>
      <c r="B396" s="1" t="s">
        <v>636</v>
      </c>
      <c r="C396" s="2" t="s">
        <v>634</v>
      </c>
      <c r="D396" s="2" t="s">
        <v>279</v>
      </c>
      <c r="E396" s="2" t="s">
        <v>635</v>
      </c>
      <c r="F396" s="2" t="s">
        <v>281</v>
      </c>
      <c r="G396" s="2" t="s">
        <v>141</v>
      </c>
      <c r="H396" s="2" t="s">
        <v>415</v>
      </c>
      <c r="I396" t="s">
        <v>198</v>
      </c>
      <c r="J396" s="18">
        <v>8997.06</v>
      </c>
      <c r="K396" s="18"/>
      <c r="L396" s="18">
        <v>2267.6705624414099</v>
      </c>
      <c r="M396" s="18">
        <v>6725.1111774569999</v>
      </c>
      <c r="N396" s="18"/>
      <c r="O396" s="18"/>
      <c r="P396" s="3">
        <v>0</v>
      </c>
      <c r="Q396" s="3">
        <v>0</v>
      </c>
      <c r="R396" s="3">
        <v>0</v>
      </c>
      <c r="S396" s="3"/>
      <c r="T396" s="3" t="b">
        <v>0</v>
      </c>
      <c r="U396" s="3">
        <v>4201</v>
      </c>
      <c r="V396" s="3">
        <v>0</v>
      </c>
      <c r="W396" s="3">
        <v>1937</v>
      </c>
      <c r="X396" s="3">
        <v>18.670000000000002</v>
      </c>
    </row>
    <row r="397" spans="1:24" hidden="1">
      <c r="A397" s="1">
        <v>44621</v>
      </c>
      <c r="B397" s="1" t="s">
        <v>637</v>
      </c>
      <c r="C397" s="2" t="s">
        <v>634</v>
      </c>
      <c r="D397" s="2" t="s">
        <v>279</v>
      </c>
      <c r="E397" s="2" t="s">
        <v>635</v>
      </c>
      <c r="F397" s="2" t="s">
        <v>281</v>
      </c>
      <c r="G397" s="2" t="s">
        <v>141</v>
      </c>
      <c r="H397" s="2" t="s">
        <v>415</v>
      </c>
      <c r="I397" t="s">
        <v>198</v>
      </c>
      <c r="J397" s="18">
        <v>8901.48</v>
      </c>
      <c r="K397" s="18"/>
      <c r="L397" s="18">
        <v>2301.4239782807799</v>
      </c>
      <c r="M397" s="18">
        <v>7015.7191228920401</v>
      </c>
      <c r="N397" s="18"/>
      <c r="O397" s="18"/>
      <c r="P397" s="3">
        <v>0</v>
      </c>
      <c r="Q397" s="3">
        <v>0</v>
      </c>
      <c r="R397" s="3">
        <v>0</v>
      </c>
      <c r="S397" s="3"/>
      <c r="T397" s="3" t="b">
        <v>0</v>
      </c>
      <c r="U397" s="3">
        <v>2551</v>
      </c>
      <c r="V397" s="3">
        <v>1</v>
      </c>
      <c r="W397" s="3">
        <v>2225</v>
      </c>
      <c r="X397" s="3">
        <v>19.75</v>
      </c>
    </row>
    <row r="398" spans="1:24" hidden="1">
      <c r="A398" s="1">
        <v>44652</v>
      </c>
      <c r="B398" s="1" t="s">
        <v>638</v>
      </c>
      <c r="C398" s="2" t="s">
        <v>634</v>
      </c>
      <c r="D398" s="2" t="s">
        <v>279</v>
      </c>
      <c r="E398" s="2" t="s">
        <v>635</v>
      </c>
      <c r="F398" s="2" t="s">
        <v>281</v>
      </c>
      <c r="G398" s="2" t="s">
        <v>141</v>
      </c>
      <c r="H398" s="2" t="s">
        <v>415</v>
      </c>
      <c r="I398" t="s">
        <v>198</v>
      </c>
      <c r="J398" s="18">
        <v>9407.68</v>
      </c>
      <c r="K398" s="18"/>
      <c r="L398" s="18">
        <v>2338.7938316205</v>
      </c>
      <c r="M398" s="18">
        <v>7455.5391762661602</v>
      </c>
      <c r="N398" s="18"/>
      <c r="O398" s="18"/>
      <c r="P398" s="3">
        <v>0</v>
      </c>
      <c r="Q398" s="3">
        <v>0</v>
      </c>
      <c r="R398" s="3">
        <v>0</v>
      </c>
      <c r="S398" s="3"/>
      <c r="T398" s="3" t="b">
        <v>0</v>
      </c>
      <c r="U398" s="3">
        <v>2404</v>
      </c>
      <c r="V398" s="3">
        <v>0</v>
      </c>
      <c r="W398" s="3">
        <v>1031</v>
      </c>
      <c r="X398" s="3">
        <v>19.78</v>
      </c>
    </row>
    <row r="399" spans="1:24" hidden="1">
      <c r="A399" s="1">
        <v>44682</v>
      </c>
      <c r="B399" s="1" t="s">
        <v>639</v>
      </c>
      <c r="C399" s="2" t="s">
        <v>634</v>
      </c>
      <c r="D399" s="2" t="s">
        <v>279</v>
      </c>
      <c r="E399" s="2" t="s">
        <v>635</v>
      </c>
      <c r="F399" s="2" t="s">
        <v>281</v>
      </c>
      <c r="G399" s="2" t="s">
        <v>141</v>
      </c>
      <c r="H399" s="2" t="s">
        <v>415</v>
      </c>
      <c r="I399" t="s">
        <v>198</v>
      </c>
      <c r="J399" s="18">
        <v>9977.33</v>
      </c>
      <c r="K399" s="18"/>
      <c r="L399" s="18">
        <v>2374.9582057050802</v>
      </c>
      <c r="M399" s="18">
        <v>7866.8425215556599</v>
      </c>
      <c r="N399" s="18"/>
      <c r="O399" s="18"/>
      <c r="P399" s="3">
        <v>0</v>
      </c>
      <c r="Q399" s="3">
        <v>0</v>
      </c>
      <c r="R399" s="3">
        <v>0</v>
      </c>
      <c r="S399" s="3"/>
      <c r="T399" s="3" t="b">
        <v>0</v>
      </c>
      <c r="U399" s="3">
        <v>2461</v>
      </c>
      <c r="V399" s="3">
        <v>0</v>
      </c>
      <c r="W399" s="3">
        <v>1442</v>
      </c>
      <c r="X399" s="3">
        <v>19.41</v>
      </c>
    </row>
    <row r="400" spans="1:24" hidden="1">
      <c r="A400" s="1">
        <v>44713</v>
      </c>
      <c r="B400" s="1" t="s">
        <v>640</v>
      </c>
      <c r="C400" s="2" t="s">
        <v>634</v>
      </c>
      <c r="D400" s="2" t="s">
        <v>279</v>
      </c>
      <c r="E400" s="2" t="s">
        <v>635</v>
      </c>
      <c r="F400" s="2" t="s">
        <v>281</v>
      </c>
      <c r="G400" s="2" t="s">
        <v>141</v>
      </c>
      <c r="H400" s="2" t="s">
        <v>415</v>
      </c>
      <c r="I400" t="s">
        <v>198</v>
      </c>
      <c r="J400" s="18">
        <v>9295.19</v>
      </c>
      <c r="K400" s="18"/>
      <c r="L400" s="18">
        <v>2412.32805881185</v>
      </c>
      <c r="M400" s="18">
        <v>6952.3697787250603</v>
      </c>
      <c r="N400" s="18"/>
      <c r="O400" s="18"/>
      <c r="P400" s="3">
        <v>0</v>
      </c>
      <c r="Q400" s="3">
        <v>0</v>
      </c>
      <c r="R400" s="3">
        <v>0</v>
      </c>
      <c r="S400" s="3"/>
      <c r="T400" s="3" t="b">
        <v>0</v>
      </c>
      <c r="U400" s="3">
        <v>4179</v>
      </c>
      <c r="V400" s="3">
        <v>0</v>
      </c>
      <c r="W400" s="3">
        <v>1161</v>
      </c>
      <c r="X400" s="3">
        <v>19.59</v>
      </c>
    </row>
    <row r="401" spans="1:24" hidden="1">
      <c r="A401" s="1">
        <v>44743</v>
      </c>
      <c r="B401" s="1" t="s">
        <v>641</v>
      </c>
      <c r="C401" s="2" t="s">
        <v>634</v>
      </c>
      <c r="D401" s="2" t="s">
        <v>279</v>
      </c>
      <c r="E401" s="2" t="s">
        <v>635</v>
      </c>
      <c r="F401" s="2" t="s">
        <v>281</v>
      </c>
      <c r="G401" s="2" t="s">
        <v>141</v>
      </c>
      <c r="H401" s="2" t="s">
        <v>415</v>
      </c>
      <c r="I401" t="s">
        <v>198</v>
      </c>
      <c r="J401" s="18">
        <v>9619.86</v>
      </c>
      <c r="K401" s="18"/>
      <c r="L401" s="18">
        <v>2448.49243281189</v>
      </c>
      <c r="M401" s="18">
        <v>6497.64961008305</v>
      </c>
      <c r="N401" s="18"/>
      <c r="O401" s="18"/>
      <c r="P401" s="3">
        <v>0</v>
      </c>
      <c r="Q401" s="3">
        <v>0</v>
      </c>
      <c r="R401" s="3">
        <v>0</v>
      </c>
      <c r="S401" s="3"/>
      <c r="T401" s="3" t="b">
        <v>0</v>
      </c>
      <c r="U401" s="3">
        <v>4838</v>
      </c>
      <c r="V401" s="3">
        <v>0</v>
      </c>
      <c r="W401" s="3">
        <v>1766</v>
      </c>
      <c r="X401" s="3">
        <v>19.72</v>
      </c>
    </row>
    <row r="402" spans="1:24" hidden="1">
      <c r="A402" s="1">
        <v>44774</v>
      </c>
      <c r="B402" s="1" t="s">
        <v>642</v>
      </c>
      <c r="C402" s="2" t="s">
        <v>634</v>
      </c>
      <c r="D402" s="2" t="s">
        <v>279</v>
      </c>
      <c r="E402" s="2" t="s">
        <v>635</v>
      </c>
      <c r="F402" s="2" t="s">
        <v>281</v>
      </c>
      <c r="G402" s="2" t="s">
        <v>141</v>
      </c>
      <c r="H402" s="2" t="s">
        <v>415</v>
      </c>
      <c r="I402" t="s">
        <v>198</v>
      </c>
      <c r="J402" s="18">
        <v>9827.65</v>
      </c>
      <c r="K402" s="18"/>
      <c r="L402" s="18">
        <v>2485.86228610026</v>
      </c>
      <c r="M402" s="18">
        <v>6880.5415334925701</v>
      </c>
      <c r="N402" s="18"/>
      <c r="O402" s="18"/>
      <c r="P402" s="3">
        <v>0</v>
      </c>
      <c r="Q402" s="3">
        <v>0</v>
      </c>
      <c r="R402" s="3">
        <v>0</v>
      </c>
      <c r="S402" s="3"/>
      <c r="T402" s="3" t="b">
        <v>0</v>
      </c>
      <c r="U402" s="3">
        <v>2873</v>
      </c>
      <c r="V402" s="3">
        <v>0</v>
      </c>
      <c r="W402" s="3">
        <v>1253</v>
      </c>
      <c r="X402" s="3">
        <v>20.63</v>
      </c>
    </row>
    <row r="403" spans="1:24" hidden="1">
      <c r="A403" s="1">
        <v>45352</v>
      </c>
      <c r="B403" s="1" t="s">
        <v>643</v>
      </c>
      <c r="C403" s="2" t="s">
        <v>634</v>
      </c>
      <c r="D403" s="2" t="s">
        <v>279</v>
      </c>
      <c r="E403" s="2" t="s">
        <v>635</v>
      </c>
      <c r="F403" s="2" t="s">
        <v>281</v>
      </c>
      <c r="G403" s="2" t="s">
        <v>141</v>
      </c>
      <c r="H403" s="2" t="s">
        <v>415</v>
      </c>
      <c r="I403" t="s">
        <v>198</v>
      </c>
      <c r="J403" s="18">
        <v>11431.46</v>
      </c>
      <c r="K403" s="18"/>
      <c r="L403" s="18">
        <v>3182.6286036523802</v>
      </c>
      <c r="M403" s="18">
        <v>7828.6268773501797</v>
      </c>
      <c r="N403" s="18"/>
      <c r="O403" s="18"/>
      <c r="P403" s="3">
        <v>0</v>
      </c>
      <c r="Q403" s="3">
        <v>0</v>
      </c>
      <c r="R403" s="3">
        <v>0</v>
      </c>
      <c r="S403" s="3"/>
      <c r="T403" s="3" t="b">
        <v>0</v>
      </c>
      <c r="U403" s="3">
        <v>3390</v>
      </c>
      <c r="V403" s="3">
        <v>0</v>
      </c>
      <c r="W403" s="3">
        <v>2856</v>
      </c>
      <c r="X403" s="3">
        <v>18.95</v>
      </c>
    </row>
    <row r="404" spans="1:24" hidden="1">
      <c r="A404" s="1">
        <v>45383</v>
      </c>
      <c r="B404" s="1" t="s">
        <v>644</v>
      </c>
      <c r="C404" s="2" t="s">
        <v>634</v>
      </c>
      <c r="D404" s="2" t="s">
        <v>279</v>
      </c>
      <c r="E404" s="2" t="s">
        <v>635</v>
      </c>
      <c r="F404" s="2" t="s">
        <v>281</v>
      </c>
      <c r="G404" s="2" t="s">
        <v>141</v>
      </c>
      <c r="H404" s="2" t="s">
        <v>415</v>
      </c>
      <c r="I404" t="s">
        <v>198</v>
      </c>
      <c r="J404" s="18">
        <v>10877.39</v>
      </c>
      <c r="K404" s="18"/>
      <c r="L404" s="18">
        <v>3219.99833777094</v>
      </c>
      <c r="M404" s="18">
        <v>7274.99037275719</v>
      </c>
      <c r="N404" s="18"/>
      <c r="O404" s="18"/>
      <c r="P404" s="3">
        <v>0</v>
      </c>
      <c r="Q404" s="3">
        <v>0</v>
      </c>
      <c r="R404" s="3">
        <v>0</v>
      </c>
      <c r="S404" s="3"/>
      <c r="T404" s="3" t="b">
        <v>1</v>
      </c>
      <c r="U404" s="3">
        <v>2039</v>
      </c>
      <c r="V404" s="3">
        <v>0</v>
      </c>
      <c r="W404" s="3">
        <v>2214</v>
      </c>
      <c r="X404" s="3">
        <v>19.399999999999999</v>
      </c>
    </row>
    <row r="405" spans="1:24" hidden="1">
      <c r="A405" s="1">
        <v>45413</v>
      </c>
      <c r="B405" s="1" t="s">
        <v>645</v>
      </c>
      <c r="C405" s="2" t="s">
        <v>634</v>
      </c>
      <c r="D405" s="2" t="s">
        <v>279</v>
      </c>
      <c r="E405" s="2" t="s">
        <v>635</v>
      </c>
      <c r="F405" s="2" t="s">
        <v>281</v>
      </c>
      <c r="G405" s="2" t="s">
        <v>141</v>
      </c>
      <c r="H405" s="2" t="s">
        <v>415</v>
      </c>
      <c r="I405" t="s">
        <v>198</v>
      </c>
      <c r="J405" s="18">
        <v>11115.73</v>
      </c>
      <c r="K405" s="18"/>
      <c r="L405" s="18">
        <v>3256.1622624786501</v>
      </c>
      <c r="M405" s="18">
        <v>7594.9124764140597</v>
      </c>
      <c r="N405" s="18"/>
      <c r="O405" s="18"/>
      <c r="P405" s="3">
        <v>0</v>
      </c>
      <c r="Q405" s="3">
        <v>0</v>
      </c>
      <c r="R405" s="3">
        <v>0</v>
      </c>
      <c r="S405" s="3"/>
      <c r="T405" s="3" t="b">
        <v>0</v>
      </c>
      <c r="U405" s="3">
        <v>3982</v>
      </c>
      <c r="V405" s="3">
        <v>0</v>
      </c>
      <c r="W405" s="3">
        <v>2752</v>
      </c>
      <c r="X405" s="3">
        <v>19.239999999999998</v>
      </c>
    </row>
    <row r="406" spans="1:24" hidden="1">
      <c r="A406" s="1">
        <v>45444</v>
      </c>
      <c r="B406" s="1" t="s">
        <v>646</v>
      </c>
      <c r="C406" s="2" t="s">
        <v>634</v>
      </c>
      <c r="D406" s="2" t="s">
        <v>279</v>
      </c>
      <c r="E406" s="2" t="s">
        <v>635</v>
      </c>
      <c r="F406" s="2" t="s">
        <v>281</v>
      </c>
      <c r="G406" s="2" t="s">
        <v>141</v>
      </c>
      <c r="H406" s="2" t="s">
        <v>415</v>
      </c>
      <c r="I406" t="s">
        <v>198</v>
      </c>
      <c r="J406" s="18">
        <v>10957.81</v>
      </c>
      <c r="K406" s="18"/>
      <c r="L406" s="18">
        <v>3293.53165140179</v>
      </c>
      <c r="M406" s="18">
        <v>7605.0398688549803</v>
      </c>
      <c r="N406" s="18"/>
      <c r="O406" s="18"/>
      <c r="P406" s="3">
        <v>0</v>
      </c>
      <c r="Q406" s="3">
        <v>0</v>
      </c>
      <c r="R406" s="3">
        <v>0</v>
      </c>
      <c r="S406" s="3"/>
      <c r="T406" s="3" t="b">
        <v>0</v>
      </c>
      <c r="U406" s="3">
        <v>4236</v>
      </c>
      <c r="V406" s="3">
        <v>3</v>
      </c>
      <c r="W406" s="3">
        <v>1562</v>
      </c>
      <c r="X406" s="3">
        <v>20.29</v>
      </c>
    </row>
    <row r="407" spans="1:24" hidden="1">
      <c r="A407" s="1">
        <v>45474</v>
      </c>
      <c r="B407" s="1" t="s">
        <v>647</v>
      </c>
      <c r="C407" s="2" t="s">
        <v>634</v>
      </c>
      <c r="D407" s="2" t="s">
        <v>279</v>
      </c>
      <c r="E407" s="2" t="s">
        <v>635</v>
      </c>
      <c r="F407" s="2" t="s">
        <v>281</v>
      </c>
      <c r="G407" s="2" t="s">
        <v>141</v>
      </c>
      <c r="H407" s="2" t="s">
        <v>415</v>
      </c>
      <c r="I407" t="s">
        <v>198</v>
      </c>
      <c r="J407" s="18">
        <v>8120.48</v>
      </c>
      <c r="K407" s="18">
        <v>11032.69</v>
      </c>
      <c r="L407" s="18">
        <v>3329.6955762919602</v>
      </c>
      <c r="M407" s="18">
        <v>5469.8391938632603</v>
      </c>
      <c r="N407" s="18">
        <v>11232.69</v>
      </c>
      <c r="O407" s="18">
        <v>10832.69</v>
      </c>
      <c r="P407" s="3">
        <v>0</v>
      </c>
      <c r="Q407" s="3">
        <v>0</v>
      </c>
      <c r="R407" s="3">
        <v>1</v>
      </c>
      <c r="S407" s="3"/>
      <c r="T407" s="3" t="b">
        <v>0</v>
      </c>
      <c r="U407" s="3">
        <v>2993</v>
      </c>
      <c r="V407" s="3">
        <v>0</v>
      </c>
      <c r="W407" s="3">
        <v>2827</v>
      </c>
      <c r="X407" s="3">
        <v>19.309999999999999</v>
      </c>
    </row>
    <row r="408" spans="1:24" hidden="1">
      <c r="A408" s="1">
        <v>45505</v>
      </c>
      <c r="B408" s="1" t="s">
        <v>648</v>
      </c>
      <c r="C408" s="2" t="s">
        <v>634</v>
      </c>
      <c r="D408" s="2" t="s">
        <v>279</v>
      </c>
      <c r="E408" s="2" t="s">
        <v>635</v>
      </c>
      <c r="F408" s="2" t="s">
        <v>281</v>
      </c>
      <c r="G408" s="2" t="s">
        <v>141</v>
      </c>
      <c r="H408" s="2" t="s">
        <v>415</v>
      </c>
      <c r="I408" t="s">
        <v>198</v>
      </c>
      <c r="J408" s="18">
        <v>11174.36</v>
      </c>
      <c r="K408" s="18">
        <v>11087.87</v>
      </c>
      <c r="L408" s="18">
        <v>3367.0649653451401</v>
      </c>
      <c r="M408" s="18">
        <v>8258.5089483907395</v>
      </c>
      <c r="N408" s="18">
        <v>11287.87</v>
      </c>
      <c r="O408" s="18">
        <v>10887.87</v>
      </c>
      <c r="P408" s="3">
        <v>0</v>
      </c>
      <c r="Q408" s="3">
        <v>0</v>
      </c>
      <c r="R408" s="3">
        <v>0</v>
      </c>
      <c r="S408" s="3"/>
      <c r="T408" s="3" t="b">
        <v>0</v>
      </c>
      <c r="U408" s="3">
        <v>4012</v>
      </c>
      <c r="V408" s="3">
        <v>0</v>
      </c>
      <c r="W408" s="3">
        <v>2104</v>
      </c>
      <c r="X408" s="3">
        <v>18.97</v>
      </c>
    </row>
    <row r="409" spans="1:24" hidden="1">
      <c r="A409" s="1">
        <v>45536</v>
      </c>
      <c r="B409" s="1" t="s">
        <v>649</v>
      </c>
      <c r="C409" s="2" t="s">
        <v>634</v>
      </c>
      <c r="D409" s="2" t="s">
        <v>279</v>
      </c>
      <c r="E409" s="2" t="s">
        <v>635</v>
      </c>
      <c r="F409" s="2" t="s">
        <v>281</v>
      </c>
      <c r="G409" s="2" t="s">
        <v>141</v>
      </c>
      <c r="H409" s="2" t="s">
        <v>415</v>
      </c>
      <c r="I409" t="s">
        <v>198</v>
      </c>
      <c r="J409" s="18">
        <v>11325.72</v>
      </c>
      <c r="K409" s="18">
        <v>11289.26</v>
      </c>
      <c r="L409" s="18">
        <v>3404.43435439831</v>
      </c>
      <c r="M409" s="18">
        <v>7919.0778918839997</v>
      </c>
      <c r="N409" s="18">
        <v>11489.26</v>
      </c>
      <c r="O409" s="18">
        <v>11089.26</v>
      </c>
      <c r="P409" s="3">
        <v>0</v>
      </c>
      <c r="Q409" s="3">
        <v>0</v>
      </c>
      <c r="R409" s="3">
        <v>0</v>
      </c>
      <c r="S409" s="3"/>
      <c r="T409" s="3" t="b">
        <v>0</v>
      </c>
      <c r="U409" s="3">
        <v>4583</v>
      </c>
      <c r="V409" s="3">
        <v>1</v>
      </c>
      <c r="W409" s="3">
        <v>1488</v>
      </c>
      <c r="X409" s="3">
        <v>19.010000000000002</v>
      </c>
    </row>
    <row r="410" spans="1:24" hidden="1">
      <c r="A410" s="1">
        <v>45566</v>
      </c>
      <c r="B410" s="1" t="s">
        <v>650</v>
      </c>
      <c r="C410" s="2" t="s">
        <v>634</v>
      </c>
      <c r="D410" s="2" t="s">
        <v>279</v>
      </c>
      <c r="E410" s="2" t="s">
        <v>635</v>
      </c>
      <c r="F410" s="2" t="s">
        <v>281</v>
      </c>
      <c r="G410" s="2" t="s">
        <v>141</v>
      </c>
      <c r="H410" s="2" t="s">
        <v>415</v>
      </c>
      <c r="I410" t="s">
        <v>224</v>
      </c>
      <c r="J410" s="18"/>
      <c r="K410" s="18">
        <v>11410.13</v>
      </c>
      <c r="L410" s="18">
        <v>3440.5982792884902</v>
      </c>
      <c r="M410" s="18">
        <v>159408.64859247499</v>
      </c>
      <c r="N410" s="18">
        <v>11610.13</v>
      </c>
      <c r="O410" s="18">
        <v>11210.13</v>
      </c>
      <c r="P410" s="3"/>
      <c r="Q410" s="3"/>
      <c r="R410" s="3"/>
      <c r="S410" s="3"/>
      <c r="T410" s="3"/>
      <c r="U410" s="3"/>
      <c r="V410" s="3"/>
      <c r="W410" s="3">
        <v>1894</v>
      </c>
      <c r="X410" s="3">
        <v>20.64</v>
      </c>
    </row>
    <row r="411" spans="1:24" hidden="1">
      <c r="A411" s="1">
        <v>45597</v>
      </c>
      <c r="B411" s="1" t="s">
        <v>651</v>
      </c>
      <c r="C411" s="2" t="s">
        <v>634</v>
      </c>
      <c r="D411" s="2" t="s">
        <v>279</v>
      </c>
      <c r="E411" s="2" t="s">
        <v>635</v>
      </c>
      <c r="F411" s="2" t="s">
        <v>281</v>
      </c>
      <c r="G411" s="2" t="s">
        <v>141</v>
      </c>
      <c r="H411" s="2" t="s">
        <v>415</v>
      </c>
      <c r="I411" t="s">
        <v>224</v>
      </c>
      <c r="J411" s="18"/>
      <c r="K411" s="18">
        <v>11536.51</v>
      </c>
      <c r="L411" s="18">
        <v>3477.9676683416601</v>
      </c>
      <c r="M411" s="18">
        <v>131333.371834602</v>
      </c>
      <c r="N411" s="18">
        <v>11736.51</v>
      </c>
      <c r="O411" s="18">
        <v>11336.51</v>
      </c>
      <c r="P411" s="3"/>
      <c r="Q411" s="3"/>
      <c r="R411" s="3"/>
      <c r="S411" s="3"/>
      <c r="T411" s="3"/>
      <c r="U411" s="3"/>
      <c r="V411" s="3"/>
      <c r="W411" s="3">
        <v>2111</v>
      </c>
      <c r="X411" s="3">
        <v>19.260000000000002</v>
      </c>
    </row>
    <row r="412" spans="1:24" hidden="1">
      <c r="A412" s="1">
        <v>45627</v>
      </c>
      <c r="B412" s="1" t="s">
        <v>652</v>
      </c>
      <c r="C412" s="2" t="s">
        <v>634</v>
      </c>
      <c r="D412" s="2" t="s">
        <v>279</v>
      </c>
      <c r="E412" s="2" t="s">
        <v>635</v>
      </c>
      <c r="F412" s="2" t="s">
        <v>281</v>
      </c>
      <c r="G412" s="2" t="s">
        <v>141</v>
      </c>
      <c r="H412" s="2" t="s">
        <v>415</v>
      </c>
      <c r="I412" t="s">
        <v>224</v>
      </c>
      <c r="J412" s="18"/>
      <c r="K412" s="18">
        <v>11989.77</v>
      </c>
      <c r="L412" s="18">
        <v>3514.1315932318298</v>
      </c>
      <c r="M412" s="18">
        <v>-366699.46500827197</v>
      </c>
      <c r="N412" s="18">
        <v>12189.77</v>
      </c>
      <c r="O412" s="18">
        <v>11789.77</v>
      </c>
      <c r="P412" s="3"/>
      <c r="Q412" s="3"/>
      <c r="R412" s="3"/>
      <c r="S412" s="3"/>
      <c r="T412" s="3"/>
      <c r="U412" s="3"/>
      <c r="V412" s="3"/>
      <c r="W412" s="3">
        <v>2217</v>
      </c>
      <c r="X412" s="3">
        <v>20.8</v>
      </c>
    </row>
    <row r="413" spans="1:24" hidden="1">
      <c r="A413" s="1">
        <v>44562</v>
      </c>
      <c r="B413" s="1" t="s">
        <v>653</v>
      </c>
      <c r="C413" s="2" t="s">
        <v>654</v>
      </c>
      <c r="D413" s="2" t="s">
        <v>279</v>
      </c>
      <c r="E413" s="2" t="s">
        <v>635</v>
      </c>
      <c r="F413" s="2" t="s">
        <v>281</v>
      </c>
      <c r="G413" s="2" t="s">
        <v>282</v>
      </c>
      <c r="H413" s="2" t="s">
        <v>655</v>
      </c>
      <c r="I413" t="s">
        <v>198</v>
      </c>
      <c r="J413" s="18">
        <v>11438.08</v>
      </c>
      <c r="K413" s="18"/>
      <c r="L413" s="18">
        <v>11713.8658705</v>
      </c>
      <c r="M413" s="18">
        <v>-275.90651679713397</v>
      </c>
      <c r="N413" s="18"/>
      <c r="O413" s="18"/>
      <c r="P413" s="3">
        <v>0</v>
      </c>
      <c r="Q413" s="3">
        <v>0</v>
      </c>
      <c r="R413" s="3">
        <v>0</v>
      </c>
      <c r="S413" s="3"/>
      <c r="T413" s="3" t="b">
        <v>0</v>
      </c>
      <c r="U413" s="3">
        <v>4573</v>
      </c>
      <c r="V413" s="3">
        <v>0</v>
      </c>
      <c r="W413" s="3">
        <v>2062</v>
      </c>
      <c r="X413" s="3">
        <v>10.44</v>
      </c>
    </row>
    <row r="414" spans="1:24" hidden="1">
      <c r="A414" s="1">
        <v>44621</v>
      </c>
      <c r="B414" s="1" t="s">
        <v>656</v>
      </c>
      <c r="C414" s="2" t="s">
        <v>654</v>
      </c>
      <c r="D414" s="2" t="s">
        <v>279</v>
      </c>
      <c r="E414" s="2" t="s">
        <v>635</v>
      </c>
      <c r="F414" s="2" t="s">
        <v>281</v>
      </c>
      <c r="G414" s="2" t="s">
        <v>282</v>
      </c>
      <c r="H414" s="2" t="s">
        <v>655</v>
      </c>
      <c r="I414" t="s">
        <v>198</v>
      </c>
      <c r="J414" s="18">
        <v>11924.55</v>
      </c>
      <c r="K414" s="18"/>
      <c r="L414" s="18">
        <v>10556.9492254907</v>
      </c>
      <c r="M414" s="18">
        <v>1367.77626396102</v>
      </c>
      <c r="N414" s="18"/>
      <c r="O414" s="18"/>
      <c r="P414" s="3">
        <v>0</v>
      </c>
      <c r="Q414" s="3">
        <v>0</v>
      </c>
      <c r="R414" s="3">
        <v>0</v>
      </c>
      <c r="S414" s="3"/>
      <c r="T414" s="3" t="b">
        <v>0</v>
      </c>
      <c r="U414" s="3">
        <v>4599</v>
      </c>
      <c r="V414" s="3">
        <v>0</v>
      </c>
      <c r="W414" s="3">
        <v>1130</v>
      </c>
      <c r="X414" s="3">
        <v>7.4</v>
      </c>
    </row>
    <row r="415" spans="1:24" hidden="1">
      <c r="A415" s="1">
        <v>45383</v>
      </c>
      <c r="B415" s="1" t="s">
        <v>657</v>
      </c>
      <c r="C415" s="2" t="s">
        <v>654</v>
      </c>
      <c r="D415" s="2" t="s">
        <v>279</v>
      </c>
      <c r="E415" s="2" t="s">
        <v>635</v>
      </c>
      <c r="F415" s="2" t="s">
        <v>281</v>
      </c>
      <c r="G415" s="2" t="s">
        <v>282</v>
      </c>
      <c r="H415" s="2" t="s">
        <v>655</v>
      </c>
      <c r="I415" t="s">
        <v>198</v>
      </c>
      <c r="J415" s="18">
        <v>13664.15</v>
      </c>
      <c r="K415" s="18"/>
      <c r="L415" s="18">
        <v>-4384.9234432283301</v>
      </c>
      <c r="M415" s="18">
        <v>18049.012729395501</v>
      </c>
      <c r="N415" s="18"/>
      <c r="O415" s="18"/>
      <c r="P415" s="3">
        <v>0</v>
      </c>
      <c r="Q415" s="3">
        <v>0</v>
      </c>
      <c r="R415" s="3">
        <v>0</v>
      </c>
      <c r="S415" s="3"/>
      <c r="T415" s="3" t="b">
        <v>0</v>
      </c>
      <c r="U415" s="3">
        <v>4074</v>
      </c>
      <c r="V415" s="3">
        <v>0</v>
      </c>
      <c r="W415" s="3">
        <v>1215</v>
      </c>
      <c r="X415" s="3">
        <v>9.41</v>
      </c>
    </row>
    <row r="416" spans="1:24" hidden="1">
      <c r="A416" s="1">
        <v>45444</v>
      </c>
      <c r="B416" s="1" t="s">
        <v>658</v>
      </c>
      <c r="C416" s="2" t="s">
        <v>654</v>
      </c>
      <c r="D416" s="2" t="s">
        <v>279</v>
      </c>
      <c r="E416" s="2" t="s">
        <v>635</v>
      </c>
      <c r="F416" s="2" t="s">
        <v>281</v>
      </c>
      <c r="G416" s="2" t="s">
        <v>282</v>
      </c>
      <c r="H416" s="2" t="s">
        <v>655</v>
      </c>
      <c r="I416" t="s">
        <v>198</v>
      </c>
      <c r="J416" s="18">
        <v>12901.64</v>
      </c>
      <c r="K416" s="18"/>
      <c r="L416" s="18">
        <v>-5581.0576047944396</v>
      </c>
      <c r="M416" s="18">
        <v>18482.6052445981</v>
      </c>
      <c r="N416" s="18"/>
      <c r="O416" s="18"/>
      <c r="P416" s="3">
        <v>0</v>
      </c>
      <c r="Q416" s="3">
        <v>0</v>
      </c>
      <c r="R416" s="3">
        <v>0</v>
      </c>
      <c r="S416" s="3"/>
      <c r="T416" s="3" t="b">
        <v>1</v>
      </c>
      <c r="U416" s="3">
        <v>2730</v>
      </c>
      <c r="V416" s="3">
        <v>1</v>
      </c>
      <c r="W416" s="3">
        <v>2799</v>
      </c>
      <c r="X416" s="3">
        <v>10.5</v>
      </c>
    </row>
    <row r="417" spans="1:24" hidden="1">
      <c r="A417" s="1">
        <v>45474</v>
      </c>
      <c r="B417" s="1" t="s">
        <v>659</v>
      </c>
      <c r="C417" s="2" t="s">
        <v>654</v>
      </c>
      <c r="D417" s="2" t="s">
        <v>279</v>
      </c>
      <c r="E417" s="2" t="s">
        <v>635</v>
      </c>
      <c r="F417" s="2" t="s">
        <v>281</v>
      </c>
      <c r="G417" s="2" t="s">
        <v>282</v>
      </c>
      <c r="H417" s="2" t="s">
        <v>655</v>
      </c>
      <c r="I417" t="s">
        <v>198</v>
      </c>
      <c r="J417" s="18">
        <v>13254.97</v>
      </c>
      <c r="K417" s="18">
        <v>13046.77</v>
      </c>
      <c r="L417" s="18">
        <v>-6169.32030365836</v>
      </c>
      <c r="M417" s="18">
        <v>19424.186558550002</v>
      </c>
      <c r="N417" s="18">
        <v>13246.77</v>
      </c>
      <c r="O417" s="18">
        <v>12846.77</v>
      </c>
      <c r="P417" s="3">
        <v>0</v>
      </c>
      <c r="Q417" s="3">
        <v>0</v>
      </c>
      <c r="R417" s="3">
        <v>0</v>
      </c>
      <c r="S417" s="3"/>
      <c r="T417" s="3" t="b">
        <v>0</v>
      </c>
      <c r="U417" s="3">
        <v>2167</v>
      </c>
      <c r="V417" s="3">
        <v>0</v>
      </c>
      <c r="W417" s="3">
        <v>1660</v>
      </c>
      <c r="X417" s="3">
        <v>9.5299999999999994</v>
      </c>
    </row>
    <row r="418" spans="1:24" hidden="1">
      <c r="A418" s="1">
        <v>45505</v>
      </c>
      <c r="B418" s="1" t="s">
        <v>660</v>
      </c>
      <c r="C418" s="2" t="s">
        <v>654</v>
      </c>
      <c r="D418" s="2" t="s">
        <v>279</v>
      </c>
      <c r="E418" s="2" t="s">
        <v>635</v>
      </c>
      <c r="F418" s="2" t="s">
        <v>281</v>
      </c>
      <c r="G418" s="2" t="s">
        <v>282</v>
      </c>
      <c r="H418" s="2" t="s">
        <v>655</v>
      </c>
      <c r="I418" t="s">
        <v>198</v>
      </c>
      <c r="J418" s="18">
        <v>13318.57</v>
      </c>
      <c r="K418" s="18">
        <v>13488.22</v>
      </c>
      <c r="L418" s="18">
        <v>-6777.1917704870802</v>
      </c>
      <c r="M418" s="18">
        <v>20095.744925925599</v>
      </c>
      <c r="N418" s="18">
        <v>13688.22</v>
      </c>
      <c r="O418" s="18">
        <v>13288.22</v>
      </c>
      <c r="P418" s="3">
        <v>0</v>
      </c>
      <c r="Q418" s="3">
        <v>0</v>
      </c>
      <c r="R418" s="3">
        <v>0</v>
      </c>
      <c r="S418" s="3"/>
      <c r="T418" s="3" t="b">
        <v>0</v>
      </c>
      <c r="U418" s="3">
        <v>2609</v>
      </c>
      <c r="V418" s="3">
        <v>0</v>
      </c>
      <c r="W418" s="3">
        <v>2104</v>
      </c>
      <c r="X418" s="3">
        <v>9.49</v>
      </c>
    </row>
    <row r="419" spans="1:24" hidden="1">
      <c r="A419" s="1">
        <v>45536</v>
      </c>
      <c r="B419" s="1" t="s">
        <v>661</v>
      </c>
      <c r="C419" s="2" t="s">
        <v>654</v>
      </c>
      <c r="D419" s="2" t="s">
        <v>279</v>
      </c>
      <c r="E419" s="2" t="s">
        <v>635</v>
      </c>
      <c r="F419" s="2" t="s">
        <v>281</v>
      </c>
      <c r="G419" s="2" t="s">
        <v>282</v>
      </c>
      <c r="H419" s="2" t="s">
        <v>655</v>
      </c>
      <c r="I419" t="s">
        <v>198</v>
      </c>
      <c r="J419" s="18">
        <v>13243.9</v>
      </c>
      <c r="K419" s="18">
        <v>13265</v>
      </c>
      <c r="L419" s="18">
        <v>-7385.0632373157996</v>
      </c>
      <c r="M419" s="18">
        <v>20628.962316274199</v>
      </c>
      <c r="N419" s="18">
        <v>13465</v>
      </c>
      <c r="O419" s="18">
        <v>13065</v>
      </c>
      <c r="P419" s="3">
        <v>0</v>
      </c>
      <c r="Q419" s="3">
        <v>0</v>
      </c>
      <c r="R419" s="3">
        <v>0</v>
      </c>
      <c r="S419" s="3"/>
      <c r="T419" s="3" t="b">
        <v>0</v>
      </c>
      <c r="U419" s="3">
        <v>4315</v>
      </c>
      <c r="V419" s="3">
        <v>0</v>
      </c>
      <c r="W419" s="3">
        <v>2750</v>
      </c>
      <c r="X419" s="3">
        <v>11.25</v>
      </c>
    </row>
    <row r="420" spans="1:24" hidden="1">
      <c r="A420" s="1">
        <v>45566</v>
      </c>
      <c r="B420" s="1" t="s">
        <v>662</v>
      </c>
      <c r="C420" s="2" t="s">
        <v>654</v>
      </c>
      <c r="D420" s="2" t="s">
        <v>279</v>
      </c>
      <c r="E420" s="2" t="s">
        <v>635</v>
      </c>
      <c r="F420" s="2" t="s">
        <v>281</v>
      </c>
      <c r="G420" s="2" t="s">
        <v>282</v>
      </c>
      <c r="H420" s="2" t="s">
        <v>655</v>
      </c>
      <c r="I420" t="s">
        <v>224</v>
      </c>
      <c r="J420" s="18"/>
      <c r="K420" s="18">
        <v>13548.86</v>
      </c>
      <c r="L420" s="18">
        <v>-7973.3259471500496</v>
      </c>
      <c r="M420" s="18">
        <v>96453.406226348001</v>
      </c>
      <c r="N420" s="18">
        <v>13748.86</v>
      </c>
      <c r="O420" s="18">
        <v>13348.86</v>
      </c>
      <c r="P420" s="3"/>
      <c r="Q420" s="3"/>
      <c r="R420" s="3"/>
      <c r="S420" s="3"/>
      <c r="T420" s="3"/>
      <c r="U420" s="3"/>
      <c r="V420" s="3"/>
      <c r="W420" s="3">
        <v>2508</v>
      </c>
      <c r="X420" s="3">
        <v>9.43</v>
      </c>
    </row>
    <row r="421" spans="1:24" hidden="1">
      <c r="A421" s="1">
        <v>45597</v>
      </c>
      <c r="B421" s="1" t="s">
        <v>663</v>
      </c>
      <c r="C421" s="2" t="s">
        <v>654</v>
      </c>
      <c r="D421" s="2" t="s">
        <v>279</v>
      </c>
      <c r="E421" s="2" t="s">
        <v>635</v>
      </c>
      <c r="F421" s="2" t="s">
        <v>281</v>
      </c>
      <c r="G421" s="2" t="s">
        <v>282</v>
      </c>
      <c r="H421" s="2" t="s">
        <v>655</v>
      </c>
      <c r="I421" t="s">
        <v>224</v>
      </c>
      <c r="J421" s="18"/>
      <c r="K421" s="18">
        <v>13668.14</v>
      </c>
      <c r="L421" s="18">
        <v>-8581.1974139787708</v>
      </c>
      <c r="M421" s="18">
        <v>-87089.057780085699</v>
      </c>
      <c r="N421" s="18">
        <v>13868.14</v>
      </c>
      <c r="O421" s="18">
        <v>13468.14</v>
      </c>
      <c r="P421" s="3"/>
      <c r="Q421" s="3"/>
      <c r="R421" s="3"/>
      <c r="S421" s="3"/>
      <c r="T421" s="3"/>
      <c r="U421" s="3"/>
      <c r="V421" s="3"/>
      <c r="W421" s="3">
        <v>1373</v>
      </c>
      <c r="X421" s="3">
        <v>40</v>
      </c>
    </row>
    <row r="422" spans="1:24" hidden="1">
      <c r="A422" s="1">
        <v>45627</v>
      </c>
      <c r="B422" s="1" t="s">
        <v>664</v>
      </c>
      <c r="C422" s="2" t="s">
        <v>654</v>
      </c>
      <c r="D422" s="2" t="s">
        <v>279</v>
      </c>
      <c r="E422" s="2" t="s">
        <v>635</v>
      </c>
      <c r="F422" s="2" t="s">
        <v>281</v>
      </c>
      <c r="G422" s="2" t="s">
        <v>282</v>
      </c>
      <c r="H422" s="2" t="s">
        <v>655</v>
      </c>
      <c r="I422" t="s">
        <v>224</v>
      </c>
      <c r="J422" s="18"/>
      <c r="K422" s="18">
        <v>14588.16</v>
      </c>
      <c r="L422" s="18">
        <v>-9169.4601238130199</v>
      </c>
      <c r="M422" s="18">
        <v>-84734.1525078048</v>
      </c>
      <c r="N422" s="18">
        <v>14788.16</v>
      </c>
      <c r="O422" s="18">
        <v>14388.16</v>
      </c>
      <c r="P422" s="3"/>
      <c r="Q422" s="3"/>
      <c r="R422" s="3"/>
      <c r="S422" s="3"/>
      <c r="T422" s="3"/>
      <c r="U422" s="3"/>
      <c r="V422" s="3"/>
      <c r="W422" s="3">
        <v>1975</v>
      </c>
      <c r="X422" s="3">
        <v>9.5299999999999994</v>
      </c>
    </row>
    <row r="423" spans="1:24" hidden="1">
      <c r="A423" s="1">
        <v>44562</v>
      </c>
      <c r="B423" s="1" t="s">
        <v>665</v>
      </c>
      <c r="C423" s="2" t="s">
        <v>666</v>
      </c>
      <c r="D423" s="2" t="s">
        <v>279</v>
      </c>
      <c r="E423" s="2" t="s">
        <v>635</v>
      </c>
      <c r="F423" s="2" t="s">
        <v>667</v>
      </c>
      <c r="G423" s="2" t="s">
        <v>146</v>
      </c>
      <c r="H423" s="2" t="s">
        <v>668</v>
      </c>
      <c r="I423" t="s">
        <v>198</v>
      </c>
      <c r="J423" s="18">
        <v>13773.35</v>
      </c>
      <c r="K423" s="18"/>
      <c r="L423" s="18">
        <v>16050.061507889999</v>
      </c>
      <c r="M423" s="18">
        <v>-2276.72392527796</v>
      </c>
      <c r="N423" s="18"/>
      <c r="O423" s="18"/>
      <c r="P423" s="3">
        <v>0</v>
      </c>
      <c r="Q423" s="3">
        <v>0</v>
      </c>
      <c r="R423" s="3">
        <v>0</v>
      </c>
      <c r="S423" s="3"/>
      <c r="T423" s="3" t="b">
        <v>0</v>
      </c>
      <c r="U423" s="3">
        <v>4900</v>
      </c>
      <c r="V423" s="3">
        <v>1</v>
      </c>
      <c r="W423" s="3">
        <v>2622</v>
      </c>
      <c r="X423" s="3">
        <v>19.09</v>
      </c>
    </row>
    <row r="424" spans="1:24" hidden="1">
      <c r="A424" s="1">
        <v>44593</v>
      </c>
      <c r="B424" s="1" t="s">
        <v>669</v>
      </c>
      <c r="C424" s="2" t="s">
        <v>666</v>
      </c>
      <c r="D424" s="2" t="s">
        <v>279</v>
      </c>
      <c r="E424" s="2" t="s">
        <v>635</v>
      </c>
      <c r="F424" s="2" t="s">
        <v>667</v>
      </c>
      <c r="G424" s="2" t="s">
        <v>146</v>
      </c>
      <c r="H424" s="2" t="s">
        <v>668</v>
      </c>
      <c r="I424" t="s">
        <v>198</v>
      </c>
      <c r="J424" s="18">
        <v>13783.26</v>
      </c>
      <c r="K424" s="18"/>
      <c r="L424" s="18">
        <v>16061.0455575749</v>
      </c>
      <c r="M424" s="18">
        <v>-2277.77965780777</v>
      </c>
      <c r="N424" s="18"/>
      <c r="O424" s="18"/>
      <c r="P424" s="3">
        <v>0</v>
      </c>
      <c r="Q424" s="3">
        <v>0</v>
      </c>
      <c r="R424" s="3">
        <v>0</v>
      </c>
      <c r="S424" s="3"/>
      <c r="T424" s="3" t="b">
        <v>0</v>
      </c>
      <c r="U424" s="3">
        <v>4817</v>
      </c>
      <c r="V424" s="3">
        <v>1</v>
      </c>
      <c r="W424" s="3">
        <v>1652</v>
      </c>
      <c r="X424" s="3">
        <v>19.02</v>
      </c>
    </row>
    <row r="425" spans="1:24" hidden="1">
      <c r="A425" s="1">
        <v>44621</v>
      </c>
      <c r="B425" s="1" t="s">
        <v>670</v>
      </c>
      <c r="C425" s="2" t="s">
        <v>666</v>
      </c>
      <c r="D425" s="2" t="s">
        <v>279</v>
      </c>
      <c r="E425" s="2" t="s">
        <v>635</v>
      </c>
      <c r="F425" s="2" t="s">
        <v>667</v>
      </c>
      <c r="G425" s="2" t="s">
        <v>146</v>
      </c>
      <c r="H425" s="2" t="s">
        <v>668</v>
      </c>
      <c r="I425" t="s">
        <v>198</v>
      </c>
      <c r="J425" s="18">
        <v>14006.54</v>
      </c>
      <c r="K425" s="18"/>
      <c r="L425" s="18">
        <v>16070.966626343499</v>
      </c>
      <c r="M425" s="18">
        <v>-2064.4381504746698</v>
      </c>
      <c r="N425" s="18"/>
      <c r="O425" s="18"/>
      <c r="P425" s="3">
        <v>0</v>
      </c>
      <c r="Q425" s="3">
        <v>0</v>
      </c>
      <c r="R425" s="3">
        <v>0</v>
      </c>
      <c r="S425" s="3"/>
      <c r="T425" s="3" t="b">
        <v>0</v>
      </c>
      <c r="U425" s="3">
        <v>2444</v>
      </c>
      <c r="V425" s="3">
        <v>0</v>
      </c>
      <c r="W425" s="3">
        <v>1671</v>
      </c>
      <c r="X425" s="3">
        <v>18.48</v>
      </c>
    </row>
    <row r="426" spans="1:24" hidden="1">
      <c r="A426" s="1">
        <v>44682</v>
      </c>
      <c r="B426" s="1" t="s">
        <v>671</v>
      </c>
      <c r="C426" s="2" t="s">
        <v>666</v>
      </c>
      <c r="D426" s="2" t="s">
        <v>279</v>
      </c>
      <c r="E426" s="2" t="s">
        <v>635</v>
      </c>
      <c r="F426" s="2" t="s">
        <v>667</v>
      </c>
      <c r="G426" s="2" t="s">
        <v>146</v>
      </c>
      <c r="H426" s="2" t="s">
        <v>668</v>
      </c>
      <c r="I426" t="s">
        <v>198</v>
      </c>
      <c r="J426" s="18">
        <v>14314.02</v>
      </c>
      <c r="K426" s="18"/>
      <c r="L426" s="18">
        <v>16092.5804037775</v>
      </c>
      <c r="M426" s="18">
        <v>-1778.5703361803701</v>
      </c>
      <c r="N426" s="18"/>
      <c r="O426" s="18"/>
      <c r="P426" s="3">
        <v>0</v>
      </c>
      <c r="Q426" s="3">
        <v>0</v>
      </c>
      <c r="R426" s="3">
        <v>0</v>
      </c>
      <c r="S426" s="3"/>
      <c r="T426" s="3" t="b">
        <v>0</v>
      </c>
      <c r="U426" s="3">
        <v>4170</v>
      </c>
      <c r="V426" s="3">
        <v>0</v>
      </c>
      <c r="W426" s="3">
        <v>2395</v>
      </c>
      <c r="X426" s="3">
        <v>17.41</v>
      </c>
    </row>
    <row r="427" spans="1:24" hidden="1">
      <c r="A427" s="1">
        <v>44866</v>
      </c>
      <c r="B427" s="1" t="s">
        <v>672</v>
      </c>
      <c r="C427" s="2" t="s">
        <v>666</v>
      </c>
      <c r="D427" s="2" t="s">
        <v>279</v>
      </c>
      <c r="E427" s="2" t="s">
        <v>635</v>
      </c>
      <c r="F427" s="2" t="s">
        <v>667</v>
      </c>
      <c r="G427" s="2" t="s">
        <v>146</v>
      </c>
      <c r="H427" s="2" t="s">
        <v>668</v>
      </c>
      <c r="I427" t="s">
        <v>198</v>
      </c>
      <c r="J427" s="18">
        <v>14564.14</v>
      </c>
      <c r="K427" s="18"/>
      <c r="L427" s="18">
        <v>16230.719961294801</v>
      </c>
      <c r="M427" s="18">
        <v>-1666.5858325956999</v>
      </c>
      <c r="N427" s="18"/>
      <c r="O427" s="18"/>
      <c r="P427" s="3">
        <v>0</v>
      </c>
      <c r="Q427" s="3">
        <v>0</v>
      </c>
      <c r="R427" s="3">
        <v>0</v>
      </c>
      <c r="S427" s="3"/>
      <c r="T427" s="3" t="b">
        <v>0</v>
      </c>
      <c r="U427" s="3">
        <v>3642</v>
      </c>
      <c r="V427" s="3">
        <v>0</v>
      </c>
      <c r="W427" s="3">
        <v>2270</v>
      </c>
      <c r="X427" s="3">
        <v>19.64</v>
      </c>
    </row>
    <row r="428" spans="1:24" hidden="1">
      <c r="A428" s="1">
        <v>44896</v>
      </c>
      <c r="B428" s="1" t="s">
        <v>673</v>
      </c>
      <c r="C428" s="2" t="s">
        <v>666</v>
      </c>
      <c r="D428" s="2" t="s">
        <v>279</v>
      </c>
      <c r="E428" s="2" t="s">
        <v>635</v>
      </c>
      <c r="F428" s="2" t="s">
        <v>667</v>
      </c>
      <c r="G428" s="2" t="s">
        <v>146</v>
      </c>
      <c r="H428" s="2" t="s">
        <v>668</v>
      </c>
      <c r="I428" t="s">
        <v>198</v>
      </c>
      <c r="J428" s="18">
        <v>14446.55</v>
      </c>
      <c r="K428" s="18"/>
      <c r="L428" s="18">
        <v>16282.4515629572</v>
      </c>
      <c r="M428" s="18">
        <v>-1835.88856269698</v>
      </c>
      <c r="N428" s="18"/>
      <c r="O428" s="18"/>
      <c r="P428" s="3">
        <v>0</v>
      </c>
      <c r="Q428" s="3">
        <v>0</v>
      </c>
      <c r="R428" s="3">
        <v>0</v>
      </c>
      <c r="S428" s="3"/>
      <c r="T428" s="3" t="b">
        <v>0</v>
      </c>
      <c r="U428" s="3">
        <v>3572</v>
      </c>
      <c r="V428" s="3">
        <v>1</v>
      </c>
      <c r="W428" s="3">
        <v>2639</v>
      </c>
      <c r="X428" s="3">
        <v>19.41</v>
      </c>
    </row>
    <row r="429" spans="1:24" hidden="1">
      <c r="A429" s="1">
        <v>44927</v>
      </c>
      <c r="B429" s="1" t="s">
        <v>674</v>
      </c>
      <c r="C429" s="2" t="s">
        <v>666</v>
      </c>
      <c r="D429" s="2" t="s">
        <v>279</v>
      </c>
      <c r="E429" s="2" t="s">
        <v>635</v>
      </c>
      <c r="F429" s="2" t="s">
        <v>667</v>
      </c>
      <c r="G429" s="2" t="s">
        <v>146</v>
      </c>
      <c r="H429" s="2" t="s">
        <v>668</v>
      </c>
      <c r="I429" t="s">
        <v>198</v>
      </c>
      <c r="J429" s="18">
        <v>14469.38</v>
      </c>
      <c r="K429" s="18"/>
      <c r="L429" s="18">
        <v>16389.007993546998</v>
      </c>
      <c r="M429" s="18">
        <v>-1919.6403726579199</v>
      </c>
      <c r="N429" s="18"/>
      <c r="O429" s="18"/>
      <c r="P429" s="3">
        <v>0</v>
      </c>
      <c r="Q429" s="3">
        <v>0</v>
      </c>
      <c r="R429" s="3">
        <v>0</v>
      </c>
      <c r="S429" s="3"/>
      <c r="T429" s="3" t="b">
        <v>0</v>
      </c>
      <c r="U429" s="3">
        <v>3358</v>
      </c>
      <c r="V429" s="3">
        <v>0</v>
      </c>
      <c r="W429" s="3">
        <v>1596</v>
      </c>
      <c r="X429" s="3">
        <v>18.77</v>
      </c>
    </row>
    <row r="430" spans="1:24" hidden="1">
      <c r="A430" s="1">
        <v>44958</v>
      </c>
      <c r="B430" s="1" t="s">
        <v>675</v>
      </c>
      <c r="C430" s="2" t="s">
        <v>666</v>
      </c>
      <c r="D430" s="2" t="s">
        <v>279</v>
      </c>
      <c r="E430" s="2" t="s">
        <v>635</v>
      </c>
      <c r="F430" s="2" t="s">
        <v>667</v>
      </c>
      <c r="G430" s="2" t="s">
        <v>146</v>
      </c>
      <c r="H430" s="2" t="s">
        <v>668</v>
      </c>
      <c r="I430" t="s">
        <v>198</v>
      </c>
      <c r="J430" s="18">
        <v>13937.61</v>
      </c>
      <c r="K430" s="18"/>
      <c r="L430" s="18">
        <v>16517.951534153301</v>
      </c>
      <c r="M430" s="18">
        <v>-2580.3359264678402</v>
      </c>
      <c r="N430" s="18"/>
      <c r="O430" s="18"/>
      <c r="P430" s="3">
        <v>0</v>
      </c>
      <c r="Q430" s="3">
        <v>0</v>
      </c>
      <c r="R430" s="3">
        <v>0</v>
      </c>
      <c r="S430" s="3"/>
      <c r="T430" s="3" t="b">
        <v>0</v>
      </c>
      <c r="U430" s="3">
        <v>4139</v>
      </c>
      <c r="V430" s="3">
        <v>1</v>
      </c>
      <c r="W430" s="3">
        <v>1449</v>
      </c>
      <c r="X430" s="3">
        <v>19.329999999999998</v>
      </c>
    </row>
    <row r="431" spans="1:24" hidden="1">
      <c r="A431" s="1">
        <v>44986</v>
      </c>
      <c r="B431" s="1" t="s">
        <v>676</v>
      </c>
      <c r="C431" s="2" t="s">
        <v>666</v>
      </c>
      <c r="D431" s="2" t="s">
        <v>279</v>
      </c>
      <c r="E431" s="2" t="s">
        <v>635</v>
      </c>
      <c r="F431" s="2" t="s">
        <v>667</v>
      </c>
      <c r="G431" s="2" t="s">
        <v>146</v>
      </c>
      <c r="H431" s="2" t="s">
        <v>668</v>
      </c>
      <c r="I431" t="s">
        <v>198</v>
      </c>
      <c r="J431" s="18">
        <v>14863.26</v>
      </c>
      <c r="K431" s="18"/>
      <c r="L431" s="18">
        <v>16643.378109343099</v>
      </c>
      <c r="M431" s="18">
        <v>-1780.12987551641</v>
      </c>
      <c r="N431" s="18"/>
      <c r="O431" s="18"/>
      <c r="P431" s="3">
        <v>0</v>
      </c>
      <c r="Q431" s="3">
        <v>0</v>
      </c>
      <c r="R431" s="3">
        <v>0</v>
      </c>
      <c r="S431" s="3"/>
      <c r="T431" s="3" t="b">
        <v>0</v>
      </c>
      <c r="U431" s="3">
        <v>2062</v>
      </c>
      <c r="V431" s="3">
        <v>1</v>
      </c>
      <c r="W431" s="3">
        <v>1484</v>
      </c>
      <c r="X431" s="3">
        <v>18.170000000000002</v>
      </c>
    </row>
    <row r="432" spans="1:24" hidden="1">
      <c r="A432" s="1">
        <v>45383</v>
      </c>
      <c r="B432" s="1" t="s">
        <v>677</v>
      </c>
      <c r="C432" s="2" t="s">
        <v>666</v>
      </c>
      <c r="D432" s="2" t="s">
        <v>279</v>
      </c>
      <c r="E432" s="2" t="s">
        <v>635</v>
      </c>
      <c r="F432" s="2" t="s">
        <v>667</v>
      </c>
      <c r="G432" s="2" t="s">
        <v>146</v>
      </c>
      <c r="H432" s="2" t="s">
        <v>668</v>
      </c>
      <c r="I432" t="s">
        <v>198</v>
      </c>
      <c r="J432" s="18">
        <v>16268.76</v>
      </c>
      <c r="K432" s="18"/>
      <c r="L432" s="18">
        <v>18535.240586245702</v>
      </c>
      <c r="M432" s="18">
        <v>-2266.47953177412</v>
      </c>
      <c r="N432" s="18"/>
      <c r="O432" s="18"/>
      <c r="P432" s="3">
        <v>0</v>
      </c>
      <c r="Q432" s="3">
        <v>0</v>
      </c>
      <c r="R432" s="3">
        <v>0</v>
      </c>
      <c r="S432" s="3"/>
      <c r="T432" s="3" t="b">
        <v>0</v>
      </c>
      <c r="U432" s="3">
        <v>3777</v>
      </c>
      <c r="V432" s="3">
        <v>0</v>
      </c>
      <c r="W432" s="3">
        <v>1937</v>
      </c>
      <c r="X432" s="3">
        <v>17.93</v>
      </c>
    </row>
    <row r="433" spans="1:24" hidden="1">
      <c r="A433" s="1">
        <v>45413</v>
      </c>
      <c r="B433" s="1" t="s">
        <v>678</v>
      </c>
      <c r="C433" s="2" t="s">
        <v>666</v>
      </c>
      <c r="D433" s="2" t="s">
        <v>279</v>
      </c>
      <c r="E433" s="2" t="s">
        <v>635</v>
      </c>
      <c r="F433" s="2" t="s">
        <v>667</v>
      </c>
      <c r="G433" s="2" t="s">
        <v>146</v>
      </c>
      <c r="H433" s="2" t="s">
        <v>668</v>
      </c>
      <c r="I433" t="s">
        <v>198</v>
      </c>
      <c r="J433" s="18">
        <v>16349.69</v>
      </c>
      <c r="K433" s="18"/>
      <c r="L433" s="18">
        <v>18678.202486458798</v>
      </c>
      <c r="M433" s="18">
        <v>-2328.5258734549002</v>
      </c>
      <c r="N433" s="18"/>
      <c r="O433" s="18"/>
      <c r="P433" s="3">
        <v>0</v>
      </c>
      <c r="Q433" s="3">
        <v>0</v>
      </c>
      <c r="R433" s="3">
        <v>0</v>
      </c>
      <c r="S433" s="3"/>
      <c r="T433" s="3" t="b">
        <v>0</v>
      </c>
      <c r="U433" s="3">
        <v>2120</v>
      </c>
      <c r="V433" s="3">
        <v>1</v>
      </c>
      <c r="W433" s="3">
        <v>1498</v>
      </c>
      <c r="X433" s="3">
        <v>20.190000000000001</v>
      </c>
    </row>
    <row r="434" spans="1:24" hidden="1">
      <c r="A434" s="1">
        <v>45444</v>
      </c>
      <c r="B434" s="1" t="s">
        <v>679</v>
      </c>
      <c r="C434" s="2" t="s">
        <v>666</v>
      </c>
      <c r="D434" s="2" t="s">
        <v>279</v>
      </c>
      <c r="E434" s="2" t="s">
        <v>635</v>
      </c>
      <c r="F434" s="2" t="s">
        <v>667</v>
      </c>
      <c r="G434" s="2" t="s">
        <v>146</v>
      </c>
      <c r="H434" s="2" t="s">
        <v>668</v>
      </c>
      <c r="I434" t="s">
        <v>198</v>
      </c>
      <c r="J434" s="18">
        <v>16013.63</v>
      </c>
      <c r="K434" s="18"/>
      <c r="L434" s="18">
        <v>18825.929752116801</v>
      </c>
      <c r="M434" s="18">
        <v>-2812.2989110470198</v>
      </c>
      <c r="N434" s="18"/>
      <c r="O434" s="18"/>
      <c r="P434" s="3">
        <v>0</v>
      </c>
      <c r="Q434" s="3">
        <v>0</v>
      </c>
      <c r="R434" s="3">
        <v>0</v>
      </c>
      <c r="S434" s="3"/>
      <c r="T434" s="3" t="b">
        <v>0</v>
      </c>
      <c r="U434" s="3">
        <v>3637</v>
      </c>
      <c r="V434" s="3">
        <v>1</v>
      </c>
      <c r="W434" s="3">
        <v>1973</v>
      </c>
      <c r="X434" s="3">
        <v>20.14</v>
      </c>
    </row>
    <row r="435" spans="1:24" hidden="1">
      <c r="A435" s="1">
        <v>45474</v>
      </c>
      <c r="B435" s="1" t="s">
        <v>680</v>
      </c>
      <c r="C435" s="2" t="s">
        <v>666</v>
      </c>
      <c r="D435" s="2" t="s">
        <v>279</v>
      </c>
      <c r="E435" s="2" t="s">
        <v>635</v>
      </c>
      <c r="F435" s="2" t="s">
        <v>667</v>
      </c>
      <c r="G435" s="2" t="s">
        <v>146</v>
      </c>
      <c r="H435" s="2" t="s">
        <v>668</v>
      </c>
      <c r="I435" t="s">
        <v>198</v>
      </c>
      <c r="J435" s="18">
        <v>16517.97</v>
      </c>
      <c r="K435" s="18">
        <v>16478.599999999999</v>
      </c>
      <c r="L435" s="18">
        <v>18968.891620225098</v>
      </c>
      <c r="M435" s="18">
        <v>-2450.93833066875</v>
      </c>
      <c r="N435" s="18">
        <v>16678.599999999999</v>
      </c>
      <c r="O435" s="18">
        <v>16278.6</v>
      </c>
      <c r="P435" s="3">
        <v>0</v>
      </c>
      <c r="Q435" s="3">
        <v>0</v>
      </c>
      <c r="R435" s="3">
        <v>0</v>
      </c>
      <c r="S435" s="3"/>
      <c r="T435" s="3" t="b">
        <v>0</v>
      </c>
      <c r="U435" s="3">
        <v>3364</v>
      </c>
      <c r="V435" s="3">
        <v>0</v>
      </c>
      <c r="W435" s="3">
        <v>1633</v>
      </c>
      <c r="X435" s="3">
        <v>18.87</v>
      </c>
    </row>
    <row r="436" spans="1:24" hidden="1">
      <c r="A436" s="1">
        <v>45505</v>
      </c>
      <c r="B436" s="1" t="s">
        <v>681</v>
      </c>
      <c r="C436" s="2" t="s">
        <v>666</v>
      </c>
      <c r="D436" s="2" t="s">
        <v>279</v>
      </c>
      <c r="E436" s="2" t="s">
        <v>635</v>
      </c>
      <c r="F436" s="2" t="s">
        <v>667</v>
      </c>
      <c r="G436" s="2" t="s">
        <v>146</v>
      </c>
      <c r="H436" s="2" t="s">
        <v>668</v>
      </c>
      <c r="I436" t="s">
        <v>198</v>
      </c>
      <c r="J436" s="18">
        <v>16475.3</v>
      </c>
      <c r="K436" s="18">
        <v>16622.28</v>
      </c>
      <c r="L436" s="18">
        <v>19116.618883937001</v>
      </c>
      <c r="M436" s="18">
        <v>-2641.3099455848801</v>
      </c>
      <c r="N436" s="18">
        <v>16822.28</v>
      </c>
      <c r="O436" s="18">
        <v>16422.28</v>
      </c>
      <c r="P436" s="3">
        <v>0</v>
      </c>
      <c r="Q436" s="3">
        <v>0</v>
      </c>
      <c r="R436" s="3">
        <v>0</v>
      </c>
      <c r="S436" s="3"/>
      <c r="T436" s="3" t="b">
        <v>0</v>
      </c>
      <c r="U436" s="3">
        <v>3007</v>
      </c>
      <c r="V436" s="3">
        <v>0</v>
      </c>
      <c r="W436" s="3">
        <v>2673</v>
      </c>
      <c r="X436" s="3">
        <v>19.14</v>
      </c>
    </row>
    <row r="437" spans="1:24" hidden="1">
      <c r="A437" s="1">
        <v>45536</v>
      </c>
      <c r="B437" s="1" t="s">
        <v>682</v>
      </c>
      <c r="C437" s="2" t="s">
        <v>666</v>
      </c>
      <c r="D437" s="2" t="s">
        <v>279</v>
      </c>
      <c r="E437" s="2" t="s">
        <v>635</v>
      </c>
      <c r="F437" s="2" t="s">
        <v>667</v>
      </c>
      <c r="G437" s="2" t="s">
        <v>146</v>
      </c>
      <c r="H437" s="2" t="s">
        <v>668</v>
      </c>
      <c r="I437" t="s">
        <v>198</v>
      </c>
      <c r="J437" s="18">
        <v>16630.93</v>
      </c>
      <c r="K437" s="18">
        <v>16690.7</v>
      </c>
      <c r="L437" s="18">
        <v>19264.346147648899</v>
      </c>
      <c r="M437" s="18">
        <v>-2633.4262750960002</v>
      </c>
      <c r="N437" s="18">
        <v>16890.7</v>
      </c>
      <c r="O437" s="18">
        <v>16490.7</v>
      </c>
      <c r="P437" s="3">
        <v>0</v>
      </c>
      <c r="Q437" s="3">
        <v>0</v>
      </c>
      <c r="R437" s="3">
        <v>0</v>
      </c>
      <c r="S437" s="3"/>
      <c r="T437" s="3" t="b">
        <v>0</v>
      </c>
      <c r="U437" s="3">
        <v>2924</v>
      </c>
      <c r="V437" s="3">
        <v>0</v>
      </c>
      <c r="W437" s="3">
        <v>2019</v>
      </c>
      <c r="X437" s="3">
        <v>18.920000000000002</v>
      </c>
    </row>
    <row r="438" spans="1:24" hidden="1">
      <c r="A438" s="1">
        <v>45566</v>
      </c>
      <c r="B438" s="1" t="s">
        <v>683</v>
      </c>
      <c r="C438" s="2" t="s">
        <v>666</v>
      </c>
      <c r="D438" s="2" t="s">
        <v>279</v>
      </c>
      <c r="E438" s="2" t="s">
        <v>635</v>
      </c>
      <c r="F438" s="2" t="s">
        <v>667</v>
      </c>
      <c r="G438" s="2" t="s">
        <v>146</v>
      </c>
      <c r="H438" s="2" t="s">
        <v>668</v>
      </c>
      <c r="I438" t="s">
        <v>224</v>
      </c>
      <c r="J438" s="18"/>
      <c r="K438" s="18">
        <v>16441.61</v>
      </c>
      <c r="L438" s="18">
        <v>19407.308015757098</v>
      </c>
      <c r="M438" s="18">
        <v>27421.9505377286</v>
      </c>
      <c r="N438" s="18">
        <v>16641.61</v>
      </c>
      <c r="O438" s="18">
        <v>16241.61</v>
      </c>
      <c r="P438" s="3"/>
      <c r="Q438" s="3"/>
      <c r="R438" s="3"/>
      <c r="S438" s="3"/>
      <c r="T438" s="3"/>
      <c r="U438" s="3"/>
      <c r="V438" s="3"/>
      <c r="W438" s="3">
        <v>1114</v>
      </c>
      <c r="X438" s="3">
        <v>18.09</v>
      </c>
    </row>
    <row r="439" spans="1:24" hidden="1">
      <c r="A439" s="1">
        <v>45597</v>
      </c>
      <c r="B439" s="1" t="s">
        <v>684</v>
      </c>
      <c r="C439" s="2" t="s">
        <v>666</v>
      </c>
      <c r="D439" s="2" t="s">
        <v>279</v>
      </c>
      <c r="E439" s="2" t="s">
        <v>635</v>
      </c>
      <c r="F439" s="2" t="s">
        <v>667</v>
      </c>
      <c r="G439" s="2" t="s">
        <v>146</v>
      </c>
      <c r="H439" s="2" t="s">
        <v>668</v>
      </c>
      <c r="I439" t="s">
        <v>224</v>
      </c>
      <c r="J439" s="18"/>
      <c r="K439" s="18">
        <v>17412.990000000002</v>
      </c>
      <c r="L439" s="18">
        <v>19555.035279469001</v>
      </c>
      <c r="M439" s="18">
        <v>-2695.7563260414399</v>
      </c>
      <c r="N439" s="18">
        <v>17612.990000000002</v>
      </c>
      <c r="O439" s="18">
        <v>17212.990000000002</v>
      </c>
      <c r="P439" s="3"/>
      <c r="Q439" s="3"/>
      <c r="R439" s="3"/>
      <c r="S439" s="3"/>
      <c r="T439" s="3"/>
      <c r="U439" s="3"/>
      <c r="V439" s="3"/>
      <c r="W439" s="3">
        <v>1931</v>
      </c>
      <c r="X439" s="3">
        <v>18.43</v>
      </c>
    </row>
    <row r="440" spans="1:24" hidden="1">
      <c r="A440" s="1">
        <v>45627</v>
      </c>
      <c r="B440" s="1" t="s">
        <v>685</v>
      </c>
      <c r="C440" s="2" t="s">
        <v>666</v>
      </c>
      <c r="D440" s="2" t="s">
        <v>279</v>
      </c>
      <c r="E440" s="2" t="s">
        <v>635</v>
      </c>
      <c r="F440" s="2" t="s">
        <v>667</v>
      </c>
      <c r="G440" s="2" t="s">
        <v>146</v>
      </c>
      <c r="H440" s="2" t="s">
        <v>668</v>
      </c>
      <c r="I440" t="s">
        <v>224</v>
      </c>
      <c r="J440" s="18"/>
      <c r="K440" s="18">
        <v>17232.5</v>
      </c>
      <c r="L440" s="18">
        <v>19697.997147577302</v>
      </c>
      <c r="M440" s="18">
        <v>-1041.90890603809</v>
      </c>
      <c r="N440" s="18">
        <v>17432.5</v>
      </c>
      <c r="O440" s="18">
        <v>17032.5</v>
      </c>
      <c r="P440" s="3"/>
      <c r="Q440" s="3"/>
      <c r="R440" s="3"/>
      <c r="S440" s="3"/>
      <c r="T440" s="3"/>
      <c r="U440" s="3"/>
      <c r="V440" s="3"/>
      <c r="W440" s="3">
        <v>1673</v>
      </c>
      <c r="X440" s="3">
        <v>18.440000000000001</v>
      </c>
    </row>
    <row r="441" spans="1:24" hidden="1">
      <c r="A441" s="1">
        <v>45444</v>
      </c>
      <c r="B441" s="1" t="s">
        <v>686</v>
      </c>
      <c r="C441" s="2" t="s">
        <v>687</v>
      </c>
      <c r="D441" s="2" t="s">
        <v>279</v>
      </c>
      <c r="E441" s="2" t="s">
        <v>635</v>
      </c>
      <c r="F441" s="2" t="s">
        <v>667</v>
      </c>
      <c r="G441" s="2" t="s">
        <v>282</v>
      </c>
      <c r="H441" s="2" t="s">
        <v>688</v>
      </c>
      <c r="I441" t="s">
        <v>198</v>
      </c>
      <c r="J441" s="18">
        <v>18206.34</v>
      </c>
      <c r="K441" s="18"/>
      <c r="L441" s="18">
        <v>0</v>
      </c>
      <c r="M441" s="18">
        <v>0</v>
      </c>
      <c r="N441" s="18"/>
      <c r="O441" s="18"/>
      <c r="P441" s="3">
        <v>0</v>
      </c>
      <c r="Q441" s="3">
        <v>0</v>
      </c>
      <c r="R441" s="3">
        <v>0</v>
      </c>
      <c r="S441" s="3"/>
      <c r="T441" s="3" t="b">
        <v>0</v>
      </c>
      <c r="U441" s="3">
        <v>2932</v>
      </c>
      <c r="V441" s="3">
        <v>0</v>
      </c>
      <c r="W441" s="3">
        <v>2693</v>
      </c>
      <c r="X441" s="3">
        <v>14.31</v>
      </c>
    </row>
    <row r="442" spans="1:24" hidden="1">
      <c r="A442" s="1">
        <v>45474</v>
      </c>
      <c r="B442" s="1" t="s">
        <v>689</v>
      </c>
      <c r="C442" s="2" t="s">
        <v>687</v>
      </c>
      <c r="D442" s="2" t="s">
        <v>279</v>
      </c>
      <c r="E442" s="2" t="s">
        <v>635</v>
      </c>
      <c r="F442" s="2" t="s">
        <v>667</v>
      </c>
      <c r="G442" s="2" t="s">
        <v>282</v>
      </c>
      <c r="H442" s="2" t="s">
        <v>688</v>
      </c>
      <c r="I442" t="s">
        <v>198</v>
      </c>
      <c r="J442" s="18">
        <v>17929.27</v>
      </c>
      <c r="K442" s="18">
        <v>18029.919999999998</v>
      </c>
      <c r="L442" s="18">
        <v>0</v>
      </c>
      <c r="M442" s="18">
        <v>0</v>
      </c>
      <c r="N442" s="18">
        <v>18229.919999999998</v>
      </c>
      <c r="O442" s="18">
        <v>17829.919999999998</v>
      </c>
      <c r="P442" s="3">
        <v>0</v>
      </c>
      <c r="Q442" s="3">
        <v>0</v>
      </c>
      <c r="R442" s="3">
        <v>0</v>
      </c>
      <c r="S442" s="3"/>
      <c r="T442" s="3" t="b">
        <v>0</v>
      </c>
      <c r="U442" s="3">
        <v>3663</v>
      </c>
      <c r="V442" s="3">
        <v>0</v>
      </c>
      <c r="W442" s="3">
        <v>2247</v>
      </c>
      <c r="X442" s="3">
        <v>12.73</v>
      </c>
    </row>
    <row r="443" spans="1:24" hidden="1">
      <c r="A443" s="1">
        <v>45505</v>
      </c>
      <c r="B443" s="1" t="s">
        <v>690</v>
      </c>
      <c r="C443" s="2" t="s">
        <v>687</v>
      </c>
      <c r="D443" s="2" t="s">
        <v>279</v>
      </c>
      <c r="E443" s="2" t="s">
        <v>635</v>
      </c>
      <c r="F443" s="2" t="s">
        <v>667</v>
      </c>
      <c r="G443" s="2" t="s">
        <v>282</v>
      </c>
      <c r="H443" s="2" t="s">
        <v>688</v>
      </c>
      <c r="I443" t="s">
        <v>198</v>
      </c>
      <c r="J443" s="18">
        <v>18369.91</v>
      </c>
      <c r="K443" s="18">
        <v>18401.71</v>
      </c>
      <c r="L443" s="18">
        <v>0</v>
      </c>
      <c r="M443" s="18">
        <v>0</v>
      </c>
      <c r="N443" s="18">
        <v>18601.71</v>
      </c>
      <c r="O443" s="18">
        <v>18201.71</v>
      </c>
      <c r="P443" s="3">
        <v>0</v>
      </c>
      <c r="Q443" s="3">
        <v>0</v>
      </c>
      <c r="R443" s="3">
        <v>0</v>
      </c>
      <c r="S443" s="3"/>
      <c r="T443" s="3" t="b">
        <v>0</v>
      </c>
      <c r="U443" s="3">
        <v>2556</v>
      </c>
      <c r="V443" s="3">
        <v>0</v>
      </c>
      <c r="W443" s="3">
        <v>1800</v>
      </c>
      <c r="X443" s="3">
        <v>14.35</v>
      </c>
    </row>
    <row r="444" spans="1:24" hidden="1">
      <c r="A444" s="1">
        <v>45536</v>
      </c>
      <c r="B444" s="1" t="s">
        <v>691</v>
      </c>
      <c r="C444" s="2" t="s">
        <v>687</v>
      </c>
      <c r="D444" s="2" t="s">
        <v>279</v>
      </c>
      <c r="E444" s="2" t="s">
        <v>635</v>
      </c>
      <c r="F444" s="2" t="s">
        <v>667</v>
      </c>
      <c r="G444" s="2" t="s">
        <v>282</v>
      </c>
      <c r="H444" s="2" t="s">
        <v>688</v>
      </c>
      <c r="I444" t="s">
        <v>198</v>
      </c>
      <c r="J444" s="18">
        <v>18685.759999999998</v>
      </c>
      <c r="K444" s="18">
        <v>18719.25</v>
      </c>
      <c r="L444" s="18">
        <v>0</v>
      </c>
      <c r="M444" s="18">
        <v>0</v>
      </c>
      <c r="N444" s="18">
        <v>18919.25</v>
      </c>
      <c r="O444" s="18">
        <v>18519.25</v>
      </c>
      <c r="P444" s="3">
        <v>0</v>
      </c>
      <c r="Q444" s="3">
        <v>0</v>
      </c>
      <c r="R444" s="3">
        <v>0</v>
      </c>
      <c r="S444" s="3"/>
      <c r="T444" s="3" t="b">
        <v>0</v>
      </c>
      <c r="U444" s="3">
        <v>3671</v>
      </c>
      <c r="V444" s="3">
        <v>0</v>
      </c>
      <c r="W444" s="3">
        <v>2967</v>
      </c>
      <c r="X444" s="3">
        <v>3</v>
      </c>
    </row>
    <row r="445" spans="1:24" hidden="1">
      <c r="A445" s="1">
        <v>45566</v>
      </c>
      <c r="B445" s="1" t="s">
        <v>692</v>
      </c>
      <c r="C445" s="2" t="s">
        <v>687</v>
      </c>
      <c r="D445" s="2" t="s">
        <v>279</v>
      </c>
      <c r="E445" s="2" t="s">
        <v>635</v>
      </c>
      <c r="F445" s="2" t="s">
        <v>667</v>
      </c>
      <c r="G445" s="2" t="s">
        <v>282</v>
      </c>
      <c r="H445" s="2" t="s">
        <v>688</v>
      </c>
      <c r="I445" t="s">
        <v>224</v>
      </c>
      <c r="J445" s="18"/>
      <c r="K445" s="18">
        <v>18347.95</v>
      </c>
      <c r="L445" s="18">
        <v>0</v>
      </c>
      <c r="M445" s="18">
        <v>0</v>
      </c>
      <c r="N445" s="18">
        <v>18547.95</v>
      </c>
      <c r="O445" s="18">
        <v>18147.95</v>
      </c>
      <c r="P445" s="3"/>
      <c r="Q445" s="3"/>
      <c r="R445" s="3"/>
      <c r="S445" s="3"/>
      <c r="T445" s="3"/>
      <c r="U445" s="3"/>
      <c r="V445" s="3"/>
      <c r="W445" s="3">
        <v>1277</v>
      </c>
      <c r="X445" s="3">
        <v>14.66</v>
      </c>
    </row>
    <row r="446" spans="1:24" hidden="1">
      <c r="A446" s="1">
        <v>45597</v>
      </c>
      <c r="B446" s="1" t="s">
        <v>693</v>
      </c>
      <c r="C446" s="2" t="s">
        <v>687</v>
      </c>
      <c r="D446" s="2" t="s">
        <v>279</v>
      </c>
      <c r="E446" s="2" t="s">
        <v>635</v>
      </c>
      <c r="F446" s="2" t="s">
        <v>667</v>
      </c>
      <c r="G446" s="2" t="s">
        <v>282</v>
      </c>
      <c r="H446" s="2" t="s">
        <v>688</v>
      </c>
      <c r="I446" t="s">
        <v>224</v>
      </c>
      <c r="J446" s="18"/>
      <c r="K446" s="18">
        <v>18445.73</v>
      </c>
      <c r="L446" s="18">
        <v>0</v>
      </c>
      <c r="M446" s="18">
        <v>0</v>
      </c>
      <c r="N446" s="18">
        <v>18645.73</v>
      </c>
      <c r="O446" s="18">
        <v>18245.73</v>
      </c>
      <c r="P446" s="3"/>
      <c r="Q446" s="3"/>
      <c r="R446" s="3"/>
      <c r="S446" s="3"/>
      <c r="T446" s="3"/>
      <c r="U446" s="3"/>
      <c r="V446" s="3"/>
      <c r="W446" s="3">
        <v>2717</v>
      </c>
      <c r="X446" s="3">
        <v>14.79</v>
      </c>
    </row>
    <row r="447" spans="1:24" hidden="1">
      <c r="A447" s="1">
        <v>45627</v>
      </c>
      <c r="B447" s="1" t="s">
        <v>694</v>
      </c>
      <c r="C447" s="2" t="s">
        <v>687</v>
      </c>
      <c r="D447" s="2" t="s">
        <v>279</v>
      </c>
      <c r="E447" s="2" t="s">
        <v>635</v>
      </c>
      <c r="F447" s="2" t="s">
        <v>667</v>
      </c>
      <c r="G447" s="2" t="s">
        <v>282</v>
      </c>
      <c r="H447" s="2" t="s">
        <v>688</v>
      </c>
      <c r="I447" t="s">
        <v>224</v>
      </c>
      <c r="J447" s="18"/>
      <c r="K447" s="18">
        <v>18781.47</v>
      </c>
      <c r="L447" s="18">
        <v>0</v>
      </c>
      <c r="M447" s="18">
        <v>0</v>
      </c>
      <c r="N447" s="18">
        <v>18981.47</v>
      </c>
      <c r="O447" s="18">
        <v>18581.47</v>
      </c>
      <c r="P447" s="3"/>
      <c r="Q447" s="3"/>
      <c r="R447" s="3"/>
      <c r="S447" s="3"/>
      <c r="T447" s="3"/>
      <c r="U447" s="3"/>
      <c r="V447" s="3"/>
      <c r="W447" s="3">
        <v>1365</v>
      </c>
      <c r="X447" s="3">
        <v>14.46</v>
      </c>
    </row>
    <row r="448" spans="1:24" hidden="1">
      <c r="A448" s="1">
        <v>45566</v>
      </c>
      <c r="B448" s="1" t="s">
        <v>695</v>
      </c>
      <c r="C448" s="2" t="s">
        <v>696</v>
      </c>
      <c r="D448" s="2" t="s">
        <v>279</v>
      </c>
      <c r="E448" s="2" t="s">
        <v>635</v>
      </c>
      <c r="F448" s="2" t="s">
        <v>667</v>
      </c>
      <c r="G448" s="2" t="s">
        <v>282</v>
      </c>
      <c r="H448" s="2" t="s">
        <v>523</v>
      </c>
      <c r="I448" t="s">
        <v>224</v>
      </c>
      <c r="J448" s="18"/>
      <c r="K448" s="18">
        <v>23131.63</v>
      </c>
      <c r="L448" s="18">
        <v>0</v>
      </c>
      <c r="M448" s="18">
        <v>0</v>
      </c>
      <c r="N448" s="18">
        <v>23331.63</v>
      </c>
      <c r="O448" s="18">
        <v>22931.63</v>
      </c>
      <c r="P448" s="3"/>
      <c r="Q448" s="3"/>
      <c r="R448" s="3"/>
      <c r="S448" s="3"/>
      <c r="T448" s="3"/>
      <c r="U448" s="3"/>
      <c r="V448" s="3"/>
      <c r="W448" s="3">
        <v>1292</v>
      </c>
      <c r="X448" s="3">
        <v>12.07</v>
      </c>
    </row>
    <row r="449" spans="1:24" hidden="1">
      <c r="A449" s="1">
        <v>45597</v>
      </c>
      <c r="B449" s="1" t="s">
        <v>697</v>
      </c>
      <c r="C449" s="2" t="s">
        <v>696</v>
      </c>
      <c r="D449" s="2" t="s">
        <v>279</v>
      </c>
      <c r="E449" s="2" t="s">
        <v>635</v>
      </c>
      <c r="F449" s="2" t="s">
        <v>667</v>
      </c>
      <c r="G449" s="2" t="s">
        <v>282</v>
      </c>
      <c r="H449" s="2" t="s">
        <v>523</v>
      </c>
      <c r="I449" t="s">
        <v>224</v>
      </c>
      <c r="J449" s="18"/>
      <c r="K449" s="18">
        <v>23543.43</v>
      </c>
      <c r="L449" s="18">
        <v>0</v>
      </c>
      <c r="M449" s="18">
        <v>0</v>
      </c>
      <c r="N449" s="18">
        <v>23743.43</v>
      </c>
      <c r="O449" s="18">
        <v>23343.43</v>
      </c>
      <c r="P449" s="3"/>
      <c r="Q449" s="3"/>
      <c r="R449" s="3"/>
      <c r="S449" s="3"/>
      <c r="T449" s="3"/>
      <c r="U449" s="3"/>
      <c r="V449" s="3"/>
      <c r="W449" s="3">
        <v>2292</v>
      </c>
      <c r="X449" s="3">
        <v>12.59</v>
      </c>
    </row>
    <row r="450" spans="1:24" hidden="1">
      <c r="A450" s="1">
        <v>45627</v>
      </c>
      <c r="B450" s="1" t="s">
        <v>698</v>
      </c>
      <c r="C450" s="2" t="s">
        <v>696</v>
      </c>
      <c r="D450" s="2" t="s">
        <v>279</v>
      </c>
      <c r="E450" s="2" t="s">
        <v>635</v>
      </c>
      <c r="F450" s="2" t="s">
        <v>667</v>
      </c>
      <c r="G450" s="2" t="s">
        <v>282</v>
      </c>
      <c r="H450" s="2" t="s">
        <v>523</v>
      </c>
      <c r="I450" t="s">
        <v>224</v>
      </c>
      <c r="J450" s="18"/>
      <c r="K450" s="18">
        <v>23551.47</v>
      </c>
      <c r="L450" s="18">
        <v>0</v>
      </c>
      <c r="M450" s="18">
        <v>0</v>
      </c>
      <c r="N450" s="18">
        <v>23751.47</v>
      </c>
      <c r="O450" s="18">
        <v>23351.47</v>
      </c>
      <c r="P450" s="3"/>
      <c r="Q450" s="3"/>
      <c r="R450" s="3"/>
      <c r="S450" s="3"/>
      <c r="T450" s="3"/>
      <c r="U450" s="3"/>
      <c r="V450" s="3"/>
      <c r="W450" s="3">
        <v>2884</v>
      </c>
      <c r="X450" s="3">
        <v>10.42</v>
      </c>
    </row>
    <row r="451" spans="1:24" hidden="1">
      <c r="A451" s="1">
        <v>44562</v>
      </c>
      <c r="B451" s="1" t="s">
        <v>699</v>
      </c>
      <c r="C451" s="2" t="s">
        <v>14</v>
      </c>
      <c r="D451" s="2" t="s">
        <v>279</v>
      </c>
      <c r="E451" s="2" t="s">
        <v>635</v>
      </c>
      <c r="F451" s="2" t="s">
        <v>451</v>
      </c>
      <c r="G451" s="2" t="s">
        <v>146</v>
      </c>
      <c r="H451" s="2" t="s">
        <v>700</v>
      </c>
      <c r="I451" t="s">
        <v>198</v>
      </c>
      <c r="J451" s="18">
        <v>1350</v>
      </c>
      <c r="K451" s="18"/>
      <c r="L451" s="18">
        <v>230.54692499999999</v>
      </c>
      <c r="M451" s="18">
        <v>51.045119994354103</v>
      </c>
      <c r="N451" s="18"/>
      <c r="O451" s="18"/>
      <c r="P451" s="3">
        <v>0</v>
      </c>
      <c r="Q451" s="3">
        <v>0</v>
      </c>
      <c r="R451" s="3">
        <v>0</v>
      </c>
      <c r="S451" s="3">
        <v>3</v>
      </c>
      <c r="T451" s="3" t="b">
        <v>0</v>
      </c>
      <c r="U451" s="3">
        <v>4410</v>
      </c>
      <c r="V451" s="3">
        <v>0</v>
      </c>
      <c r="W451" s="3">
        <v>1799</v>
      </c>
      <c r="X451" s="3">
        <v>14.4</v>
      </c>
    </row>
    <row r="452" spans="1:24" hidden="1">
      <c r="A452" s="1">
        <v>44593</v>
      </c>
      <c r="B452" s="1" t="s">
        <v>701</v>
      </c>
      <c r="C452" s="2" t="s">
        <v>14</v>
      </c>
      <c r="D452" s="2" t="s">
        <v>279</v>
      </c>
      <c r="E452" s="2" t="s">
        <v>635</v>
      </c>
      <c r="F452" s="2" t="s">
        <v>451</v>
      </c>
      <c r="G452" s="2" t="s">
        <v>146</v>
      </c>
      <c r="H452" s="2" t="s">
        <v>700</v>
      </c>
      <c r="I452" t="s">
        <v>198</v>
      </c>
      <c r="J452" s="18">
        <v>225</v>
      </c>
      <c r="K452" s="18"/>
      <c r="L452" s="18">
        <v>413.62262879876698</v>
      </c>
      <c r="M452" s="18">
        <v>-2269.7120307832201</v>
      </c>
      <c r="N452" s="18"/>
      <c r="O452" s="18"/>
      <c r="P452" s="3">
        <v>0</v>
      </c>
      <c r="Q452" s="3">
        <v>0</v>
      </c>
      <c r="R452" s="3">
        <v>0</v>
      </c>
      <c r="S452" s="3">
        <v>3</v>
      </c>
      <c r="T452" s="3" t="b">
        <v>0</v>
      </c>
      <c r="U452" s="3">
        <v>3820</v>
      </c>
      <c r="V452" s="3">
        <v>0</v>
      </c>
      <c r="W452" s="3">
        <v>1799</v>
      </c>
      <c r="X452" s="3">
        <v>14.13</v>
      </c>
    </row>
    <row r="453" spans="1:24" hidden="1">
      <c r="A453" s="1">
        <v>44621</v>
      </c>
      <c r="B453" s="1" t="s">
        <v>702</v>
      </c>
      <c r="C453" s="2" t="s">
        <v>14</v>
      </c>
      <c r="D453" s="2" t="s">
        <v>279</v>
      </c>
      <c r="E453" s="2" t="s">
        <v>635</v>
      </c>
      <c r="F453" s="2" t="s">
        <v>451</v>
      </c>
      <c r="G453" s="2" t="s">
        <v>146</v>
      </c>
      <c r="H453" s="2" t="s">
        <v>700</v>
      </c>
      <c r="I453" t="s">
        <v>198</v>
      </c>
      <c r="J453" s="18">
        <v>360</v>
      </c>
      <c r="K453" s="18"/>
      <c r="L453" s="18">
        <v>578.98132892719696</v>
      </c>
      <c r="M453" s="18">
        <v>-86.247263570469997</v>
      </c>
      <c r="N453" s="18"/>
      <c r="O453" s="18"/>
      <c r="P453" s="3">
        <v>0</v>
      </c>
      <c r="Q453" s="3">
        <v>0</v>
      </c>
      <c r="R453" s="3">
        <v>0</v>
      </c>
      <c r="S453" s="3">
        <v>3</v>
      </c>
      <c r="T453" s="3" t="b">
        <v>0</v>
      </c>
      <c r="U453" s="3">
        <v>4964</v>
      </c>
      <c r="V453" s="3">
        <v>1</v>
      </c>
      <c r="W453" s="3">
        <v>1799</v>
      </c>
      <c r="X453" s="3">
        <v>14.93</v>
      </c>
    </row>
    <row r="454" spans="1:24" hidden="1">
      <c r="A454" s="1">
        <v>44652</v>
      </c>
      <c r="B454" s="1" t="s">
        <v>703</v>
      </c>
      <c r="C454" s="2" t="s">
        <v>14</v>
      </c>
      <c r="D454" s="2" t="s">
        <v>279</v>
      </c>
      <c r="E454" s="2" t="s">
        <v>635</v>
      </c>
      <c r="F454" s="2" t="s">
        <v>451</v>
      </c>
      <c r="G454" s="2" t="s">
        <v>146</v>
      </c>
      <c r="H454" s="2" t="s">
        <v>700</v>
      </c>
      <c r="I454" t="s">
        <v>198</v>
      </c>
      <c r="J454" s="18">
        <v>270</v>
      </c>
      <c r="K454" s="18"/>
      <c r="L454" s="18">
        <v>762.05703275071301</v>
      </c>
      <c r="M454" s="18">
        <v>3488.2331174701399</v>
      </c>
      <c r="N454" s="18"/>
      <c r="O454" s="18"/>
      <c r="P454" s="3">
        <v>0</v>
      </c>
      <c r="Q454" s="3">
        <v>0</v>
      </c>
      <c r="R454" s="3">
        <v>0</v>
      </c>
      <c r="S454" s="3">
        <v>3</v>
      </c>
      <c r="T454" s="3" t="b">
        <v>0</v>
      </c>
      <c r="U454" s="3">
        <v>4521</v>
      </c>
      <c r="V454" s="3">
        <v>1</v>
      </c>
      <c r="W454" s="3">
        <v>1799</v>
      </c>
      <c r="X454" s="3">
        <v>13.91</v>
      </c>
    </row>
    <row r="455" spans="1:24" hidden="1">
      <c r="A455" s="1">
        <v>44682</v>
      </c>
      <c r="B455" s="1" t="s">
        <v>704</v>
      </c>
      <c r="C455" s="2" t="s">
        <v>14</v>
      </c>
      <c r="D455" s="2" t="s">
        <v>279</v>
      </c>
      <c r="E455" s="2" t="s">
        <v>635</v>
      </c>
      <c r="F455" s="2" t="s">
        <v>451</v>
      </c>
      <c r="G455" s="2" t="s">
        <v>146</v>
      </c>
      <c r="H455" s="2" t="s">
        <v>700</v>
      </c>
      <c r="I455" t="s">
        <v>198</v>
      </c>
      <c r="J455" s="18">
        <v>45</v>
      </c>
      <c r="K455" s="18"/>
      <c r="L455" s="18">
        <v>939.22706873881498</v>
      </c>
      <c r="M455" s="18">
        <v>-426.48510779480102</v>
      </c>
      <c r="N455" s="18"/>
      <c r="O455" s="18"/>
      <c r="P455" s="3">
        <v>0</v>
      </c>
      <c r="Q455" s="3">
        <v>0</v>
      </c>
      <c r="R455" s="3">
        <v>0</v>
      </c>
      <c r="S455" s="3">
        <v>3</v>
      </c>
      <c r="T455" s="3" t="b">
        <v>0</v>
      </c>
      <c r="U455" s="3">
        <v>3869</v>
      </c>
      <c r="V455" s="3">
        <v>0</v>
      </c>
      <c r="W455" s="3">
        <v>1799</v>
      </c>
      <c r="X455" s="3">
        <v>13.4</v>
      </c>
    </row>
    <row r="456" spans="1:24" hidden="1">
      <c r="A456" s="1">
        <v>44713</v>
      </c>
      <c r="B456" s="1" t="s">
        <v>705</v>
      </c>
      <c r="C456" s="2" t="s">
        <v>14</v>
      </c>
      <c r="D456" s="2" t="s">
        <v>279</v>
      </c>
      <c r="E456" s="2" t="s">
        <v>635</v>
      </c>
      <c r="F456" s="2" t="s">
        <v>451</v>
      </c>
      <c r="G456" s="2" t="s">
        <v>146</v>
      </c>
      <c r="H456" s="2" t="s">
        <v>700</v>
      </c>
      <c r="I456" t="s">
        <v>198</v>
      </c>
      <c r="J456" s="18">
        <v>0</v>
      </c>
      <c r="K456" s="18"/>
      <c r="L456" s="18">
        <v>1122.3027726536</v>
      </c>
      <c r="M456" s="18">
        <v>-219.58203887731801</v>
      </c>
      <c r="N456" s="18"/>
      <c r="O456" s="18"/>
      <c r="P456" s="3">
        <v>0</v>
      </c>
      <c r="Q456" s="3">
        <v>0</v>
      </c>
      <c r="R456" s="3">
        <v>0</v>
      </c>
      <c r="S456" s="3">
        <v>3</v>
      </c>
      <c r="T456" s="3" t="b">
        <v>0</v>
      </c>
      <c r="U456" s="3">
        <v>4568</v>
      </c>
      <c r="V456" s="3">
        <v>0</v>
      </c>
      <c r="W456" s="3">
        <v>1799</v>
      </c>
      <c r="X456" s="3">
        <v>14.08</v>
      </c>
    </row>
    <row r="457" spans="1:24" hidden="1">
      <c r="A457" s="1">
        <v>44743</v>
      </c>
      <c r="B457" s="1" t="s">
        <v>706</v>
      </c>
      <c r="C457" s="2" t="s">
        <v>14</v>
      </c>
      <c r="D457" s="2" t="s">
        <v>279</v>
      </c>
      <c r="E457" s="2" t="s">
        <v>635</v>
      </c>
      <c r="F457" s="2" t="s">
        <v>451</v>
      </c>
      <c r="G457" s="2" t="s">
        <v>146</v>
      </c>
      <c r="H457" s="2" t="s">
        <v>700</v>
      </c>
      <c r="I457" t="s">
        <v>198</v>
      </c>
      <c r="J457" s="18">
        <v>0</v>
      </c>
      <c r="K457" s="18"/>
      <c r="L457" s="18">
        <v>1299.4728087875501</v>
      </c>
      <c r="M457" s="18">
        <v>-587.57304407261097</v>
      </c>
      <c r="N457" s="18"/>
      <c r="O457" s="18"/>
      <c r="P457" s="3">
        <v>0</v>
      </c>
      <c r="Q457" s="3">
        <v>0</v>
      </c>
      <c r="R457" s="3">
        <v>0</v>
      </c>
      <c r="S457" s="3">
        <v>3</v>
      </c>
      <c r="T457" s="3" t="b">
        <v>0</v>
      </c>
      <c r="U457" s="3">
        <v>3786</v>
      </c>
      <c r="V457" s="3">
        <v>0</v>
      </c>
      <c r="W457" s="3">
        <v>1799</v>
      </c>
      <c r="X457" s="3">
        <v>13.21</v>
      </c>
    </row>
    <row r="458" spans="1:24" hidden="1">
      <c r="A458" s="1">
        <v>44774</v>
      </c>
      <c r="B458" s="1" t="s">
        <v>707</v>
      </c>
      <c r="C458" s="2" t="s">
        <v>14</v>
      </c>
      <c r="D458" s="2" t="s">
        <v>279</v>
      </c>
      <c r="E458" s="2" t="s">
        <v>635</v>
      </c>
      <c r="F458" s="2" t="s">
        <v>451</v>
      </c>
      <c r="G458" s="2" t="s">
        <v>146</v>
      </c>
      <c r="H458" s="2" t="s">
        <v>700</v>
      </c>
      <c r="I458" t="s">
        <v>198</v>
      </c>
      <c r="J458" s="18">
        <v>315</v>
      </c>
      <c r="K458" s="18"/>
      <c r="L458" s="18">
        <v>1482.5485128897501</v>
      </c>
      <c r="M458" s="18">
        <v>-1483.21714210663</v>
      </c>
      <c r="N458" s="18"/>
      <c r="O458" s="18"/>
      <c r="P458" s="3">
        <v>0</v>
      </c>
      <c r="Q458" s="3">
        <v>0</v>
      </c>
      <c r="R458" s="3">
        <v>0</v>
      </c>
      <c r="S458" s="3">
        <v>3</v>
      </c>
      <c r="T458" s="3" t="b">
        <v>0</v>
      </c>
      <c r="U458" s="3">
        <v>3454</v>
      </c>
      <c r="V458" s="3">
        <v>0</v>
      </c>
      <c r="W458" s="3">
        <v>1799</v>
      </c>
      <c r="X458" s="3">
        <v>14.68</v>
      </c>
    </row>
    <row r="459" spans="1:24" hidden="1">
      <c r="A459" s="1">
        <v>44805</v>
      </c>
      <c r="B459" s="1" t="s">
        <v>708</v>
      </c>
      <c r="C459" s="2" t="s">
        <v>14</v>
      </c>
      <c r="D459" s="2" t="s">
        <v>279</v>
      </c>
      <c r="E459" s="2" t="s">
        <v>635</v>
      </c>
      <c r="F459" s="2" t="s">
        <v>451</v>
      </c>
      <c r="G459" s="2" t="s">
        <v>146</v>
      </c>
      <c r="H459" s="2" t="s">
        <v>700</v>
      </c>
      <c r="I459" t="s">
        <v>198</v>
      </c>
      <c r="J459" s="18">
        <v>0</v>
      </c>
      <c r="K459" s="18"/>
      <c r="L459" s="18">
        <v>1665.62421698606</v>
      </c>
      <c r="M459" s="18">
        <v>-2136.32700871922</v>
      </c>
      <c r="N459" s="18"/>
      <c r="O459" s="18"/>
      <c r="P459" s="3">
        <v>0</v>
      </c>
      <c r="Q459" s="3">
        <v>0</v>
      </c>
      <c r="R459" s="3">
        <v>0</v>
      </c>
      <c r="S459" s="3">
        <v>3</v>
      </c>
      <c r="T459" s="3" t="b">
        <v>0</v>
      </c>
      <c r="U459" s="3">
        <v>3867</v>
      </c>
      <c r="V459" s="3">
        <v>1</v>
      </c>
      <c r="W459" s="3">
        <v>1799</v>
      </c>
      <c r="X459" s="3">
        <v>12.86</v>
      </c>
    </row>
    <row r="460" spans="1:24" hidden="1">
      <c r="A460" s="1">
        <v>44835</v>
      </c>
      <c r="B460" s="1" t="s">
        <v>709</v>
      </c>
      <c r="C460" s="2" t="s">
        <v>14</v>
      </c>
      <c r="D460" s="2" t="s">
        <v>279</v>
      </c>
      <c r="E460" s="2" t="s">
        <v>635</v>
      </c>
      <c r="F460" s="2" t="s">
        <v>451</v>
      </c>
      <c r="G460" s="2" t="s">
        <v>146</v>
      </c>
      <c r="H460" s="2" t="s">
        <v>700</v>
      </c>
      <c r="I460" t="s">
        <v>198</v>
      </c>
      <c r="J460" s="18">
        <v>1485</v>
      </c>
      <c r="K460" s="18"/>
      <c r="L460" s="18">
        <v>1842.79425330611</v>
      </c>
      <c r="M460" s="18">
        <v>719.21327074800399</v>
      </c>
      <c r="N460" s="18"/>
      <c r="O460" s="18"/>
      <c r="P460" s="3">
        <v>0</v>
      </c>
      <c r="Q460" s="3">
        <v>0</v>
      </c>
      <c r="R460" s="3">
        <v>0</v>
      </c>
      <c r="S460" s="3">
        <v>3</v>
      </c>
      <c r="T460" s="3" t="b">
        <v>0</v>
      </c>
      <c r="U460" s="3">
        <v>4738</v>
      </c>
      <c r="V460" s="3">
        <v>0</v>
      </c>
      <c r="W460" s="3">
        <v>1799</v>
      </c>
      <c r="X460" s="3">
        <v>13.75</v>
      </c>
    </row>
    <row r="461" spans="1:24" hidden="1">
      <c r="A461" s="1">
        <v>44866</v>
      </c>
      <c r="B461" s="1" t="s">
        <v>710</v>
      </c>
      <c r="C461" s="2" t="s">
        <v>14</v>
      </c>
      <c r="D461" s="2" t="s">
        <v>279</v>
      </c>
      <c r="E461" s="2" t="s">
        <v>635</v>
      </c>
      <c r="F461" s="2" t="s">
        <v>451</v>
      </c>
      <c r="G461" s="2" t="s">
        <v>146</v>
      </c>
      <c r="H461" s="2" t="s">
        <v>700</v>
      </c>
      <c r="I461" t="s">
        <v>198</v>
      </c>
      <c r="J461" s="18">
        <v>3150</v>
      </c>
      <c r="K461" s="18"/>
      <c r="L461" s="18">
        <v>2025.8699574319901</v>
      </c>
      <c r="M461" s="18">
        <v>1119.86118500731</v>
      </c>
      <c r="N461" s="18"/>
      <c r="O461" s="18"/>
      <c r="P461" s="3">
        <v>0</v>
      </c>
      <c r="Q461" s="3">
        <v>0</v>
      </c>
      <c r="R461" s="3">
        <v>0</v>
      </c>
      <c r="S461" s="3">
        <v>3</v>
      </c>
      <c r="T461" s="3" t="b">
        <v>0</v>
      </c>
      <c r="U461" s="3">
        <v>4579</v>
      </c>
      <c r="V461" s="3">
        <v>1</v>
      </c>
      <c r="W461" s="3">
        <v>1799</v>
      </c>
      <c r="X461" s="3">
        <v>12.32</v>
      </c>
    </row>
    <row r="462" spans="1:24" hidden="1">
      <c r="A462" s="1">
        <v>44896</v>
      </c>
      <c r="B462" s="1" t="s">
        <v>711</v>
      </c>
      <c r="C462" s="2" t="s">
        <v>14</v>
      </c>
      <c r="D462" s="2" t="s">
        <v>279</v>
      </c>
      <c r="E462" s="2" t="s">
        <v>635</v>
      </c>
      <c r="F462" s="2" t="s">
        <v>451</v>
      </c>
      <c r="G462" s="2" t="s">
        <v>146</v>
      </c>
      <c r="H462" s="2" t="s">
        <v>700</v>
      </c>
      <c r="I462" t="s">
        <v>198</v>
      </c>
      <c r="J462" s="18">
        <v>2317.5</v>
      </c>
      <c r="K462" s="18"/>
      <c r="L462" s="18">
        <v>2203.03999363921</v>
      </c>
      <c r="M462" s="18">
        <v>-232.691857634673</v>
      </c>
      <c r="N462" s="18"/>
      <c r="O462" s="18"/>
      <c r="P462" s="3">
        <v>0</v>
      </c>
      <c r="Q462" s="3">
        <v>0</v>
      </c>
      <c r="R462" s="3">
        <v>0</v>
      </c>
      <c r="S462" s="3">
        <v>4</v>
      </c>
      <c r="T462" s="3" t="b">
        <v>0</v>
      </c>
      <c r="U462" s="3">
        <v>4007</v>
      </c>
      <c r="V462" s="3">
        <v>0</v>
      </c>
      <c r="W462" s="3">
        <v>1799</v>
      </c>
      <c r="X462" s="3">
        <v>11.45</v>
      </c>
    </row>
    <row r="463" spans="1:24" hidden="1">
      <c r="A463" s="1">
        <v>44927</v>
      </c>
      <c r="B463" s="1" t="s">
        <v>712</v>
      </c>
      <c r="C463" s="2" t="s">
        <v>14</v>
      </c>
      <c r="D463" s="2" t="s">
        <v>279</v>
      </c>
      <c r="E463" s="2" t="s">
        <v>635</v>
      </c>
      <c r="F463" s="2" t="s">
        <v>451</v>
      </c>
      <c r="G463" s="2" t="s">
        <v>146</v>
      </c>
      <c r="H463" s="2" t="s">
        <v>700</v>
      </c>
      <c r="I463" t="s">
        <v>198</v>
      </c>
      <c r="J463" s="18">
        <v>45</v>
      </c>
      <c r="K463" s="18"/>
      <c r="L463" s="18">
        <v>2386.11569777869</v>
      </c>
      <c r="M463" s="18">
        <v>-351.95394968034498</v>
      </c>
      <c r="N463" s="18"/>
      <c r="O463" s="18"/>
      <c r="P463" s="3">
        <v>0</v>
      </c>
      <c r="Q463" s="3">
        <v>0</v>
      </c>
      <c r="R463" s="3">
        <v>1</v>
      </c>
      <c r="S463" s="3">
        <v>4</v>
      </c>
      <c r="T463" s="3" t="b">
        <v>0</v>
      </c>
      <c r="U463" s="3">
        <v>3434</v>
      </c>
      <c r="V463" s="3">
        <v>0</v>
      </c>
      <c r="W463" s="3">
        <v>1799</v>
      </c>
      <c r="X463" s="3">
        <v>14.34</v>
      </c>
    </row>
    <row r="464" spans="1:24" hidden="1">
      <c r="A464" s="1">
        <v>44958</v>
      </c>
      <c r="B464" s="1" t="s">
        <v>713</v>
      </c>
      <c r="C464" s="2" t="s">
        <v>14</v>
      </c>
      <c r="D464" s="2" t="s">
        <v>279</v>
      </c>
      <c r="E464" s="2" t="s">
        <v>635</v>
      </c>
      <c r="F464" s="2" t="s">
        <v>451</v>
      </c>
      <c r="G464" s="2" t="s">
        <v>146</v>
      </c>
      <c r="H464" s="2" t="s">
        <v>700</v>
      </c>
      <c r="I464" t="s">
        <v>198</v>
      </c>
      <c r="J464" s="18">
        <v>90</v>
      </c>
      <c r="K464" s="18"/>
      <c r="L464" s="18">
        <v>2569.1914018100601</v>
      </c>
      <c r="M464" s="18">
        <v>-1884.1659468764501</v>
      </c>
      <c r="N464" s="18"/>
      <c r="O464" s="18"/>
      <c r="P464" s="3">
        <v>0</v>
      </c>
      <c r="Q464" s="3">
        <v>0</v>
      </c>
      <c r="R464" s="3">
        <v>0</v>
      </c>
      <c r="S464" s="3">
        <v>4</v>
      </c>
      <c r="T464" s="3" t="b">
        <v>0</v>
      </c>
      <c r="U464" s="3">
        <v>2839</v>
      </c>
      <c r="V464" s="3">
        <v>0</v>
      </c>
      <c r="W464" s="3">
        <v>1799</v>
      </c>
      <c r="X464" s="3">
        <v>14.3</v>
      </c>
    </row>
    <row r="465" spans="1:24" hidden="1">
      <c r="A465" s="1">
        <v>44986</v>
      </c>
      <c r="B465" s="1" t="s">
        <v>714</v>
      </c>
      <c r="C465" s="2" t="s">
        <v>14</v>
      </c>
      <c r="D465" s="2" t="s">
        <v>279</v>
      </c>
      <c r="E465" s="2" t="s">
        <v>635</v>
      </c>
      <c r="F465" s="2" t="s">
        <v>451</v>
      </c>
      <c r="G465" s="2" t="s">
        <v>146</v>
      </c>
      <c r="H465" s="2" t="s">
        <v>700</v>
      </c>
      <c r="I465" t="s">
        <v>198</v>
      </c>
      <c r="J465" s="18">
        <v>2250</v>
      </c>
      <c r="K465" s="18"/>
      <c r="L465" s="18">
        <v>2734.5501022314102</v>
      </c>
      <c r="M465" s="18">
        <v>-501.236579715343</v>
      </c>
      <c r="N465" s="18"/>
      <c r="O465" s="18"/>
      <c r="P465" s="3">
        <v>0</v>
      </c>
      <c r="Q465" s="3">
        <v>0</v>
      </c>
      <c r="R465" s="3">
        <v>0</v>
      </c>
      <c r="S465" s="3">
        <v>4</v>
      </c>
      <c r="T465" s="3" t="b">
        <v>0</v>
      </c>
      <c r="U465" s="3">
        <v>2240</v>
      </c>
      <c r="V465" s="3">
        <v>1</v>
      </c>
      <c r="W465" s="3">
        <v>1799</v>
      </c>
      <c r="X465" s="3">
        <v>14.11</v>
      </c>
    </row>
    <row r="466" spans="1:24" hidden="1">
      <c r="A466" s="1">
        <v>45017</v>
      </c>
      <c r="B466" s="1" t="s">
        <v>715</v>
      </c>
      <c r="C466" s="2" t="s">
        <v>14</v>
      </c>
      <c r="D466" s="2" t="s">
        <v>279</v>
      </c>
      <c r="E466" s="2" t="s">
        <v>635</v>
      </c>
      <c r="F466" s="2" t="s">
        <v>451</v>
      </c>
      <c r="G466" s="2" t="s">
        <v>146</v>
      </c>
      <c r="H466" s="2" t="s">
        <v>700</v>
      </c>
      <c r="I466" t="s">
        <v>198</v>
      </c>
      <c r="J466" s="18">
        <v>9450</v>
      </c>
      <c r="K466" s="18"/>
      <c r="L466" s="18">
        <v>2917.6258063569398</v>
      </c>
      <c r="M466" s="18">
        <v>3891.9491524298201</v>
      </c>
      <c r="N466" s="18"/>
      <c r="O466" s="18"/>
      <c r="P466" s="3">
        <v>0</v>
      </c>
      <c r="Q466" s="3">
        <v>0</v>
      </c>
      <c r="R466" s="3">
        <v>0</v>
      </c>
      <c r="S466" s="3">
        <v>4</v>
      </c>
      <c r="T466" s="3" t="b">
        <v>0</v>
      </c>
      <c r="U466" s="3">
        <v>2535</v>
      </c>
      <c r="V466" s="3">
        <v>0</v>
      </c>
      <c r="W466" s="3">
        <v>1799</v>
      </c>
      <c r="X466" s="3">
        <v>13.27</v>
      </c>
    </row>
    <row r="467" spans="1:24" hidden="1">
      <c r="A467" s="1">
        <v>45047</v>
      </c>
      <c r="B467" s="1" t="s">
        <v>716</v>
      </c>
      <c r="C467" s="2" t="s">
        <v>14</v>
      </c>
      <c r="D467" s="2" t="s">
        <v>279</v>
      </c>
      <c r="E467" s="2" t="s">
        <v>635</v>
      </c>
      <c r="F467" s="2" t="s">
        <v>451</v>
      </c>
      <c r="G467" s="2" t="s">
        <v>146</v>
      </c>
      <c r="H467" s="2" t="s">
        <v>700</v>
      </c>
      <c r="I467" t="s">
        <v>198</v>
      </c>
      <c r="J467" s="18">
        <v>1935</v>
      </c>
      <c r="K467" s="18"/>
      <c r="L467" s="18">
        <v>3094.79584253962</v>
      </c>
      <c r="M467" s="18">
        <v>-804.80243120621606</v>
      </c>
      <c r="N467" s="18"/>
      <c r="O467" s="18"/>
      <c r="P467" s="3">
        <v>0</v>
      </c>
      <c r="Q467" s="3">
        <v>0</v>
      </c>
      <c r="R467" s="3">
        <v>0</v>
      </c>
      <c r="S467" s="3">
        <v>4</v>
      </c>
      <c r="T467" s="3" t="b">
        <v>0</v>
      </c>
      <c r="U467" s="3">
        <v>3407</v>
      </c>
      <c r="V467" s="3">
        <v>0</v>
      </c>
      <c r="W467" s="3">
        <v>1799</v>
      </c>
      <c r="X467" s="3">
        <v>12.54</v>
      </c>
    </row>
    <row r="468" spans="1:24" hidden="1">
      <c r="A468" s="1">
        <v>45078</v>
      </c>
      <c r="B468" s="1" t="s">
        <v>717</v>
      </c>
      <c r="C468" s="2" t="s">
        <v>14</v>
      </c>
      <c r="D468" s="2" t="s">
        <v>279</v>
      </c>
      <c r="E468" s="2" t="s">
        <v>635</v>
      </c>
      <c r="F468" s="2" t="s">
        <v>451</v>
      </c>
      <c r="G468" s="2" t="s">
        <v>146</v>
      </c>
      <c r="H468" s="2" t="s">
        <v>700</v>
      </c>
      <c r="I468" t="s">
        <v>198</v>
      </c>
      <c r="J468" s="18">
        <v>4410</v>
      </c>
      <c r="K468" s="18"/>
      <c r="L468" s="18">
        <v>3277.87154654915</v>
      </c>
      <c r="M468" s="18">
        <v>181.49088610458699</v>
      </c>
      <c r="N468" s="18"/>
      <c r="O468" s="18"/>
      <c r="P468" s="3">
        <v>0</v>
      </c>
      <c r="Q468" s="3">
        <v>0</v>
      </c>
      <c r="R468" s="3">
        <v>0</v>
      </c>
      <c r="S468" s="3">
        <v>4</v>
      </c>
      <c r="T468" s="3" t="b">
        <v>1</v>
      </c>
      <c r="U468" s="3">
        <v>2082</v>
      </c>
      <c r="V468" s="3">
        <v>0</v>
      </c>
      <c r="W468" s="3">
        <v>1799</v>
      </c>
      <c r="X468" s="3">
        <v>14.52</v>
      </c>
    </row>
    <row r="469" spans="1:24" hidden="1">
      <c r="A469" s="1">
        <v>45108</v>
      </c>
      <c r="B469" s="1" t="s">
        <v>718</v>
      </c>
      <c r="C469" s="2" t="s">
        <v>14</v>
      </c>
      <c r="D469" s="2" t="s">
        <v>279</v>
      </c>
      <c r="E469" s="2" t="s">
        <v>635</v>
      </c>
      <c r="F469" s="2" t="s">
        <v>451</v>
      </c>
      <c r="G469" s="2" t="s">
        <v>146</v>
      </c>
      <c r="H469" s="2" t="s">
        <v>700</v>
      </c>
      <c r="I469" t="s">
        <v>198</v>
      </c>
      <c r="J469" s="18">
        <v>3195</v>
      </c>
      <c r="K469" s="18"/>
      <c r="L469" s="18">
        <v>3455.0415826732001</v>
      </c>
      <c r="M469" s="18">
        <v>-995.73911555358302</v>
      </c>
      <c r="N469" s="18"/>
      <c r="O469" s="18"/>
      <c r="P469" s="3">
        <v>0</v>
      </c>
      <c r="Q469" s="3">
        <v>0</v>
      </c>
      <c r="R469" s="3">
        <v>0</v>
      </c>
      <c r="S469" s="3">
        <v>4</v>
      </c>
      <c r="T469" s="3" t="b">
        <v>0</v>
      </c>
      <c r="U469" s="3">
        <v>2981</v>
      </c>
      <c r="V469" s="3">
        <v>0</v>
      </c>
      <c r="W469" s="3">
        <v>1799</v>
      </c>
      <c r="X469" s="3">
        <v>13.49</v>
      </c>
    </row>
    <row r="470" spans="1:24" hidden="1">
      <c r="A470" s="1">
        <v>45139</v>
      </c>
      <c r="B470" s="1" t="s">
        <v>719</v>
      </c>
      <c r="C470" s="2" t="s">
        <v>14</v>
      </c>
      <c r="D470" s="2" t="s">
        <v>279</v>
      </c>
      <c r="E470" s="2" t="s">
        <v>635</v>
      </c>
      <c r="F470" s="2" t="s">
        <v>451</v>
      </c>
      <c r="G470" s="2" t="s">
        <v>146</v>
      </c>
      <c r="H470" s="2" t="s">
        <v>700</v>
      </c>
      <c r="I470" t="s">
        <v>198</v>
      </c>
      <c r="J470" s="18">
        <v>4545</v>
      </c>
      <c r="K470" s="18"/>
      <c r="L470" s="18">
        <v>3638.1172866325501</v>
      </c>
      <c r="M470" s="18">
        <v>-1044.82102214874</v>
      </c>
      <c r="N470" s="18"/>
      <c r="O470" s="18"/>
      <c r="P470" s="3">
        <v>0</v>
      </c>
      <c r="Q470" s="3">
        <v>0</v>
      </c>
      <c r="R470" s="3">
        <v>0</v>
      </c>
      <c r="S470" s="3">
        <v>4</v>
      </c>
      <c r="T470" s="3" t="b">
        <v>0</v>
      </c>
      <c r="U470" s="3">
        <v>2950</v>
      </c>
      <c r="V470" s="3">
        <v>0</v>
      </c>
      <c r="W470" s="3">
        <v>1799</v>
      </c>
      <c r="X470" s="3">
        <v>14</v>
      </c>
    </row>
    <row r="471" spans="1:24" hidden="1">
      <c r="A471" s="1">
        <v>45170</v>
      </c>
      <c r="B471" s="1" t="s">
        <v>720</v>
      </c>
      <c r="C471" s="2" t="s">
        <v>14</v>
      </c>
      <c r="D471" s="2" t="s">
        <v>279</v>
      </c>
      <c r="E471" s="2" t="s">
        <v>635</v>
      </c>
      <c r="F471" s="2" t="s">
        <v>451</v>
      </c>
      <c r="G471" s="2" t="s">
        <v>146</v>
      </c>
      <c r="H471" s="2" t="s">
        <v>700</v>
      </c>
      <c r="I471" t="s">
        <v>198</v>
      </c>
      <c r="J471" s="18">
        <v>3105</v>
      </c>
      <c r="K471" s="18"/>
      <c r="L471" s="18">
        <v>3821.19299065424</v>
      </c>
      <c r="M471" s="18">
        <v>-2566.4848601369299</v>
      </c>
      <c r="N471" s="18"/>
      <c r="O471" s="18"/>
      <c r="P471" s="3">
        <v>0</v>
      </c>
      <c r="Q471" s="3">
        <v>0</v>
      </c>
      <c r="R471" s="3">
        <v>0</v>
      </c>
      <c r="S471" s="3">
        <v>4</v>
      </c>
      <c r="T471" s="3" t="b">
        <v>1</v>
      </c>
      <c r="U471" s="3">
        <v>2610</v>
      </c>
      <c r="V471" s="3">
        <v>1</v>
      </c>
      <c r="W471" s="3">
        <v>1799</v>
      </c>
      <c r="X471" s="3">
        <v>13.25</v>
      </c>
    </row>
    <row r="472" spans="1:24" hidden="1">
      <c r="A472" s="1">
        <v>45200</v>
      </c>
      <c r="B472" s="1" t="s">
        <v>721</v>
      </c>
      <c r="C472" s="2" t="s">
        <v>14</v>
      </c>
      <c r="D472" s="2" t="s">
        <v>279</v>
      </c>
      <c r="E472" s="2" t="s">
        <v>635</v>
      </c>
      <c r="F472" s="2" t="s">
        <v>451</v>
      </c>
      <c r="G472" s="2" t="s">
        <v>146</v>
      </c>
      <c r="H472" s="2" t="s">
        <v>700</v>
      </c>
      <c r="I472" t="s">
        <v>198</v>
      </c>
      <c r="J472" s="18">
        <v>6210</v>
      </c>
      <c r="K472" s="18"/>
      <c r="L472" s="18">
        <v>3998.3630268266402</v>
      </c>
      <c r="M472" s="18">
        <v>1111.65724537347</v>
      </c>
      <c r="N472" s="18"/>
      <c r="O472" s="18"/>
      <c r="P472" s="3">
        <v>0</v>
      </c>
      <c r="Q472" s="3">
        <v>0</v>
      </c>
      <c r="R472" s="3">
        <v>0</v>
      </c>
      <c r="S472" s="3">
        <v>4</v>
      </c>
      <c r="T472" s="3" t="b">
        <v>0</v>
      </c>
      <c r="U472" s="3">
        <v>2573</v>
      </c>
      <c r="V472" s="3">
        <v>0</v>
      </c>
      <c r="W472" s="3">
        <v>1799</v>
      </c>
      <c r="X472" s="3">
        <v>12.36</v>
      </c>
    </row>
    <row r="473" spans="1:24" hidden="1">
      <c r="A473" s="1">
        <v>45231</v>
      </c>
      <c r="B473" s="1" t="s">
        <v>722</v>
      </c>
      <c r="C473" s="2" t="s">
        <v>14</v>
      </c>
      <c r="D473" s="2" t="s">
        <v>279</v>
      </c>
      <c r="E473" s="2" t="s">
        <v>635</v>
      </c>
      <c r="F473" s="2" t="s">
        <v>451</v>
      </c>
      <c r="G473" s="2" t="s">
        <v>146</v>
      </c>
      <c r="H473" s="2" t="s">
        <v>700</v>
      </c>
      <c r="I473" t="s">
        <v>198</v>
      </c>
      <c r="J473" s="18">
        <v>4905</v>
      </c>
      <c r="K473" s="18"/>
      <c r="L473" s="18">
        <v>4181.4381210812899</v>
      </c>
      <c r="M473" s="18">
        <v>719.97366983777397</v>
      </c>
      <c r="N473" s="18"/>
      <c r="O473" s="18"/>
      <c r="P473" s="3">
        <v>0</v>
      </c>
      <c r="Q473" s="3">
        <v>0</v>
      </c>
      <c r="R473" s="3">
        <v>0</v>
      </c>
      <c r="S473" s="3">
        <v>4</v>
      </c>
      <c r="T473" s="3" t="b">
        <v>0</v>
      </c>
      <c r="U473" s="3">
        <v>4333</v>
      </c>
      <c r="V473" s="3">
        <v>0</v>
      </c>
      <c r="W473" s="3">
        <v>1799</v>
      </c>
      <c r="X473" s="3">
        <v>14.11</v>
      </c>
    </row>
    <row r="474" spans="1:24" hidden="1">
      <c r="A474" s="1">
        <v>45261</v>
      </c>
      <c r="B474" s="1" t="s">
        <v>723</v>
      </c>
      <c r="C474" s="2" t="s">
        <v>14</v>
      </c>
      <c r="D474" s="2" t="s">
        <v>279</v>
      </c>
      <c r="E474" s="2" t="s">
        <v>635</v>
      </c>
      <c r="F474" s="2" t="s">
        <v>451</v>
      </c>
      <c r="G474" s="2" t="s">
        <v>146</v>
      </c>
      <c r="H474" s="2" t="s">
        <v>700</v>
      </c>
      <c r="I474" t="s">
        <v>198</v>
      </c>
      <c r="J474" s="18">
        <v>4185</v>
      </c>
      <c r="K474" s="18"/>
      <c r="L474" s="18">
        <v>4358.6075672086399</v>
      </c>
      <c r="M474" s="18">
        <v>181.149074847327</v>
      </c>
      <c r="N474" s="18"/>
      <c r="O474" s="18"/>
      <c r="P474" s="3">
        <v>0</v>
      </c>
      <c r="Q474" s="3">
        <v>0</v>
      </c>
      <c r="R474" s="3">
        <v>0</v>
      </c>
      <c r="S474" s="3">
        <v>4</v>
      </c>
      <c r="T474" s="3" t="b">
        <v>0</v>
      </c>
      <c r="U474" s="3">
        <v>2988</v>
      </c>
      <c r="V474" s="3">
        <v>1</v>
      </c>
      <c r="W474" s="3">
        <v>1799</v>
      </c>
      <c r="X474" s="3">
        <v>15.54</v>
      </c>
    </row>
    <row r="475" spans="1:24" hidden="1">
      <c r="A475" s="1">
        <v>45292</v>
      </c>
      <c r="B475" s="1" t="s">
        <v>724</v>
      </c>
      <c r="C475" s="2" t="s">
        <v>14</v>
      </c>
      <c r="D475" s="2" t="s">
        <v>279</v>
      </c>
      <c r="E475" s="2" t="s">
        <v>635</v>
      </c>
      <c r="F475" s="2" t="s">
        <v>451</v>
      </c>
      <c r="G475" s="2" t="s">
        <v>146</v>
      </c>
      <c r="H475" s="2" t="s">
        <v>700</v>
      </c>
      <c r="I475" t="s">
        <v>198</v>
      </c>
      <c r="J475" s="18">
        <v>4725</v>
      </c>
      <c r="K475" s="18"/>
      <c r="L475" s="18">
        <v>4541.6826002261696</v>
      </c>
      <c r="M475" s="18">
        <v>-755.35722118487104</v>
      </c>
      <c r="N475" s="18"/>
      <c r="O475" s="18"/>
      <c r="P475" s="3">
        <v>0</v>
      </c>
      <c r="Q475" s="3">
        <v>0</v>
      </c>
      <c r="R475" s="3">
        <v>0</v>
      </c>
      <c r="S475" s="3">
        <v>4</v>
      </c>
      <c r="T475" s="3" t="b">
        <v>0</v>
      </c>
      <c r="U475" s="3">
        <v>2458</v>
      </c>
      <c r="V475" s="3">
        <v>2</v>
      </c>
      <c r="W475" s="3">
        <v>1799</v>
      </c>
      <c r="X475" s="3">
        <v>13.12</v>
      </c>
    </row>
    <row r="476" spans="1:24" hidden="1">
      <c r="A476" s="1">
        <v>45323</v>
      </c>
      <c r="B476" s="1" t="s">
        <v>725</v>
      </c>
      <c r="C476" s="2" t="s">
        <v>14</v>
      </c>
      <c r="D476" s="2" t="s">
        <v>279</v>
      </c>
      <c r="E476" s="2" t="s">
        <v>635</v>
      </c>
      <c r="F476" s="2" t="s">
        <v>451</v>
      </c>
      <c r="G476" s="2" t="s">
        <v>146</v>
      </c>
      <c r="H476" s="2" t="s">
        <v>700</v>
      </c>
      <c r="I476" t="s">
        <v>198</v>
      </c>
      <c r="J476" s="18">
        <v>1755</v>
      </c>
      <c r="K476" s="18"/>
      <c r="L476" s="18">
        <v>4724.7576332605204</v>
      </c>
      <c r="M476" s="18">
        <v>-1497.3892951043699</v>
      </c>
      <c r="N476" s="18"/>
      <c r="O476" s="18"/>
      <c r="P476" s="3">
        <v>0</v>
      </c>
      <c r="Q476" s="3">
        <v>0</v>
      </c>
      <c r="R476" s="3">
        <v>0</v>
      </c>
      <c r="S476" s="3">
        <v>4</v>
      </c>
      <c r="T476" s="3" t="b">
        <v>0</v>
      </c>
      <c r="U476" s="3">
        <v>4173</v>
      </c>
      <c r="V476" s="3">
        <v>0</v>
      </c>
      <c r="W476" s="3">
        <v>1799</v>
      </c>
      <c r="X476" s="3">
        <v>14.7</v>
      </c>
    </row>
    <row r="477" spans="1:24" hidden="1">
      <c r="A477" s="1">
        <v>45352</v>
      </c>
      <c r="B477" s="1" t="s">
        <v>726</v>
      </c>
      <c r="C477" s="2" t="s">
        <v>14</v>
      </c>
      <c r="D477" s="2" t="s">
        <v>279</v>
      </c>
      <c r="E477" s="2" t="s">
        <v>635</v>
      </c>
      <c r="F477" s="2" t="s">
        <v>451</v>
      </c>
      <c r="G477" s="2" t="s">
        <v>146</v>
      </c>
      <c r="H477" s="2" t="s">
        <v>700</v>
      </c>
      <c r="I477" t="s">
        <v>198</v>
      </c>
      <c r="J477" s="18">
        <v>5715</v>
      </c>
      <c r="K477" s="18"/>
      <c r="L477" s="18">
        <v>4896.02137379956</v>
      </c>
      <c r="M477" s="18">
        <v>746.77068116890598</v>
      </c>
      <c r="N477" s="18"/>
      <c r="O477" s="18"/>
      <c r="P477" s="3">
        <v>0</v>
      </c>
      <c r="Q477" s="3">
        <v>0</v>
      </c>
      <c r="R477" s="3">
        <v>0</v>
      </c>
      <c r="S477" s="3">
        <v>4</v>
      </c>
      <c r="T477" s="3" t="b">
        <v>0</v>
      </c>
      <c r="U477" s="3">
        <v>3522</v>
      </c>
      <c r="V477" s="3">
        <v>0</v>
      </c>
      <c r="W477" s="3">
        <v>1799</v>
      </c>
      <c r="X477" s="3">
        <v>14.01</v>
      </c>
    </row>
    <row r="478" spans="1:24" hidden="1">
      <c r="A478" s="1">
        <v>45383</v>
      </c>
      <c r="B478" s="1" t="s">
        <v>727</v>
      </c>
      <c r="C478" s="2" t="s">
        <v>14</v>
      </c>
      <c r="D478" s="2" t="s">
        <v>279</v>
      </c>
      <c r="E478" s="2" t="s">
        <v>635</v>
      </c>
      <c r="F478" s="2" t="s">
        <v>451</v>
      </c>
      <c r="G478" s="2" t="s">
        <v>146</v>
      </c>
      <c r="H478" s="2" t="s">
        <v>700</v>
      </c>
      <c r="I478" t="s">
        <v>198</v>
      </c>
      <c r="J478" s="18">
        <v>9135</v>
      </c>
      <c r="K478" s="18"/>
      <c r="L478" s="18">
        <v>5079.0964067895802</v>
      </c>
      <c r="M478" s="18">
        <v>2678.8411993720001</v>
      </c>
      <c r="N478" s="18"/>
      <c r="O478" s="18"/>
      <c r="P478" s="3">
        <v>0</v>
      </c>
      <c r="Q478" s="3">
        <v>0</v>
      </c>
      <c r="R478" s="3">
        <v>0</v>
      </c>
      <c r="S478" s="3">
        <v>4</v>
      </c>
      <c r="T478" s="3" t="b">
        <v>0</v>
      </c>
      <c r="U478" s="3">
        <v>3522</v>
      </c>
      <c r="V478" s="3">
        <v>0</v>
      </c>
      <c r="W478" s="3">
        <v>1799</v>
      </c>
      <c r="X478" s="3">
        <v>14.01</v>
      </c>
    </row>
    <row r="479" spans="1:24" hidden="1">
      <c r="A479" s="1">
        <v>45413</v>
      </c>
      <c r="B479" s="1" t="s">
        <v>728</v>
      </c>
      <c r="C479" s="2" t="s">
        <v>14</v>
      </c>
      <c r="D479" s="2" t="s">
        <v>279</v>
      </c>
      <c r="E479" s="2" t="s">
        <v>635</v>
      </c>
      <c r="F479" s="2" t="s">
        <v>451</v>
      </c>
      <c r="G479" s="2" t="s">
        <v>146</v>
      </c>
      <c r="H479" s="2" t="s">
        <v>700</v>
      </c>
      <c r="I479" t="s">
        <v>198</v>
      </c>
      <c r="J479" s="18">
        <v>6390</v>
      </c>
      <c r="K479" s="18"/>
      <c r="L479" s="18">
        <v>5256.2657935541101</v>
      </c>
      <c r="M479" s="18">
        <v>332.71411118210301</v>
      </c>
      <c r="N479" s="18"/>
      <c r="O479" s="18"/>
      <c r="P479" s="3">
        <v>0</v>
      </c>
      <c r="Q479" s="3">
        <v>0</v>
      </c>
      <c r="R479" s="3">
        <v>1</v>
      </c>
      <c r="S479" s="3">
        <v>4</v>
      </c>
      <c r="T479" s="3" t="b">
        <v>0</v>
      </c>
      <c r="U479" s="3">
        <v>4601</v>
      </c>
      <c r="V479" s="3">
        <v>1</v>
      </c>
      <c r="W479" s="3">
        <v>1799</v>
      </c>
      <c r="X479" s="3">
        <v>13.57</v>
      </c>
    </row>
    <row r="480" spans="1:24" hidden="1">
      <c r="A480" s="1">
        <v>45444</v>
      </c>
      <c r="B480" s="1" t="s">
        <v>729</v>
      </c>
      <c r="C480" s="2" t="s">
        <v>14</v>
      </c>
      <c r="D480" s="2" t="s">
        <v>279</v>
      </c>
      <c r="E480" s="2" t="s">
        <v>635</v>
      </c>
      <c r="F480" s="2" t="s">
        <v>451</v>
      </c>
      <c r="G480" s="2" t="s">
        <v>146</v>
      </c>
      <c r="H480" s="2" t="s">
        <v>700</v>
      </c>
      <c r="I480" t="s">
        <v>198</v>
      </c>
      <c r="J480" s="18">
        <v>4365</v>
      </c>
      <c r="K480" s="18"/>
      <c r="L480" s="18">
        <v>5439.3408265441203</v>
      </c>
      <c r="M480" s="18">
        <v>-1021.56100553795</v>
      </c>
      <c r="N480" s="18"/>
      <c r="O480" s="18"/>
      <c r="P480" s="3">
        <v>0</v>
      </c>
      <c r="Q480" s="3">
        <v>0</v>
      </c>
      <c r="R480" s="3">
        <v>0</v>
      </c>
      <c r="S480" s="3">
        <v>4</v>
      </c>
      <c r="T480" s="3" t="b">
        <v>0</v>
      </c>
      <c r="U480" s="3">
        <v>4657</v>
      </c>
      <c r="V480" s="3">
        <v>1</v>
      </c>
      <c r="W480" s="3">
        <v>1799</v>
      </c>
      <c r="X480" s="3">
        <v>13.97</v>
      </c>
    </row>
    <row r="481" spans="1:24" hidden="1">
      <c r="A481" s="1">
        <v>45474</v>
      </c>
      <c r="B481" s="1" t="s">
        <v>730</v>
      </c>
      <c r="C481" s="2" t="s">
        <v>14</v>
      </c>
      <c r="D481" s="2" t="s">
        <v>279</v>
      </c>
      <c r="E481" s="2" t="s">
        <v>635</v>
      </c>
      <c r="F481" s="2" t="s">
        <v>451</v>
      </c>
      <c r="G481" s="2" t="s">
        <v>146</v>
      </c>
      <c r="H481" s="2" t="s">
        <v>700</v>
      </c>
      <c r="I481" t="s">
        <v>198</v>
      </c>
      <c r="J481" s="18">
        <v>5805</v>
      </c>
      <c r="K481" s="18">
        <v>6402</v>
      </c>
      <c r="L481" s="18">
        <v>5616.5102133086502</v>
      </c>
      <c r="M481" s="18">
        <v>229.83228482769599</v>
      </c>
      <c r="N481" s="18">
        <v>4609.4399999999996</v>
      </c>
      <c r="O481" s="18">
        <v>7618.38</v>
      </c>
      <c r="P481" s="3">
        <v>0</v>
      </c>
      <c r="Q481" s="3">
        <v>0</v>
      </c>
      <c r="R481" s="3">
        <v>0</v>
      </c>
      <c r="S481" s="3">
        <v>5</v>
      </c>
      <c r="T481" s="3" t="b">
        <v>0</v>
      </c>
      <c r="U481" s="3">
        <v>3984</v>
      </c>
      <c r="V481" s="3">
        <v>0</v>
      </c>
      <c r="W481" s="3">
        <v>1799</v>
      </c>
      <c r="X481" s="3">
        <v>10</v>
      </c>
    </row>
    <row r="482" spans="1:24" hidden="1">
      <c r="A482" s="1">
        <v>45505</v>
      </c>
      <c r="B482" s="1" t="s">
        <v>731</v>
      </c>
      <c r="C482" s="2" t="s">
        <v>14</v>
      </c>
      <c r="D482" s="2" t="s">
        <v>279</v>
      </c>
      <c r="E482" s="2" t="s">
        <v>635</v>
      </c>
      <c r="F482" s="2" t="s">
        <v>451</v>
      </c>
      <c r="G482" s="2" t="s">
        <v>146</v>
      </c>
      <c r="H482" s="2" t="s">
        <v>700</v>
      </c>
      <c r="I482" t="s">
        <v>198</v>
      </c>
      <c r="J482" s="18">
        <v>1125</v>
      </c>
      <c r="K482" s="18">
        <v>4793</v>
      </c>
      <c r="L482" s="18">
        <v>5799.5852462986604</v>
      </c>
      <c r="M482" s="18">
        <v>-2360.03499410936</v>
      </c>
      <c r="N482" s="18">
        <v>3642.68</v>
      </c>
      <c r="O482" s="18">
        <v>5847.46</v>
      </c>
      <c r="P482" s="3">
        <v>0</v>
      </c>
      <c r="Q482" s="3">
        <v>0</v>
      </c>
      <c r="R482" s="3">
        <v>0</v>
      </c>
      <c r="S482" s="3">
        <v>5</v>
      </c>
      <c r="T482" s="3" t="b">
        <v>0</v>
      </c>
      <c r="U482" s="3">
        <v>3566</v>
      </c>
      <c r="V482" s="3">
        <v>0</v>
      </c>
      <c r="W482" s="3">
        <v>1799</v>
      </c>
      <c r="X482" s="3">
        <v>5</v>
      </c>
    </row>
    <row r="483" spans="1:24" hidden="1">
      <c r="A483" s="1">
        <v>45536</v>
      </c>
      <c r="B483" s="1" t="s">
        <v>732</v>
      </c>
      <c r="C483" s="2" t="s">
        <v>14</v>
      </c>
      <c r="D483" s="2" t="s">
        <v>279</v>
      </c>
      <c r="E483" s="2" t="s">
        <v>635</v>
      </c>
      <c r="F483" s="2" t="s">
        <v>451</v>
      </c>
      <c r="G483" s="2" t="s">
        <v>146</v>
      </c>
      <c r="H483" s="2" t="s">
        <v>700</v>
      </c>
      <c r="I483" t="s">
        <v>198</v>
      </c>
      <c r="J483" s="18">
        <v>2430</v>
      </c>
      <c r="K483" s="18">
        <v>3458</v>
      </c>
      <c r="L483" s="18">
        <v>5982.6602792886797</v>
      </c>
      <c r="M483" s="18">
        <v>-1276.2542601396201</v>
      </c>
      <c r="N483" s="18">
        <v>2904.72</v>
      </c>
      <c r="O483" s="18">
        <v>3803.8</v>
      </c>
      <c r="P483" s="3">
        <v>0</v>
      </c>
      <c r="Q483" s="3">
        <v>0</v>
      </c>
      <c r="R483" s="3">
        <v>0</v>
      </c>
      <c r="S483" s="3">
        <v>5</v>
      </c>
      <c r="T483" s="3" t="b">
        <v>0</v>
      </c>
      <c r="U483" s="3">
        <v>4159</v>
      </c>
      <c r="V483" s="3">
        <v>0</v>
      </c>
      <c r="W483" s="3">
        <v>1799</v>
      </c>
      <c r="X483" s="3">
        <v>12</v>
      </c>
    </row>
    <row r="484" spans="1:24" hidden="1">
      <c r="A484" s="1">
        <v>45566</v>
      </c>
      <c r="B484" s="1" t="s">
        <v>733</v>
      </c>
      <c r="C484" s="2" t="s">
        <v>14</v>
      </c>
      <c r="D484" s="2" t="s">
        <v>279</v>
      </c>
      <c r="E484" s="2" t="s">
        <v>635</v>
      </c>
      <c r="F484" s="2" t="s">
        <v>451</v>
      </c>
      <c r="G484" s="2" t="s">
        <v>146</v>
      </c>
      <c r="H484" s="2" t="s">
        <v>700</v>
      </c>
      <c r="I484" t="s">
        <v>224</v>
      </c>
      <c r="J484" s="18"/>
      <c r="K484" s="18">
        <v>3294</v>
      </c>
      <c r="L484" s="18">
        <v>6159.8296660532096</v>
      </c>
      <c r="M484" s="18">
        <v>-66.845248825420001</v>
      </c>
      <c r="N484" s="18">
        <v>2734.02</v>
      </c>
      <c r="O484" s="18">
        <v>4084.56</v>
      </c>
      <c r="P484" s="3"/>
      <c r="Q484" s="3"/>
      <c r="R484" s="3"/>
      <c r="S484" s="3"/>
      <c r="T484" s="3"/>
      <c r="U484" s="3"/>
      <c r="V484" s="3"/>
      <c r="W484" s="3">
        <v>1799</v>
      </c>
      <c r="X484" s="3"/>
    </row>
    <row r="485" spans="1:24" hidden="1">
      <c r="A485" s="1">
        <v>45597</v>
      </c>
      <c r="B485" s="1" t="s">
        <v>734</v>
      </c>
      <c r="C485" s="2" t="s">
        <v>14</v>
      </c>
      <c r="D485" s="2" t="s">
        <v>279</v>
      </c>
      <c r="E485" s="2" t="s">
        <v>635</v>
      </c>
      <c r="F485" s="2" t="s">
        <v>451</v>
      </c>
      <c r="G485" s="2" t="s">
        <v>146</v>
      </c>
      <c r="H485" s="2" t="s">
        <v>700</v>
      </c>
      <c r="I485" t="s">
        <v>224</v>
      </c>
      <c r="J485" s="18"/>
      <c r="K485" s="18">
        <v>2784</v>
      </c>
      <c r="L485" s="18">
        <v>6342.9046990432198</v>
      </c>
      <c r="M485" s="18">
        <v>1918.0506315103401</v>
      </c>
      <c r="N485" s="18">
        <v>2310.7199999999998</v>
      </c>
      <c r="O485" s="18">
        <v>3591.36</v>
      </c>
      <c r="P485" s="3"/>
      <c r="Q485" s="3"/>
      <c r="R485" s="3"/>
      <c r="S485" s="3"/>
      <c r="T485" s="3"/>
      <c r="U485" s="3"/>
      <c r="V485" s="3"/>
      <c r="W485" s="3">
        <v>1799</v>
      </c>
      <c r="X485" s="3"/>
    </row>
    <row r="486" spans="1:24" hidden="1">
      <c r="A486" s="1">
        <v>45627</v>
      </c>
      <c r="B486" s="1" t="s">
        <v>735</v>
      </c>
      <c r="C486" s="2" t="s">
        <v>14</v>
      </c>
      <c r="D486" s="2" t="s">
        <v>279</v>
      </c>
      <c r="E486" s="2" t="s">
        <v>635</v>
      </c>
      <c r="F486" s="2" t="s">
        <v>451</v>
      </c>
      <c r="G486" s="2" t="s">
        <v>146</v>
      </c>
      <c r="H486" s="2" t="s">
        <v>700</v>
      </c>
      <c r="I486" t="s">
        <v>224</v>
      </c>
      <c r="J486" s="18"/>
      <c r="K486" s="18">
        <v>2549</v>
      </c>
      <c r="L486" s="18">
        <v>6520.0740858077497</v>
      </c>
      <c r="M486" s="18">
        <v>-1060.34487441274</v>
      </c>
      <c r="N486" s="18">
        <v>1605.8700000000001</v>
      </c>
      <c r="O486" s="18">
        <v>2905.8599999999997</v>
      </c>
      <c r="P486" s="3"/>
      <c r="Q486" s="3"/>
      <c r="R486" s="3"/>
      <c r="S486" s="3"/>
      <c r="T486" s="3"/>
      <c r="U486" s="3"/>
      <c r="V486" s="3"/>
      <c r="W486" s="3">
        <v>1799</v>
      </c>
      <c r="X486" s="3"/>
    </row>
    <row r="487" spans="1:24">
      <c r="A487" s="1">
        <v>44562</v>
      </c>
      <c r="B487" s="1" t="s">
        <v>736</v>
      </c>
      <c r="C487" s="2" t="s">
        <v>17</v>
      </c>
      <c r="D487" s="2" t="s">
        <v>279</v>
      </c>
      <c r="E487" s="2" t="s">
        <v>737</v>
      </c>
      <c r="F487" s="2" t="s">
        <v>281</v>
      </c>
      <c r="G487" s="2" t="s">
        <v>155</v>
      </c>
      <c r="H487" s="2" t="s">
        <v>738</v>
      </c>
      <c r="I487" t="s">
        <v>198</v>
      </c>
      <c r="J487" s="18">
        <v>7712.55</v>
      </c>
      <c r="K487" s="20"/>
      <c r="L487" s="18">
        <v>7584.7856392799904</v>
      </c>
      <c r="M487" s="18">
        <v>1022.72674102937</v>
      </c>
      <c r="N487" s="18"/>
      <c r="O487" s="18"/>
      <c r="P487" s="3">
        <v>0</v>
      </c>
      <c r="Q487" s="3">
        <v>0</v>
      </c>
      <c r="R487" s="3">
        <v>0</v>
      </c>
      <c r="S487" s="54">
        <v>7</v>
      </c>
      <c r="T487" s="3" t="b">
        <v>0</v>
      </c>
      <c r="U487" s="3">
        <v>4338</v>
      </c>
      <c r="V487" s="3">
        <v>1</v>
      </c>
      <c r="W487" s="3">
        <v>2941</v>
      </c>
      <c r="X487" s="3">
        <v>15.02</v>
      </c>
    </row>
    <row r="488" spans="1:24">
      <c r="A488" s="1">
        <v>44593</v>
      </c>
      <c r="B488" s="1" t="s">
        <v>739</v>
      </c>
      <c r="C488" s="2" t="s">
        <v>17</v>
      </c>
      <c r="D488" s="2" t="s">
        <v>279</v>
      </c>
      <c r="E488" s="2" t="s">
        <v>737</v>
      </c>
      <c r="F488" s="2" t="s">
        <v>281</v>
      </c>
      <c r="G488" s="2" t="s">
        <v>155</v>
      </c>
      <c r="H488" s="2" t="s">
        <v>738</v>
      </c>
      <c r="I488" t="s">
        <v>198</v>
      </c>
      <c r="J488" s="18">
        <v>8065.8</v>
      </c>
      <c r="K488" s="20"/>
      <c r="L488" s="18">
        <v>7634.0929324203098</v>
      </c>
      <c r="M488" s="18">
        <v>3134.6809879227899</v>
      </c>
      <c r="N488" s="18"/>
      <c r="O488" s="18"/>
      <c r="P488" s="3">
        <v>0</v>
      </c>
      <c r="Q488" s="3">
        <v>0</v>
      </c>
      <c r="R488" s="3">
        <v>0</v>
      </c>
      <c r="S488" s="54">
        <v>7</v>
      </c>
      <c r="T488" s="3" t="b">
        <v>0</v>
      </c>
      <c r="U488" s="3">
        <v>3963</v>
      </c>
      <c r="V488" s="3">
        <v>0</v>
      </c>
      <c r="W488" s="3">
        <v>2141</v>
      </c>
      <c r="X488" s="3">
        <v>16.28</v>
      </c>
    </row>
    <row r="489" spans="1:24">
      <c r="A489" s="1">
        <v>44621</v>
      </c>
      <c r="B489" s="1" t="s">
        <v>740</v>
      </c>
      <c r="C489" s="2" t="s">
        <v>17</v>
      </c>
      <c r="D489" s="2" t="s">
        <v>279</v>
      </c>
      <c r="E489" s="2" t="s">
        <v>737</v>
      </c>
      <c r="F489" s="2" t="s">
        <v>281</v>
      </c>
      <c r="G489" s="2" t="s">
        <v>155</v>
      </c>
      <c r="H489" s="2" t="s">
        <v>738</v>
      </c>
      <c r="I489" t="s">
        <v>198</v>
      </c>
      <c r="J489" s="18">
        <v>9999.4500000000007</v>
      </c>
      <c r="K489" s="20"/>
      <c r="L489" s="18">
        <v>7678.6285566402403</v>
      </c>
      <c r="M489" s="18">
        <v>4858.8749257364598</v>
      </c>
      <c r="N489" s="18"/>
      <c r="O489" s="18"/>
      <c r="P489" s="3">
        <v>0</v>
      </c>
      <c r="Q489" s="3">
        <v>0</v>
      </c>
      <c r="R489" s="3">
        <v>0</v>
      </c>
      <c r="S489" s="54">
        <v>7</v>
      </c>
      <c r="T489" s="3" t="b">
        <v>0</v>
      </c>
      <c r="U489" s="3">
        <v>4149</v>
      </c>
      <c r="V489" s="3">
        <v>1</v>
      </c>
      <c r="W489" s="3">
        <v>2300</v>
      </c>
      <c r="X489" s="3">
        <v>17.399999999999999</v>
      </c>
    </row>
    <row r="490" spans="1:24">
      <c r="A490" s="1">
        <v>44652</v>
      </c>
      <c r="B490" s="1" t="s">
        <v>741</v>
      </c>
      <c r="C490" s="2" t="s">
        <v>17</v>
      </c>
      <c r="D490" s="2" t="s">
        <v>279</v>
      </c>
      <c r="E490" s="2" t="s">
        <v>737</v>
      </c>
      <c r="F490" s="2" t="s">
        <v>281</v>
      </c>
      <c r="G490" s="2" t="s">
        <v>155</v>
      </c>
      <c r="H490" s="2" t="s">
        <v>738</v>
      </c>
      <c r="I490" t="s">
        <v>198</v>
      </c>
      <c r="J490" s="18">
        <v>6145.6184999999996</v>
      </c>
      <c r="K490" s="20"/>
      <c r="L490" s="18">
        <v>7727.9358516990096</v>
      </c>
      <c r="M490" s="18">
        <v>5091.9886440882701</v>
      </c>
      <c r="N490" s="18"/>
      <c r="O490" s="18"/>
      <c r="P490" s="3">
        <v>0</v>
      </c>
      <c r="Q490" s="3">
        <v>0</v>
      </c>
      <c r="R490" s="3">
        <v>0</v>
      </c>
      <c r="S490" s="54">
        <v>7</v>
      </c>
      <c r="T490" s="3" t="b">
        <v>0</v>
      </c>
      <c r="U490" s="3">
        <v>4009</v>
      </c>
      <c r="V490" s="3">
        <v>0</v>
      </c>
      <c r="W490" s="3">
        <v>1725</v>
      </c>
      <c r="X490" s="3">
        <v>16.75</v>
      </c>
    </row>
    <row r="491" spans="1:24">
      <c r="A491" s="1">
        <v>44682</v>
      </c>
      <c r="B491" s="1" t="s">
        <v>742</v>
      </c>
      <c r="C491" s="2" t="s">
        <v>17</v>
      </c>
      <c r="D491" s="2" t="s">
        <v>279</v>
      </c>
      <c r="E491" s="2" t="s">
        <v>737</v>
      </c>
      <c r="F491" s="2" t="s">
        <v>281</v>
      </c>
      <c r="G491" s="2" t="s">
        <v>155</v>
      </c>
      <c r="H491" s="2" t="s">
        <v>738</v>
      </c>
      <c r="I491" t="s">
        <v>198</v>
      </c>
      <c r="J491" s="18">
        <v>14909.4</v>
      </c>
      <c r="K491" s="20"/>
      <c r="L491" s="18">
        <v>7775.6525960392701</v>
      </c>
      <c r="M491" s="18">
        <v>4245.1722425719599</v>
      </c>
      <c r="N491" s="18"/>
      <c r="O491" s="18"/>
      <c r="P491" s="3">
        <v>0</v>
      </c>
      <c r="Q491" s="3">
        <v>0</v>
      </c>
      <c r="R491" s="3">
        <v>0</v>
      </c>
      <c r="S491" s="54">
        <v>7</v>
      </c>
      <c r="T491" s="3" t="b">
        <v>0</v>
      </c>
      <c r="U491" s="3">
        <v>4914</v>
      </c>
      <c r="V491" s="3">
        <v>0</v>
      </c>
      <c r="W491" s="3">
        <v>2243</v>
      </c>
      <c r="X491" s="3">
        <v>16.14</v>
      </c>
    </row>
    <row r="492" spans="1:24">
      <c r="A492" s="1">
        <v>44713</v>
      </c>
      <c r="B492" s="1" t="s">
        <v>743</v>
      </c>
      <c r="C492" s="2" t="s">
        <v>17</v>
      </c>
      <c r="D492" s="2" t="s">
        <v>279</v>
      </c>
      <c r="E492" s="2" t="s">
        <v>737</v>
      </c>
      <c r="F492" s="2" t="s">
        <v>281</v>
      </c>
      <c r="G492" s="2" t="s">
        <v>155</v>
      </c>
      <c r="H492" s="2" t="s">
        <v>738</v>
      </c>
      <c r="I492" t="s">
        <v>198</v>
      </c>
      <c r="J492" s="18">
        <v>5829.75</v>
      </c>
      <c r="K492" s="20"/>
      <c r="L492" s="18">
        <v>7824.9598911257799</v>
      </c>
      <c r="M492" s="18">
        <v>-1789.92834219972</v>
      </c>
      <c r="N492" s="18"/>
      <c r="O492" s="18"/>
      <c r="P492" s="3">
        <v>0</v>
      </c>
      <c r="Q492" s="3">
        <v>0</v>
      </c>
      <c r="R492" s="3">
        <v>0</v>
      </c>
      <c r="S492" s="54">
        <v>7</v>
      </c>
      <c r="T492" s="3" t="b">
        <v>0</v>
      </c>
      <c r="U492" s="3">
        <v>4889</v>
      </c>
      <c r="V492" s="3">
        <v>0</v>
      </c>
      <c r="W492" s="3">
        <v>2928</v>
      </c>
      <c r="X492" s="3">
        <v>16.62</v>
      </c>
    </row>
    <row r="493" spans="1:24">
      <c r="A493" s="1">
        <v>44743</v>
      </c>
      <c r="B493" s="1" t="s">
        <v>744</v>
      </c>
      <c r="C493" s="2" t="s">
        <v>17</v>
      </c>
      <c r="D493" s="2" t="s">
        <v>279</v>
      </c>
      <c r="E493" s="2" t="s">
        <v>737</v>
      </c>
      <c r="F493" s="2" t="s">
        <v>281</v>
      </c>
      <c r="G493" s="2" t="s">
        <v>155</v>
      </c>
      <c r="H493" s="2" t="s">
        <v>738</v>
      </c>
      <c r="I493" t="s">
        <v>198</v>
      </c>
      <c r="J493" s="18">
        <v>2588.3910000000001</v>
      </c>
      <c r="K493" s="20"/>
      <c r="L493" s="18">
        <v>7872.6766237557704</v>
      </c>
      <c r="M493" s="18">
        <v>-6239.7457417567603</v>
      </c>
      <c r="N493" s="18"/>
      <c r="O493" s="18"/>
      <c r="P493" s="3">
        <v>0</v>
      </c>
      <c r="Q493" s="3">
        <v>0</v>
      </c>
      <c r="R493" s="3">
        <v>0</v>
      </c>
      <c r="S493" s="54">
        <v>7</v>
      </c>
      <c r="T493" s="3" t="b">
        <v>0</v>
      </c>
      <c r="U493" s="3">
        <v>2961</v>
      </c>
      <c r="V493" s="3">
        <v>0</v>
      </c>
      <c r="W493" s="3">
        <v>2049</v>
      </c>
      <c r="X493" s="3">
        <v>16.16</v>
      </c>
    </row>
    <row r="494" spans="1:24">
      <c r="A494" s="1">
        <v>44774</v>
      </c>
      <c r="B494" s="1" t="s">
        <v>745</v>
      </c>
      <c r="C494" s="2" t="s">
        <v>17</v>
      </c>
      <c r="D494" s="2" t="s">
        <v>279</v>
      </c>
      <c r="E494" s="2" t="s">
        <v>737</v>
      </c>
      <c r="F494" s="2" t="s">
        <v>281</v>
      </c>
      <c r="G494" s="2" t="s">
        <v>155</v>
      </c>
      <c r="H494" s="2" t="s">
        <v>738</v>
      </c>
      <c r="I494" t="s">
        <v>198</v>
      </c>
      <c r="J494" s="18">
        <v>4711.95</v>
      </c>
      <c r="K494" s="20"/>
      <c r="L494" s="18">
        <v>7921.9839192754898</v>
      </c>
      <c r="M494" s="18">
        <v>-4054.8099596540701</v>
      </c>
      <c r="N494" s="18"/>
      <c r="O494" s="18"/>
      <c r="P494" s="3">
        <v>0</v>
      </c>
      <c r="Q494" s="3">
        <v>0</v>
      </c>
      <c r="R494" s="3">
        <v>0</v>
      </c>
      <c r="S494" s="54">
        <v>7</v>
      </c>
      <c r="T494" s="3" t="b">
        <v>0</v>
      </c>
      <c r="U494" s="3">
        <v>4989</v>
      </c>
      <c r="V494" s="3">
        <v>0</v>
      </c>
      <c r="W494" s="3">
        <v>1520</v>
      </c>
      <c r="X494" s="3">
        <v>17.62</v>
      </c>
    </row>
    <row r="495" spans="1:24">
      <c r="A495" s="1">
        <v>44805</v>
      </c>
      <c r="B495" s="1" t="s">
        <v>746</v>
      </c>
      <c r="C495" s="2" t="s">
        <v>17</v>
      </c>
      <c r="D495" s="2" t="s">
        <v>279</v>
      </c>
      <c r="E495" s="2" t="s">
        <v>737</v>
      </c>
      <c r="F495" s="2" t="s">
        <v>281</v>
      </c>
      <c r="G495" s="2" t="s">
        <v>155</v>
      </c>
      <c r="H495" s="2" t="s">
        <v>738</v>
      </c>
      <c r="I495" t="s">
        <v>198</v>
      </c>
      <c r="J495" s="18">
        <v>5348.25</v>
      </c>
      <c r="K495" s="20"/>
      <c r="L495" s="18">
        <v>7971.2912100346603</v>
      </c>
      <c r="M495" s="18">
        <v>-3252.6840389643298</v>
      </c>
      <c r="N495" s="18"/>
      <c r="O495" s="18"/>
      <c r="P495" s="3">
        <v>0</v>
      </c>
      <c r="Q495" s="3">
        <v>0</v>
      </c>
      <c r="R495" s="3">
        <v>0</v>
      </c>
      <c r="S495" s="54">
        <v>7</v>
      </c>
      <c r="T495" s="3" t="b">
        <v>0</v>
      </c>
      <c r="U495" s="3">
        <v>3026</v>
      </c>
      <c r="V495" s="3">
        <v>0</v>
      </c>
      <c r="W495" s="3">
        <v>2806</v>
      </c>
      <c r="X495" s="3">
        <v>16.53</v>
      </c>
    </row>
    <row r="496" spans="1:24">
      <c r="A496" s="1">
        <v>44835</v>
      </c>
      <c r="B496" s="1" t="s">
        <v>747</v>
      </c>
      <c r="C496" s="2" t="s">
        <v>17</v>
      </c>
      <c r="D496" s="2" t="s">
        <v>279</v>
      </c>
      <c r="E496" s="2" t="s">
        <v>737</v>
      </c>
      <c r="F496" s="2" t="s">
        <v>281</v>
      </c>
      <c r="G496" s="2" t="s">
        <v>155</v>
      </c>
      <c r="H496" s="2" t="s">
        <v>738</v>
      </c>
      <c r="I496" t="s">
        <v>198</v>
      </c>
      <c r="J496" s="18">
        <v>7978.95</v>
      </c>
      <c r="K496" s="20"/>
      <c r="L496" s="18">
        <v>8018.9969503269103</v>
      </c>
      <c r="M496" s="18">
        <v>-785.49365110899896</v>
      </c>
      <c r="N496" s="18"/>
      <c r="O496" s="18"/>
      <c r="P496" s="3">
        <v>0</v>
      </c>
      <c r="Q496" s="3">
        <v>0</v>
      </c>
      <c r="R496" s="3">
        <v>0</v>
      </c>
      <c r="S496" s="54">
        <v>7</v>
      </c>
      <c r="T496" s="3" t="b">
        <v>0</v>
      </c>
      <c r="U496" s="3">
        <v>4132</v>
      </c>
      <c r="V496" s="3">
        <v>0</v>
      </c>
      <c r="W496" s="3">
        <v>1009</v>
      </c>
      <c r="X496" s="3">
        <v>18.11</v>
      </c>
    </row>
    <row r="497" spans="1:24">
      <c r="A497" s="1">
        <v>44866</v>
      </c>
      <c r="B497" s="1" t="s">
        <v>748</v>
      </c>
      <c r="C497" s="2" t="s">
        <v>17</v>
      </c>
      <c r="D497" s="2" t="s">
        <v>279</v>
      </c>
      <c r="E497" s="2" t="s">
        <v>737</v>
      </c>
      <c r="F497" s="2" t="s">
        <v>281</v>
      </c>
      <c r="G497" s="2" t="s">
        <v>155</v>
      </c>
      <c r="H497" s="2" t="s">
        <v>738</v>
      </c>
      <c r="I497" t="s">
        <v>198</v>
      </c>
      <c r="J497" s="18">
        <v>7029</v>
      </c>
      <c r="K497" s="20"/>
      <c r="L497" s="18">
        <v>8068.2928820691604</v>
      </c>
      <c r="M497" s="18">
        <v>-1040.7383348671799</v>
      </c>
      <c r="N497" s="18"/>
      <c r="O497" s="18"/>
      <c r="P497" s="3">
        <v>0</v>
      </c>
      <c r="Q497" s="3">
        <v>0</v>
      </c>
      <c r="R497" s="3">
        <v>0</v>
      </c>
      <c r="S497" s="54">
        <v>7</v>
      </c>
      <c r="T497" s="3" t="b">
        <v>0</v>
      </c>
      <c r="U497" s="3">
        <v>4375</v>
      </c>
      <c r="V497" s="3">
        <v>0</v>
      </c>
      <c r="W497" s="3">
        <v>1983</v>
      </c>
      <c r="X497" s="3">
        <v>16.809999999999999</v>
      </c>
    </row>
    <row r="498" spans="1:24">
      <c r="A498" s="1">
        <v>44896</v>
      </c>
      <c r="B498" s="1" t="s">
        <v>749</v>
      </c>
      <c r="C498" s="2" t="s">
        <v>17</v>
      </c>
      <c r="D498" s="2" t="s">
        <v>279</v>
      </c>
      <c r="E498" s="2" t="s">
        <v>737</v>
      </c>
      <c r="F498" s="2" t="s">
        <v>281</v>
      </c>
      <c r="G498" s="2" t="s">
        <v>155</v>
      </c>
      <c r="H498" s="2" t="s">
        <v>738</v>
      </c>
      <c r="I498" t="s">
        <v>198</v>
      </c>
      <c r="J498" s="18">
        <v>5612.85</v>
      </c>
      <c r="K498" s="20"/>
      <c r="L498" s="18">
        <v>8115.9986130564303</v>
      </c>
      <c r="M498" s="18">
        <v>-1961.6820801710801</v>
      </c>
      <c r="N498" s="18"/>
      <c r="O498" s="18"/>
      <c r="P498" s="3">
        <v>0</v>
      </c>
      <c r="Q498" s="3">
        <v>0</v>
      </c>
      <c r="R498" s="3">
        <v>0</v>
      </c>
      <c r="S498" s="54">
        <v>7</v>
      </c>
      <c r="T498" s="3" t="b">
        <v>0</v>
      </c>
      <c r="U498" s="3">
        <v>4863</v>
      </c>
      <c r="V498" s="3">
        <v>0</v>
      </c>
      <c r="W498" s="3">
        <v>1377</v>
      </c>
      <c r="X498" s="3">
        <v>17.600000000000001</v>
      </c>
    </row>
    <row r="499" spans="1:24">
      <c r="A499" s="1">
        <v>44927</v>
      </c>
      <c r="B499" s="1" t="s">
        <v>750</v>
      </c>
      <c r="C499" s="2" t="s">
        <v>17</v>
      </c>
      <c r="D499" s="2" t="s">
        <v>279</v>
      </c>
      <c r="E499" s="2" t="s">
        <v>737</v>
      </c>
      <c r="F499" s="2" t="s">
        <v>281</v>
      </c>
      <c r="G499" s="2" t="s">
        <v>155</v>
      </c>
      <c r="H499" s="2" t="s">
        <v>738</v>
      </c>
      <c r="I499" t="s">
        <v>198</v>
      </c>
      <c r="J499" s="18">
        <v>9506.25</v>
      </c>
      <c r="K499" s="20"/>
      <c r="L499" s="18">
        <v>8165.29452442805</v>
      </c>
      <c r="M499" s="18">
        <v>773.79705170279396</v>
      </c>
      <c r="N499" s="18"/>
      <c r="O499" s="18"/>
      <c r="P499" s="3">
        <v>0</v>
      </c>
      <c r="Q499" s="3">
        <v>0</v>
      </c>
      <c r="R499" s="3">
        <v>1</v>
      </c>
      <c r="S499" s="54">
        <v>7</v>
      </c>
      <c r="T499" s="3" t="b">
        <v>0</v>
      </c>
      <c r="U499" s="3">
        <v>3473</v>
      </c>
      <c r="V499" s="3">
        <v>1</v>
      </c>
      <c r="W499" s="3">
        <v>2656</v>
      </c>
      <c r="X499" s="3">
        <v>17.43</v>
      </c>
    </row>
    <row r="500" spans="1:24">
      <c r="A500" s="1">
        <v>44958</v>
      </c>
      <c r="B500" s="1" t="s">
        <v>751</v>
      </c>
      <c r="C500" s="2" t="s">
        <v>17</v>
      </c>
      <c r="D500" s="2" t="s">
        <v>279</v>
      </c>
      <c r="E500" s="2" t="s">
        <v>737</v>
      </c>
      <c r="F500" s="2" t="s">
        <v>281</v>
      </c>
      <c r="G500" s="2" t="s">
        <v>155</v>
      </c>
      <c r="H500" s="2" t="s">
        <v>738</v>
      </c>
      <c r="I500" t="s">
        <v>198</v>
      </c>
      <c r="J500" s="18">
        <v>13063.05</v>
      </c>
      <c r="K500" s="20"/>
      <c r="L500" s="18">
        <v>8214.5904253335993</v>
      </c>
      <c r="M500" s="18">
        <v>3323.5633396264602</v>
      </c>
      <c r="N500" s="18"/>
      <c r="O500" s="18"/>
      <c r="P500" s="3">
        <v>0</v>
      </c>
      <c r="Q500" s="3">
        <v>0</v>
      </c>
      <c r="R500" s="3">
        <v>0</v>
      </c>
      <c r="S500" s="54">
        <v>7</v>
      </c>
      <c r="T500" s="3" t="b">
        <v>0</v>
      </c>
      <c r="U500" s="3">
        <v>4501</v>
      </c>
      <c r="V500" s="3">
        <v>0</v>
      </c>
      <c r="W500" s="3">
        <v>2660</v>
      </c>
      <c r="X500" s="3">
        <v>15.46</v>
      </c>
    </row>
    <row r="501" spans="1:24">
      <c r="A501" s="1">
        <v>44986</v>
      </c>
      <c r="B501" s="1" t="s">
        <v>752</v>
      </c>
      <c r="C501" s="2" t="s">
        <v>17</v>
      </c>
      <c r="D501" s="2" t="s">
        <v>279</v>
      </c>
      <c r="E501" s="2" t="s">
        <v>737</v>
      </c>
      <c r="F501" s="2" t="s">
        <v>281</v>
      </c>
      <c r="G501" s="2" t="s">
        <v>155</v>
      </c>
      <c r="H501" s="2" t="s">
        <v>738</v>
      </c>
      <c r="I501" t="s">
        <v>198</v>
      </c>
      <c r="J501" s="18">
        <v>16371.27</v>
      </c>
      <c r="K501" s="20"/>
      <c r="L501" s="18">
        <v>8258.97855394412</v>
      </c>
      <c r="M501" s="18">
        <v>4646.48219132944</v>
      </c>
      <c r="N501" s="18"/>
      <c r="O501" s="18"/>
      <c r="P501" s="3">
        <v>0</v>
      </c>
      <c r="Q501" s="3">
        <v>0</v>
      </c>
      <c r="R501" s="3">
        <v>0</v>
      </c>
      <c r="S501" s="54">
        <v>7</v>
      </c>
      <c r="T501" s="3" t="b">
        <v>0</v>
      </c>
      <c r="U501" s="3">
        <v>3947</v>
      </c>
      <c r="V501" s="3">
        <v>0</v>
      </c>
      <c r="W501" s="3">
        <v>1681</v>
      </c>
      <c r="X501" s="3">
        <v>15.6</v>
      </c>
    </row>
    <row r="502" spans="1:24">
      <c r="A502" s="1">
        <v>45017</v>
      </c>
      <c r="B502" s="1" t="s">
        <v>753</v>
      </c>
      <c r="C502" s="2" t="s">
        <v>17</v>
      </c>
      <c r="D502" s="2" t="s">
        <v>279</v>
      </c>
      <c r="E502" s="2" t="s">
        <v>737</v>
      </c>
      <c r="F502" s="2" t="s">
        <v>281</v>
      </c>
      <c r="G502" s="2" t="s">
        <v>155</v>
      </c>
      <c r="H502" s="2" t="s">
        <v>738</v>
      </c>
      <c r="I502" t="s">
        <v>198</v>
      </c>
      <c r="J502" s="18">
        <v>20798.64</v>
      </c>
      <c r="K502" s="20"/>
      <c r="L502" s="18">
        <v>8308.0858100915593</v>
      </c>
      <c r="M502" s="18">
        <v>5309.3226872853402</v>
      </c>
      <c r="N502" s="18"/>
      <c r="O502" s="18"/>
      <c r="P502" s="3">
        <v>0</v>
      </c>
      <c r="Q502" s="3">
        <v>0</v>
      </c>
      <c r="R502" s="3">
        <v>0</v>
      </c>
      <c r="S502" s="54">
        <v>7</v>
      </c>
      <c r="T502" s="3" t="b">
        <v>0</v>
      </c>
      <c r="U502" s="3">
        <v>4676</v>
      </c>
      <c r="V502" s="3">
        <v>0</v>
      </c>
      <c r="W502" s="3">
        <v>1583</v>
      </c>
      <c r="X502" s="3">
        <v>16.09</v>
      </c>
    </row>
    <row r="503" spans="1:24">
      <c r="A503" s="1">
        <v>45047</v>
      </c>
      <c r="B503" s="1" t="s">
        <v>754</v>
      </c>
      <c r="C503" s="2" t="s">
        <v>17</v>
      </c>
      <c r="D503" s="2" t="s">
        <v>279</v>
      </c>
      <c r="E503" s="2" t="s">
        <v>737</v>
      </c>
      <c r="F503" s="2" t="s">
        <v>281</v>
      </c>
      <c r="G503" s="2" t="s">
        <v>155</v>
      </c>
      <c r="H503" s="2" t="s">
        <v>738</v>
      </c>
      <c r="I503" t="s">
        <v>198</v>
      </c>
      <c r="J503" s="18">
        <v>12805.56</v>
      </c>
      <c r="K503" s="20"/>
      <c r="L503" s="18">
        <v>8355.51677795664</v>
      </c>
      <c r="M503" s="18">
        <v>4045.4091571389099</v>
      </c>
      <c r="N503" s="18"/>
      <c r="O503" s="18"/>
      <c r="P503" s="3">
        <v>0</v>
      </c>
      <c r="Q503" s="3">
        <v>0</v>
      </c>
      <c r="R503" s="3">
        <v>0</v>
      </c>
      <c r="S503" s="54">
        <v>7</v>
      </c>
      <c r="T503" s="3" t="b">
        <v>0</v>
      </c>
      <c r="U503" s="3">
        <v>3177</v>
      </c>
      <c r="V503" s="3">
        <v>0</v>
      </c>
      <c r="W503" s="3">
        <v>1151</v>
      </c>
      <c r="X503" s="3">
        <v>17.79</v>
      </c>
    </row>
    <row r="504" spans="1:24">
      <c r="A504" s="1">
        <v>45078</v>
      </c>
      <c r="B504" s="1" t="s">
        <v>755</v>
      </c>
      <c r="C504" s="2" t="s">
        <v>17</v>
      </c>
      <c r="D504" s="2" t="s">
        <v>279</v>
      </c>
      <c r="E504" s="2" t="s">
        <v>737</v>
      </c>
      <c r="F504" s="2" t="s">
        <v>281</v>
      </c>
      <c r="G504" s="2" t="s">
        <v>155</v>
      </c>
      <c r="H504" s="2" t="s">
        <v>738</v>
      </c>
      <c r="I504" t="s">
        <v>198</v>
      </c>
      <c r="J504" s="18">
        <v>9050.94</v>
      </c>
      <c r="K504" s="20"/>
      <c r="L504" s="18">
        <v>8404.4704741019905</v>
      </c>
      <c r="M504" s="18">
        <v>-1499.8631381359601</v>
      </c>
      <c r="N504" s="18"/>
      <c r="O504" s="18"/>
      <c r="P504" s="3">
        <v>0</v>
      </c>
      <c r="Q504" s="3">
        <v>0</v>
      </c>
      <c r="R504" s="3">
        <v>0</v>
      </c>
      <c r="S504" s="54">
        <v>7</v>
      </c>
      <c r="T504" s="3" t="b">
        <v>0</v>
      </c>
      <c r="U504" s="3">
        <v>2664</v>
      </c>
      <c r="V504" s="3">
        <v>0</v>
      </c>
      <c r="W504" s="3">
        <v>1719</v>
      </c>
      <c r="X504" s="3">
        <v>17.010000000000002</v>
      </c>
    </row>
    <row r="505" spans="1:24">
      <c r="A505" s="1">
        <v>45108</v>
      </c>
      <c r="B505" s="1" t="s">
        <v>756</v>
      </c>
      <c r="C505" s="2" t="s">
        <v>17</v>
      </c>
      <c r="D505" s="2" t="s">
        <v>279</v>
      </c>
      <c r="E505" s="2" t="s">
        <v>737</v>
      </c>
      <c r="F505" s="2" t="s">
        <v>281</v>
      </c>
      <c r="G505" s="2" t="s">
        <v>155</v>
      </c>
      <c r="H505" s="2" t="s">
        <v>738</v>
      </c>
      <c r="I505" t="s">
        <v>198</v>
      </c>
      <c r="J505" s="18">
        <v>2529.9</v>
      </c>
      <c r="K505" s="20"/>
      <c r="L505" s="18">
        <v>8451.8417092125601</v>
      </c>
      <c r="M505" s="18">
        <v>-6470.2843900276903</v>
      </c>
      <c r="N505" s="18"/>
      <c r="O505" s="18"/>
      <c r="P505" s="3">
        <v>0</v>
      </c>
      <c r="Q505" s="3">
        <v>0</v>
      </c>
      <c r="R505" s="3">
        <v>0</v>
      </c>
      <c r="S505" s="54">
        <v>8</v>
      </c>
      <c r="T505" s="3" t="b">
        <v>1</v>
      </c>
      <c r="U505" s="3">
        <v>2011</v>
      </c>
      <c r="V505" s="3">
        <v>2</v>
      </c>
      <c r="W505" s="3">
        <v>2072</v>
      </c>
      <c r="X505" s="3">
        <v>15.48</v>
      </c>
    </row>
    <row r="506" spans="1:24">
      <c r="A506" s="1">
        <v>45139</v>
      </c>
      <c r="B506" s="1" t="s">
        <v>757</v>
      </c>
      <c r="C506" s="2" t="s">
        <v>17</v>
      </c>
      <c r="D506" s="2" t="s">
        <v>279</v>
      </c>
      <c r="E506" s="2" t="s">
        <v>737</v>
      </c>
      <c r="F506" s="2" t="s">
        <v>281</v>
      </c>
      <c r="G506" s="2" t="s">
        <v>155</v>
      </c>
      <c r="H506" s="2" t="s">
        <v>738</v>
      </c>
      <c r="I506" t="s">
        <v>198</v>
      </c>
      <c r="J506" s="18">
        <v>4152.0600000000004</v>
      </c>
      <c r="K506" s="20"/>
      <c r="L506" s="18">
        <v>8500.7698559348501</v>
      </c>
      <c r="M506" s="18">
        <v>-3832.8814137570098</v>
      </c>
      <c r="N506" s="18"/>
      <c r="O506" s="18"/>
      <c r="P506" s="3">
        <v>0</v>
      </c>
      <c r="Q506" s="3">
        <v>0</v>
      </c>
      <c r="R506" s="3">
        <v>0</v>
      </c>
      <c r="S506" s="54">
        <v>8</v>
      </c>
      <c r="T506" s="3" t="b">
        <v>0</v>
      </c>
      <c r="U506" s="3">
        <v>3156</v>
      </c>
      <c r="V506" s="3">
        <v>1</v>
      </c>
      <c r="W506" s="3">
        <v>2177</v>
      </c>
      <c r="X506" s="3">
        <v>16.55</v>
      </c>
    </row>
    <row r="507" spans="1:24">
      <c r="A507" s="1">
        <v>45170</v>
      </c>
      <c r="B507" s="1" t="s">
        <v>758</v>
      </c>
      <c r="C507" s="2" t="s">
        <v>17</v>
      </c>
      <c r="D507" s="2" t="s">
        <v>279</v>
      </c>
      <c r="E507" s="2" t="s">
        <v>737</v>
      </c>
      <c r="F507" s="2" t="s">
        <v>281</v>
      </c>
      <c r="G507" s="2" t="s">
        <v>155</v>
      </c>
      <c r="H507" s="2" t="s">
        <v>738</v>
      </c>
      <c r="I507" t="s">
        <v>198</v>
      </c>
      <c r="J507" s="18">
        <v>4944.82</v>
      </c>
      <c r="K507" s="20"/>
      <c r="L507" s="18">
        <v>8549.6980029636707</v>
      </c>
      <c r="M507" s="18">
        <v>-3495.0802490900801</v>
      </c>
      <c r="N507" s="18"/>
      <c r="O507" s="18"/>
      <c r="P507" s="3">
        <v>0</v>
      </c>
      <c r="Q507" s="3">
        <v>0</v>
      </c>
      <c r="R507" s="3">
        <v>0</v>
      </c>
      <c r="S507" s="54">
        <v>8</v>
      </c>
      <c r="T507" s="3" t="b">
        <v>0</v>
      </c>
      <c r="U507" s="3">
        <v>2303</v>
      </c>
      <c r="V507" s="3">
        <v>0</v>
      </c>
      <c r="W507" s="3">
        <v>1858</v>
      </c>
      <c r="X507" s="3">
        <v>3</v>
      </c>
    </row>
    <row r="508" spans="1:24">
      <c r="A508" s="1">
        <v>45200</v>
      </c>
      <c r="B508" s="1" t="s">
        <v>759</v>
      </c>
      <c r="C508" s="2" t="s">
        <v>17</v>
      </c>
      <c r="D508" s="2" t="s">
        <v>279</v>
      </c>
      <c r="E508" s="2" t="s">
        <v>737</v>
      </c>
      <c r="F508" s="2" t="s">
        <v>281</v>
      </c>
      <c r="G508" s="2" t="s">
        <v>155</v>
      </c>
      <c r="H508" s="2" t="s">
        <v>738</v>
      </c>
      <c r="I508" t="s">
        <v>198</v>
      </c>
      <c r="J508" s="18">
        <v>7288.05</v>
      </c>
      <c r="K508" s="20"/>
      <c r="L508" s="18">
        <v>8597.02600466074</v>
      </c>
      <c r="M508" s="18">
        <v>-575.189309064344</v>
      </c>
      <c r="N508" s="18"/>
      <c r="O508" s="18"/>
      <c r="P508" s="3">
        <v>0</v>
      </c>
      <c r="Q508" s="3">
        <v>0</v>
      </c>
      <c r="R508" s="3">
        <v>0</v>
      </c>
      <c r="S508" s="54">
        <v>8</v>
      </c>
      <c r="T508" s="3" t="b">
        <v>0</v>
      </c>
      <c r="U508" s="3">
        <v>3763</v>
      </c>
      <c r="V508" s="3">
        <v>0</v>
      </c>
      <c r="W508" s="3">
        <v>2316</v>
      </c>
      <c r="X508" s="3">
        <v>16.3</v>
      </c>
    </row>
    <row r="509" spans="1:24">
      <c r="A509" s="1">
        <v>45231</v>
      </c>
      <c r="B509" s="1" t="s">
        <v>760</v>
      </c>
      <c r="C509" s="2" t="s">
        <v>17</v>
      </c>
      <c r="D509" s="2" t="s">
        <v>279</v>
      </c>
      <c r="E509" s="2" t="s">
        <v>737</v>
      </c>
      <c r="F509" s="2" t="s">
        <v>281</v>
      </c>
      <c r="G509" s="2" t="s">
        <v>155</v>
      </c>
      <c r="H509" s="2" t="s">
        <v>738</v>
      </c>
      <c r="I509" t="s">
        <v>198</v>
      </c>
      <c r="J509" s="18">
        <v>7378</v>
      </c>
      <c r="K509" s="20"/>
      <c r="L509" s="18">
        <v>8645.9316109297197</v>
      </c>
      <c r="M509" s="18">
        <v>-1250.25555816055</v>
      </c>
      <c r="N509" s="18"/>
      <c r="O509" s="18"/>
      <c r="P509" s="3">
        <v>0</v>
      </c>
      <c r="Q509" s="3">
        <v>0</v>
      </c>
      <c r="R509" s="3">
        <v>0</v>
      </c>
      <c r="S509" s="54">
        <v>8</v>
      </c>
      <c r="T509" s="3" t="b">
        <v>0</v>
      </c>
      <c r="U509" s="3">
        <v>4830</v>
      </c>
      <c r="V509" s="3">
        <v>1</v>
      </c>
      <c r="W509" s="3">
        <v>2603</v>
      </c>
      <c r="X509" s="3">
        <v>16.5</v>
      </c>
    </row>
    <row r="510" spans="1:24">
      <c r="A510" s="1">
        <v>45261</v>
      </c>
      <c r="B510" s="1" t="s">
        <v>761</v>
      </c>
      <c r="C510" s="2" t="s">
        <v>17</v>
      </c>
      <c r="D510" s="2" t="s">
        <v>279</v>
      </c>
      <c r="E510" s="2" t="s">
        <v>737</v>
      </c>
      <c r="F510" s="2" t="s">
        <v>281</v>
      </c>
      <c r="G510" s="2" t="s">
        <v>155</v>
      </c>
      <c r="H510" s="2" t="s">
        <v>738</v>
      </c>
      <c r="I510" t="s">
        <v>198</v>
      </c>
      <c r="J510" s="18">
        <v>7492.93</v>
      </c>
      <c r="K510" s="20"/>
      <c r="L510" s="18">
        <v>8693.2596117802896</v>
      </c>
      <c r="M510" s="18">
        <v>-1746.6531791698101</v>
      </c>
      <c r="N510" s="18"/>
      <c r="O510" s="18"/>
      <c r="P510" s="3">
        <v>0</v>
      </c>
      <c r="Q510" s="3">
        <v>0</v>
      </c>
      <c r="R510" s="3">
        <v>0</v>
      </c>
      <c r="S510" s="54">
        <v>8</v>
      </c>
      <c r="T510" s="3" t="b">
        <v>0</v>
      </c>
      <c r="U510" s="3">
        <v>2042</v>
      </c>
      <c r="V510" s="3">
        <v>1</v>
      </c>
      <c r="W510" s="3">
        <v>1049</v>
      </c>
      <c r="X510" s="3">
        <v>17</v>
      </c>
    </row>
    <row r="511" spans="1:24">
      <c r="A511" s="1">
        <v>45292</v>
      </c>
      <c r="B511" s="1" t="s">
        <v>762</v>
      </c>
      <c r="C511" s="2" t="s">
        <v>17</v>
      </c>
      <c r="D511" s="2" t="s">
        <v>279</v>
      </c>
      <c r="E511" s="2" t="s">
        <v>737</v>
      </c>
      <c r="F511" s="2" t="s">
        <v>281</v>
      </c>
      <c r="G511" s="2" t="s">
        <v>155</v>
      </c>
      <c r="H511" s="2" t="s">
        <v>738</v>
      </c>
      <c r="I511" t="s">
        <v>198</v>
      </c>
      <c r="J511" s="18">
        <v>9573.7099999999991</v>
      </c>
      <c r="K511" s="20"/>
      <c r="L511" s="18">
        <v>8742.1652150773207</v>
      </c>
      <c r="M511" s="18">
        <v>524.66928714185599</v>
      </c>
      <c r="N511" s="18"/>
      <c r="O511" s="18"/>
      <c r="P511" s="3">
        <v>0</v>
      </c>
      <c r="Q511" s="3">
        <v>0</v>
      </c>
      <c r="R511" s="3">
        <v>0</v>
      </c>
      <c r="S511" s="54">
        <v>8</v>
      </c>
      <c r="T511" s="3" t="b">
        <v>0</v>
      </c>
      <c r="U511" s="3">
        <v>2943</v>
      </c>
      <c r="V511" s="3">
        <v>0</v>
      </c>
      <c r="W511" s="3">
        <v>1663</v>
      </c>
      <c r="X511" s="3">
        <v>16.559999999999999</v>
      </c>
    </row>
    <row r="512" spans="1:24">
      <c r="A512" s="1">
        <v>45323</v>
      </c>
      <c r="B512" s="1" t="s">
        <v>763</v>
      </c>
      <c r="C512" s="2" t="s">
        <v>17</v>
      </c>
      <c r="D512" s="2" t="s">
        <v>279</v>
      </c>
      <c r="E512" s="2" t="s">
        <v>737</v>
      </c>
      <c r="F512" s="2" t="s">
        <v>281</v>
      </c>
      <c r="G512" s="2" t="s">
        <v>155</v>
      </c>
      <c r="H512" s="2" t="s">
        <v>738</v>
      </c>
      <c r="I512" t="s">
        <v>198</v>
      </c>
      <c r="J512" s="18">
        <v>13461.95</v>
      </c>
      <c r="K512" s="20"/>
      <c r="L512" s="18">
        <v>8791.0659588729104</v>
      </c>
      <c r="M512" s="18">
        <v>3512.9271904911602</v>
      </c>
      <c r="N512" s="18"/>
      <c r="O512" s="18"/>
      <c r="P512" s="3">
        <v>0</v>
      </c>
      <c r="Q512" s="3">
        <v>0</v>
      </c>
      <c r="R512" s="3">
        <v>0</v>
      </c>
      <c r="S512" s="54">
        <v>8</v>
      </c>
      <c r="T512" s="3" t="b">
        <v>0</v>
      </c>
      <c r="U512" s="3">
        <v>4390</v>
      </c>
      <c r="V512" s="3">
        <v>0</v>
      </c>
      <c r="W512" s="3">
        <v>1530</v>
      </c>
      <c r="X512" s="3">
        <v>16.850000000000001</v>
      </c>
    </row>
    <row r="513" spans="1:24">
      <c r="A513" s="1">
        <v>45352</v>
      </c>
      <c r="B513" s="1" t="s">
        <v>764</v>
      </c>
      <c r="C513" s="2" t="s">
        <v>17</v>
      </c>
      <c r="D513" s="2" t="s">
        <v>279</v>
      </c>
      <c r="E513" s="2" t="s">
        <v>737</v>
      </c>
      <c r="F513" s="2" t="s">
        <v>281</v>
      </c>
      <c r="G513" s="2" t="s">
        <v>155</v>
      </c>
      <c r="H513" s="2" t="s">
        <v>738</v>
      </c>
      <c r="I513" t="s">
        <v>198</v>
      </c>
      <c r="J513" s="18">
        <v>13176.54</v>
      </c>
      <c r="K513" s="20"/>
      <c r="L513" s="18">
        <v>8836.8118084485995</v>
      </c>
      <c r="M513" s="18">
        <v>5284.4853024547801</v>
      </c>
      <c r="N513" s="18"/>
      <c r="O513" s="18"/>
      <c r="P513" s="3">
        <v>0</v>
      </c>
      <c r="Q513" s="3">
        <v>0</v>
      </c>
      <c r="R513" s="3">
        <v>0</v>
      </c>
      <c r="S513" s="54">
        <v>8</v>
      </c>
      <c r="T513" s="3" t="b">
        <v>0</v>
      </c>
      <c r="U513" s="3">
        <v>3349</v>
      </c>
      <c r="V513" s="3">
        <v>1</v>
      </c>
      <c r="W513" s="3">
        <v>2635</v>
      </c>
      <c r="X513" s="3">
        <v>15.99</v>
      </c>
    </row>
    <row r="514" spans="1:24">
      <c r="A514" s="1">
        <v>45383</v>
      </c>
      <c r="B514" s="1" t="s">
        <v>765</v>
      </c>
      <c r="C514" s="2" t="s">
        <v>17</v>
      </c>
      <c r="D514" s="2" t="s">
        <v>279</v>
      </c>
      <c r="E514" s="2" t="s">
        <v>737</v>
      </c>
      <c r="F514" s="2" t="s">
        <v>281</v>
      </c>
      <c r="G514" s="2" t="s">
        <v>155</v>
      </c>
      <c r="H514" s="2" t="s">
        <v>738</v>
      </c>
      <c r="I514" t="s">
        <v>198</v>
      </c>
      <c r="J514" s="18">
        <v>13019.4</v>
      </c>
      <c r="K514" s="20"/>
      <c r="L514" s="18">
        <v>8885.7125442019296</v>
      </c>
      <c r="M514" s="18">
        <v>4657.5085256355796</v>
      </c>
      <c r="N514" s="18"/>
      <c r="O514" s="18"/>
      <c r="P514" s="3">
        <v>0</v>
      </c>
      <c r="Q514" s="3">
        <v>0</v>
      </c>
      <c r="R514" s="3">
        <v>0</v>
      </c>
      <c r="S514" s="54">
        <v>8</v>
      </c>
      <c r="T514" s="3" t="b">
        <v>0</v>
      </c>
      <c r="U514" s="3">
        <v>4545</v>
      </c>
      <c r="V514" s="3">
        <v>0</v>
      </c>
      <c r="W514" s="3">
        <v>2083</v>
      </c>
      <c r="X514" s="3">
        <v>15.74</v>
      </c>
    </row>
    <row r="515" spans="1:24">
      <c r="A515" s="1">
        <v>45413</v>
      </c>
      <c r="B515" s="1" t="s">
        <v>766</v>
      </c>
      <c r="C515" s="2" t="s">
        <v>17</v>
      </c>
      <c r="D515" s="2" t="s">
        <v>279</v>
      </c>
      <c r="E515" s="2" t="s">
        <v>737</v>
      </c>
      <c r="F515" s="2" t="s">
        <v>281</v>
      </c>
      <c r="G515" s="2" t="s">
        <v>155</v>
      </c>
      <c r="H515" s="2" t="s">
        <v>738</v>
      </c>
      <c r="I515" t="s">
        <v>198</v>
      </c>
      <c r="J515" s="18">
        <v>10303.200000000001</v>
      </c>
      <c r="K515" s="20"/>
      <c r="L515" s="18">
        <v>8933.0358368664401</v>
      </c>
      <c r="M515" s="18">
        <v>4643.9260173253397</v>
      </c>
      <c r="N515" s="18"/>
      <c r="O515" s="18"/>
      <c r="P515" s="3">
        <v>0</v>
      </c>
      <c r="Q515" s="3">
        <v>0</v>
      </c>
      <c r="R515" s="3">
        <v>0</v>
      </c>
      <c r="S515" s="54">
        <v>8</v>
      </c>
      <c r="T515" s="3" t="b">
        <v>0</v>
      </c>
      <c r="U515" s="3">
        <v>4411</v>
      </c>
      <c r="V515" s="3">
        <v>1</v>
      </c>
      <c r="W515" s="3">
        <v>2190</v>
      </c>
      <c r="X515" s="3">
        <v>17.48</v>
      </c>
    </row>
    <row r="516" spans="1:24">
      <c r="A516" s="1">
        <v>45444</v>
      </c>
      <c r="B516" s="1" t="s">
        <v>767</v>
      </c>
      <c r="C516" s="2" t="s">
        <v>17</v>
      </c>
      <c r="D516" s="2" t="s">
        <v>279</v>
      </c>
      <c r="E516" s="2" t="s">
        <v>737</v>
      </c>
      <c r="F516" s="2" t="s">
        <v>281</v>
      </c>
      <c r="G516" s="2" t="s">
        <v>155</v>
      </c>
      <c r="H516" s="2" t="s">
        <v>738</v>
      </c>
      <c r="I516" t="s">
        <v>198</v>
      </c>
      <c r="J516" s="18">
        <v>4668.84</v>
      </c>
      <c r="K516" s="20"/>
      <c r="L516" s="18">
        <v>8981.9365726197702</v>
      </c>
      <c r="M516" s="18">
        <v>-2369.3469806098601</v>
      </c>
      <c r="N516" s="18"/>
      <c r="O516" s="18"/>
      <c r="P516" s="3">
        <v>0</v>
      </c>
      <c r="Q516" s="3">
        <v>0</v>
      </c>
      <c r="R516" s="3">
        <v>0</v>
      </c>
      <c r="S516" s="54">
        <v>8</v>
      </c>
      <c r="T516" s="3" t="b">
        <v>0</v>
      </c>
      <c r="U516" s="3">
        <v>2890</v>
      </c>
      <c r="V516" s="3">
        <v>0</v>
      </c>
      <c r="W516" s="3">
        <v>2225</v>
      </c>
      <c r="X516" s="3">
        <v>18.03</v>
      </c>
    </row>
    <row r="517" spans="1:24">
      <c r="A517" s="1">
        <v>45474</v>
      </c>
      <c r="B517" s="1" t="s">
        <v>768</v>
      </c>
      <c r="C517" s="2" t="s">
        <v>17</v>
      </c>
      <c r="D517" s="2" t="s">
        <v>279</v>
      </c>
      <c r="E517" s="2" t="s">
        <v>737</v>
      </c>
      <c r="F517" s="2" t="s">
        <v>281</v>
      </c>
      <c r="G517" s="2" t="s">
        <v>155</v>
      </c>
      <c r="H517" s="2" t="s">
        <v>738</v>
      </c>
      <c r="I517" t="s">
        <v>198</v>
      </c>
      <c r="J517" s="18">
        <v>1788.75</v>
      </c>
      <c r="K517" s="20">
        <v>2003.4</v>
      </c>
      <c r="L517" s="18">
        <v>9029.2598652842807</v>
      </c>
      <c r="M517" s="18">
        <v>-5776.32171570233</v>
      </c>
      <c r="N517" s="18">
        <v>1502.5500000000002</v>
      </c>
      <c r="O517" s="18">
        <v>2444.1480000000001</v>
      </c>
      <c r="P517" s="3">
        <v>0</v>
      </c>
      <c r="Q517" s="3">
        <v>0</v>
      </c>
      <c r="R517" s="3">
        <v>0</v>
      </c>
      <c r="S517" s="54">
        <v>9</v>
      </c>
      <c r="T517" s="3" t="b">
        <v>0</v>
      </c>
      <c r="U517" s="3">
        <v>4474</v>
      </c>
      <c r="V517" s="3">
        <v>0</v>
      </c>
      <c r="W517" s="3">
        <v>1856</v>
      </c>
      <c r="X517" s="3">
        <v>18.53</v>
      </c>
    </row>
    <row r="518" spans="1:24">
      <c r="A518" s="1">
        <v>45505</v>
      </c>
      <c r="B518" s="1" t="s">
        <v>769</v>
      </c>
      <c r="C518" s="2" t="s">
        <v>17</v>
      </c>
      <c r="D518" s="2" t="s">
        <v>279</v>
      </c>
      <c r="E518" s="2" t="s">
        <v>737</v>
      </c>
      <c r="F518" s="2" t="s">
        <v>281</v>
      </c>
      <c r="G518" s="2" t="s">
        <v>155</v>
      </c>
      <c r="H518" s="2" t="s">
        <v>738</v>
      </c>
      <c r="I518" t="s">
        <v>198</v>
      </c>
      <c r="J518" s="18">
        <v>4250.34</v>
      </c>
      <c r="K518" s="20">
        <v>4037.8229999999999</v>
      </c>
      <c r="L518" s="18">
        <v>9078.1606010376108</v>
      </c>
      <c r="M518" s="18">
        <v>-4499.32396921485</v>
      </c>
      <c r="N518" s="18">
        <v>3553.28424</v>
      </c>
      <c r="O518" s="18">
        <v>5128.03521</v>
      </c>
      <c r="P518" s="3">
        <v>0</v>
      </c>
      <c r="Q518" s="3">
        <v>0</v>
      </c>
      <c r="R518" s="3">
        <v>0</v>
      </c>
      <c r="S518" s="54">
        <v>9</v>
      </c>
      <c r="T518" s="3" t="b">
        <v>0</v>
      </c>
      <c r="U518" s="3">
        <v>3004</v>
      </c>
      <c r="V518" s="3">
        <v>0</v>
      </c>
      <c r="W518" s="3">
        <v>1145</v>
      </c>
      <c r="X518" s="3">
        <v>16.190000000000001</v>
      </c>
    </row>
    <row r="519" spans="1:24">
      <c r="A519" s="1">
        <v>45536</v>
      </c>
      <c r="B519" s="1" t="s">
        <v>770</v>
      </c>
      <c r="C519" s="2" t="s">
        <v>17</v>
      </c>
      <c r="D519" s="2" t="s">
        <v>279</v>
      </c>
      <c r="E519" s="2" t="s">
        <v>737</v>
      </c>
      <c r="F519" s="2" t="s">
        <v>281</v>
      </c>
      <c r="G519" s="2" t="s">
        <v>155</v>
      </c>
      <c r="H519" s="2" t="s">
        <v>738</v>
      </c>
      <c r="I519" t="s">
        <v>198</v>
      </c>
      <c r="J519" s="18">
        <v>5837.4</v>
      </c>
      <c r="K519" s="20">
        <v>5603.9039999999995</v>
      </c>
      <c r="L519" s="18">
        <v>9127.06133679093</v>
      </c>
      <c r="M519" s="18">
        <v>-2767.9083512952898</v>
      </c>
      <c r="N519" s="18">
        <v>4651.240319999999</v>
      </c>
      <c r="O519" s="18">
        <v>6108.2553600000001</v>
      </c>
      <c r="P519" s="3">
        <v>0</v>
      </c>
      <c r="Q519" s="3">
        <v>0</v>
      </c>
      <c r="R519" s="3">
        <v>0</v>
      </c>
      <c r="S519" s="54">
        <v>9</v>
      </c>
      <c r="T519" s="3" t="b">
        <v>0</v>
      </c>
      <c r="U519" s="3">
        <v>2020</v>
      </c>
      <c r="V519" s="3">
        <v>0</v>
      </c>
      <c r="W519" s="3">
        <v>1914</v>
      </c>
      <c r="X519" s="3">
        <v>17.8</v>
      </c>
    </row>
    <row r="520" spans="1:24">
      <c r="A520" s="1">
        <v>45566</v>
      </c>
      <c r="B520" s="1" t="s">
        <v>771</v>
      </c>
      <c r="C520" s="2" t="s">
        <v>17</v>
      </c>
      <c r="D520" s="2" t="s">
        <v>279</v>
      </c>
      <c r="E520" s="2" t="s">
        <v>737</v>
      </c>
      <c r="F520" s="2" t="s">
        <v>281</v>
      </c>
      <c r="G520" s="2" t="s">
        <v>155</v>
      </c>
      <c r="H520" s="2" t="s">
        <v>738</v>
      </c>
      <c r="I520" t="s">
        <v>224</v>
      </c>
      <c r="J520" s="18"/>
      <c r="K520" s="20">
        <v>6383.4642000000003</v>
      </c>
      <c r="L520" s="18">
        <v>9174.3846294554405</v>
      </c>
      <c r="M520" s="18">
        <v>-1207.1117100930001</v>
      </c>
      <c r="N520" s="18">
        <v>5745.1177800000005</v>
      </c>
      <c r="O520" s="18">
        <v>7340.9838300000001</v>
      </c>
      <c r="P520" s="3"/>
      <c r="Q520" s="3"/>
      <c r="R520" s="3"/>
      <c r="S520" s="3"/>
      <c r="T520" s="3"/>
      <c r="U520" s="3"/>
      <c r="V520" s="3"/>
      <c r="W520" s="3">
        <v>2699</v>
      </c>
      <c r="X520" s="3">
        <v>18.850000000000001</v>
      </c>
    </row>
    <row r="521" spans="1:24">
      <c r="A521" s="1">
        <v>45597</v>
      </c>
      <c r="B521" s="1" t="s">
        <v>772</v>
      </c>
      <c r="C521" s="2" t="s">
        <v>17</v>
      </c>
      <c r="D521" s="2" t="s">
        <v>279</v>
      </c>
      <c r="E521" s="2" t="s">
        <v>737</v>
      </c>
      <c r="F521" s="2" t="s">
        <v>281</v>
      </c>
      <c r="G521" s="2" t="s">
        <v>155</v>
      </c>
      <c r="H521" s="2" t="s">
        <v>738</v>
      </c>
      <c r="I521" t="s">
        <v>224</v>
      </c>
      <c r="J521" s="18"/>
      <c r="K521" s="20">
        <v>8256.8127000000004</v>
      </c>
      <c r="L521" s="18">
        <v>9223.2853652087706</v>
      </c>
      <c r="M521" s="18">
        <v>-622.54617572783297</v>
      </c>
      <c r="N521" s="18">
        <v>7843.9720649999999</v>
      </c>
      <c r="O521" s="18">
        <v>8669.6533350000009</v>
      </c>
      <c r="P521" s="3"/>
      <c r="Q521" s="3"/>
      <c r="R521" s="3"/>
      <c r="S521" s="3"/>
      <c r="T521" s="3"/>
      <c r="U521" s="3"/>
      <c r="V521" s="3"/>
      <c r="W521" s="3">
        <v>2993</v>
      </c>
      <c r="X521" s="3">
        <v>16.309999999999999</v>
      </c>
    </row>
    <row r="522" spans="1:24">
      <c r="A522" s="1">
        <v>45627</v>
      </c>
      <c r="B522" s="1" t="s">
        <v>773</v>
      </c>
      <c r="C522" s="2" t="s">
        <v>17</v>
      </c>
      <c r="D522" s="2" t="s">
        <v>279</v>
      </c>
      <c r="E522" s="2" t="s">
        <v>737</v>
      </c>
      <c r="F522" s="2" t="s">
        <v>281</v>
      </c>
      <c r="G522" s="2" t="s">
        <v>155</v>
      </c>
      <c r="H522" s="2" t="s">
        <v>738</v>
      </c>
      <c r="I522" t="s">
        <v>224</v>
      </c>
      <c r="J522" s="18"/>
      <c r="K522" s="20">
        <v>5188.6507000000001</v>
      </c>
      <c r="L522" s="18">
        <v>9270.6086578732793</v>
      </c>
      <c r="M522" s="18">
        <v>-2390.9722254939502</v>
      </c>
      <c r="N522" s="18">
        <v>4150.9205600000005</v>
      </c>
      <c r="O522" s="18">
        <v>5863.1752909999996</v>
      </c>
      <c r="P522" s="3"/>
      <c r="Q522" s="3"/>
      <c r="R522" s="3"/>
      <c r="S522" s="3"/>
      <c r="T522" s="3"/>
      <c r="U522" s="3"/>
      <c r="V522" s="3"/>
      <c r="W522" s="3">
        <v>1992</v>
      </c>
      <c r="X522" s="3">
        <v>14.2</v>
      </c>
    </row>
    <row r="523" spans="1:24" hidden="1">
      <c r="A523" s="1">
        <v>44562</v>
      </c>
      <c r="B523" s="1" t="s">
        <v>774</v>
      </c>
      <c r="C523" s="2" t="s">
        <v>775</v>
      </c>
      <c r="D523" s="2" t="s">
        <v>279</v>
      </c>
      <c r="E523" s="2" t="s">
        <v>737</v>
      </c>
      <c r="F523" s="2" t="s">
        <v>281</v>
      </c>
      <c r="G523" s="2" t="s">
        <v>141</v>
      </c>
      <c r="H523" s="2" t="s">
        <v>776</v>
      </c>
      <c r="I523" t="s">
        <v>198</v>
      </c>
      <c r="J523" s="18">
        <v>17954.29</v>
      </c>
      <c r="K523" s="18"/>
      <c r="L523" s="18">
        <v>18059.254693620001</v>
      </c>
      <c r="M523" s="18">
        <v>-229.79987975912599</v>
      </c>
      <c r="N523" s="18"/>
      <c r="O523" s="18"/>
      <c r="P523" s="3">
        <v>0</v>
      </c>
      <c r="Q523" s="3">
        <v>0</v>
      </c>
      <c r="R523" s="3">
        <v>0</v>
      </c>
      <c r="S523" s="3"/>
      <c r="T523" s="3" t="b">
        <v>0</v>
      </c>
      <c r="U523" s="3">
        <v>2172</v>
      </c>
      <c r="V523" s="3">
        <v>0</v>
      </c>
      <c r="W523" s="3">
        <v>1367</v>
      </c>
      <c r="X523" s="3">
        <v>10.06</v>
      </c>
    </row>
    <row r="524" spans="1:24" hidden="1">
      <c r="A524" s="1">
        <v>44593</v>
      </c>
      <c r="B524" s="1" t="s">
        <v>777</v>
      </c>
      <c r="C524" s="2" t="s">
        <v>775</v>
      </c>
      <c r="D524" s="2" t="s">
        <v>279</v>
      </c>
      <c r="E524" s="2" t="s">
        <v>737</v>
      </c>
      <c r="F524" s="2" t="s">
        <v>281</v>
      </c>
      <c r="G524" s="2" t="s">
        <v>141</v>
      </c>
      <c r="H524" s="2" t="s">
        <v>776</v>
      </c>
      <c r="I524" t="s">
        <v>198</v>
      </c>
      <c r="J524" s="18">
        <v>17621.05</v>
      </c>
      <c r="K524" s="18"/>
      <c r="L524" s="18">
        <v>18173.097652327499</v>
      </c>
      <c r="M524" s="18">
        <v>-463.69749184628</v>
      </c>
      <c r="N524" s="18"/>
      <c r="O524" s="18"/>
      <c r="P524" s="3">
        <v>0</v>
      </c>
      <c r="Q524" s="3">
        <v>0</v>
      </c>
      <c r="R524" s="3">
        <v>0</v>
      </c>
      <c r="S524" s="3"/>
      <c r="T524" s="3" t="b">
        <v>0</v>
      </c>
      <c r="U524" s="3">
        <v>2671</v>
      </c>
      <c r="V524" s="3">
        <v>1</v>
      </c>
      <c r="W524" s="3">
        <v>2243</v>
      </c>
      <c r="X524" s="3">
        <v>10.85</v>
      </c>
    </row>
    <row r="525" spans="1:24" hidden="1">
      <c r="A525" s="1">
        <v>44621</v>
      </c>
      <c r="B525" s="1" t="s">
        <v>778</v>
      </c>
      <c r="C525" s="2" t="s">
        <v>775</v>
      </c>
      <c r="D525" s="2" t="s">
        <v>279</v>
      </c>
      <c r="E525" s="2" t="s">
        <v>737</v>
      </c>
      <c r="F525" s="2" t="s">
        <v>281</v>
      </c>
      <c r="G525" s="2" t="s">
        <v>141</v>
      </c>
      <c r="H525" s="2" t="s">
        <v>776</v>
      </c>
      <c r="I525" t="s">
        <v>198</v>
      </c>
      <c r="J525" s="18">
        <v>18655.509999999998</v>
      </c>
      <c r="K525" s="18"/>
      <c r="L525" s="18">
        <v>18275.923550312302</v>
      </c>
      <c r="M525" s="18">
        <v>-226.97965825442299</v>
      </c>
      <c r="N525" s="18"/>
      <c r="O525" s="18"/>
      <c r="P525" s="3">
        <v>0</v>
      </c>
      <c r="Q525" s="3">
        <v>0</v>
      </c>
      <c r="R525" s="3">
        <v>0</v>
      </c>
      <c r="S525" s="3"/>
      <c r="T525" s="3" t="b">
        <v>1</v>
      </c>
      <c r="U525" s="3">
        <v>2163</v>
      </c>
      <c r="V525" s="3">
        <v>0</v>
      </c>
      <c r="W525" s="3">
        <v>2360</v>
      </c>
      <c r="X525" s="3">
        <v>12.25</v>
      </c>
    </row>
    <row r="526" spans="1:24" hidden="1">
      <c r="A526" s="1">
        <v>44652</v>
      </c>
      <c r="B526" s="1" t="s">
        <v>779</v>
      </c>
      <c r="C526" s="2" t="s">
        <v>775</v>
      </c>
      <c r="D526" s="2" t="s">
        <v>279</v>
      </c>
      <c r="E526" s="2" t="s">
        <v>737</v>
      </c>
      <c r="F526" s="2" t="s">
        <v>281</v>
      </c>
      <c r="G526" s="2" t="s">
        <v>141</v>
      </c>
      <c r="H526" s="2" t="s">
        <v>776</v>
      </c>
      <c r="I526" t="s">
        <v>198</v>
      </c>
      <c r="J526" s="18">
        <v>18815.48</v>
      </c>
      <c r="K526" s="18"/>
      <c r="L526" s="18">
        <v>18389.7665087758</v>
      </c>
      <c r="M526" s="18">
        <v>-351.08354051563703</v>
      </c>
      <c r="N526" s="18"/>
      <c r="O526" s="18"/>
      <c r="P526" s="3">
        <v>0</v>
      </c>
      <c r="Q526" s="3">
        <v>0</v>
      </c>
      <c r="R526" s="3">
        <v>0</v>
      </c>
      <c r="S526" s="3"/>
      <c r="T526" s="3" t="b">
        <v>0</v>
      </c>
      <c r="U526" s="3">
        <v>2464</v>
      </c>
      <c r="V526" s="3">
        <v>1</v>
      </c>
      <c r="W526" s="3">
        <v>2246</v>
      </c>
      <c r="X526" s="3">
        <v>11.29</v>
      </c>
    </row>
    <row r="527" spans="1:24" hidden="1">
      <c r="A527" s="1">
        <v>44682</v>
      </c>
      <c r="B527" s="1" t="s">
        <v>780</v>
      </c>
      <c r="C527" s="2" t="s">
        <v>775</v>
      </c>
      <c r="D527" s="2" t="s">
        <v>279</v>
      </c>
      <c r="E527" s="2" t="s">
        <v>737</v>
      </c>
      <c r="F527" s="2" t="s">
        <v>281</v>
      </c>
      <c r="G527" s="2" t="s">
        <v>141</v>
      </c>
      <c r="H527" s="2" t="s">
        <v>776</v>
      </c>
      <c r="I527" t="s">
        <v>198</v>
      </c>
      <c r="J527" s="18">
        <v>19135.93</v>
      </c>
      <c r="K527" s="18"/>
      <c r="L527" s="18">
        <v>18499.937113590098</v>
      </c>
      <c r="M527" s="18">
        <v>-407.67912688707798</v>
      </c>
      <c r="N527" s="18"/>
      <c r="O527" s="18"/>
      <c r="P527" s="3">
        <v>0</v>
      </c>
      <c r="Q527" s="3">
        <v>0</v>
      </c>
      <c r="R527" s="3">
        <v>0</v>
      </c>
      <c r="S527" s="3"/>
      <c r="T527" s="3" t="b">
        <v>1</v>
      </c>
      <c r="U527" s="3">
        <v>2496</v>
      </c>
      <c r="V527" s="3">
        <v>1</v>
      </c>
      <c r="W527" s="3">
        <v>2671</v>
      </c>
      <c r="X527" s="3">
        <v>9.73</v>
      </c>
    </row>
    <row r="528" spans="1:24" hidden="1">
      <c r="A528" s="1">
        <v>44713</v>
      </c>
      <c r="B528" s="1" t="s">
        <v>781</v>
      </c>
      <c r="C528" s="2" t="s">
        <v>775</v>
      </c>
      <c r="D528" s="2" t="s">
        <v>279</v>
      </c>
      <c r="E528" s="2" t="s">
        <v>737</v>
      </c>
      <c r="F528" s="2" t="s">
        <v>281</v>
      </c>
      <c r="G528" s="2" t="s">
        <v>141</v>
      </c>
      <c r="H528" s="2" t="s">
        <v>776</v>
      </c>
      <c r="I528" t="s">
        <v>198</v>
      </c>
      <c r="J528" s="18">
        <v>18952.29</v>
      </c>
      <c r="K528" s="18"/>
      <c r="L528" s="18">
        <v>18613.780071598801</v>
      </c>
      <c r="M528" s="18">
        <v>824.16056497255101</v>
      </c>
      <c r="N528" s="18"/>
      <c r="O528" s="18"/>
      <c r="P528" s="3">
        <v>0</v>
      </c>
      <c r="Q528" s="3">
        <v>0</v>
      </c>
      <c r="R528" s="3">
        <v>0</v>
      </c>
      <c r="S528" s="3"/>
      <c r="T528" s="3" t="b">
        <v>1</v>
      </c>
      <c r="U528" s="3">
        <v>2699</v>
      </c>
      <c r="V528" s="3">
        <v>0</v>
      </c>
      <c r="W528" s="3">
        <v>2791</v>
      </c>
      <c r="X528" s="3">
        <v>10.81</v>
      </c>
    </row>
    <row r="529" spans="1:24" hidden="1">
      <c r="A529" s="1">
        <v>44743</v>
      </c>
      <c r="B529" s="1" t="s">
        <v>782</v>
      </c>
      <c r="C529" s="2" t="s">
        <v>775</v>
      </c>
      <c r="D529" s="2" t="s">
        <v>279</v>
      </c>
      <c r="E529" s="2" t="s">
        <v>737</v>
      </c>
      <c r="F529" s="2" t="s">
        <v>281</v>
      </c>
      <c r="G529" s="2" t="s">
        <v>141</v>
      </c>
      <c r="H529" s="2" t="s">
        <v>776</v>
      </c>
      <c r="I529" t="s">
        <v>198</v>
      </c>
      <c r="J529" s="18">
        <v>18884.939999999999</v>
      </c>
      <c r="K529" s="18"/>
      <c r="L529" s="18">
        <v>18723.950676061799</v>
      </c>
      <c r="M529" s="18">
        <v>-542.227149162518</v>
      </c>
      <c r="N529" s="18"/>
      <c r="O529" s="18"/>
      <c r="P529" s="3">
        <v>0</v>
      </c>
      <c r="Q529" s="3">
        <v>0</v>
      </c>
      <c r="R529" s="3">
        <v>0</v>
      </c>
      <c r="S529" s="3"/>
      <c r="T529" s="3" t="b">
        <v>0</v>
      </c>
      <c r="U529" s="3">
        <v>4442</v>
      </c>
      <c r="V529" s="3">
        <v>0</v>
      </c>
      <c r="W529" s="3">
        <v>1359</v>
      </c>
      <c r="X529" s="3">
        <v>10.52</v>
      </c>
    </row>
    <row r="530" spans="1:24" hidden="1">
      <c r="A530" s="1">
        <v>44774</v>
      </c>
      <c r="B530" s="1" t="s">
        <v>783</v>
      </c>
      <c r="C530" s="2" t="s">
        <v>775</v>
      </c>
      <c r="D530" s="2" t="s">
        <v>279</v>
      </c>
      <c r="E530" s="2" t="s">
        <v>737</v>
      </c>
      <c r="F530" s="2" t="s">
        <v>281</v>
      </c>
      <c r="G530" s="2" t="s">
        <v>141</v>
      </c>
      <c r="H530" s="2" t="s">
        <v>776</v>
      </c>
      <c r="I530" t="s">
        <v>198</v>
      </c>
      <c r="J530" s="18">
        <v>18870.95</v>
      </c>
      <c r="K530" s="18"/>
      <c r="L530" s="18">
        <v>18837.793634408499</v>
      </c>
      <c r="M530" s="18">
        <v>-493.32434307723901</v>
      </c>
      <c r="N530" s="18"/>
      <c r="O530" s="18"/>
      <c r="P530" s="3">
        <v>0</v>
      </c>
      <c r="Q530" s="3">
        <v>0</v>
      </c>
      <c r="R530" s="3">
        <v>0</v>
      </c>
      <c r="S530" s="3"/>
      <c r="T530" s="3" t="b">
        <v>0</v>
      </c>
      <c r="U530" s="3">
        <v>2702</v>
      </c>
      <c r="V530" s="3">
        <v>0</v>
      </c>
      <c r="W530" s="3">
        <v>1920</v>
      </c>
      <c r="X530" s="3">
        <v>10.72</v>
      </c>
    </row>
    <row r="531" spans="1:24" hidden="1">
      <c r="A531" s="1">
        <v>44805</v>
      </c>
      <c r="B531" s="1" t="s">
        <v>784</v>
      </c>
      <c r="C531" s="2" t="s">
        <v>775</v>
      </c>
      <c r="D531" s="2" t="s">
        <v>279</v>
      </c>
      <c r="E531" s="2" t="s">
        <v>737</v>
      </c>
      <c r="F531" s="2" t="s">
        <v>281</v>
      </c>
      <c r="G531" s="2" t="s">
        <v>141</v>
      </c>
      <c r="H531" s="2" t="s">
        <v>776</v>
      </c>
      <c r="I531" t="s">
        <v>198</v>
      </c>
      <c r="J531" s="18">
        <v>18818</v>
      </c>
      <c r="K531" s="18"/>
      <c r="L531" s="18">
        <v>18951.636597957</v>
      </c>
      <c r="M531" s="18">
        <v>1929.3030480332</v>
      </c>
      <c r="N531" s="18"/>
      <c r="O531" s="18"/>
      <c r="P531" s="3">
        <v>0</v>
      </c>
      <c r="Q531" s="3">
        <v>0</v>
      </c>
      <c r="R531" s="3">
        <v>0</v>
      </c>
      <c r="S531" s="3"/>
      <c r="T531" s="3" t="b">
        <v>0</v>
      </c>
      <c r="U531" s="3">
        <v>3940</v>
      </c>
      <c r="V531" s="3">
        <v>0</v>
      </c>
      <c r="W531" s="3">
        <v>1328</v>
      </c>
      <c r="X531" s="3">
        <v>11.91</v>
      </c>
    </row>
    <row r="532" spans="1:24" hidden="1">
      <c r="A532" s="1">
        <v>44835</v>
      </c>
      <c r="B532" s="1" t="s">
        <v>785</v>
      </c>
      <c r="C532" s="2" t="s">
        <v>775</v>
      </c>
      <c r="D532" s="2" t="s">
        <v>279</v>
      </c>
      <c r="E532" s="2" t="s">
        <v>737</v>
      </c>
      <c r="F532" s="2" t="s">
        <v>281</v>
      </c>
      <c r="G532" s="2" t="s">
        <v>141</v>
      </c>
      <c r="H532" s="2" t="s">
        <v>776</v>
      </c>
      <c r="I532" t="s">
        <v>198</v>
      </c>
      <c r="J532" s="18">
        <v>19072.78</v>
      </c>
      <c r="K532" s="18"/>
      <c r="L532" s="18">
        <v>19062.1491797993</v>
      </c>
      <c r="M532" s="18">
        <v>-348.55035502598099</v>
      </c>
      <c r="N532" s="18"/>
      <c r="O532" s="18"/>
      <c r="P532" s="3">
        <v>0</v>
      </c>
      <c r="Q532" s="3">
        <v>0</v>
      </c>
      <c r="R532" s="3">
        <v>0</v>
      </c>
      <c r="S532" s="3"/>
      <c r="T532" s="3" t="b">
        <v>0</v>
      </c>
      <c r="U532" s="3">
        <v>4355</v>
      </c>
      <c r="V532" s="3">
        <v>1</v>
      </c>
      <c r="W532" s="3">
        <v>1961</v>
      </c>
      <c r="X532" s="3">
        <v>11.68</v>
      </c>
    </row>
    <row r="533" spans="1:24" hidden="1">
      <c r="A533" s="1">
        <v>44866</v>
      </c>
      <c r="B533" s="1" t="s">
        <v>786</v>
      </c>
      <c r="C533" s="2" t="s">
        <v>775</v>
      </c>
      <c r="D533" s="2" t="s">
        <v>279</v>
      </c>
      <c r="E533" s="2" t="s">
        <v>737</v>
      </c>
      <c r="F533" s="2" t="s">
        <v>281</v>
      </c>
      <c r="G533" s="2" t="s">
        <v>141</v>
      </c>
      <c r="H533" s="2" t="s">
        <v>776</v>
      </c>
      <c r="I533" t="s">
        <v>198</v>
      </c>
      <c r="J533" s="18">
        <v>18974.060000000001</v>
      </c>
      <c r="K533" s="18"/>
      <c r="L533" s="18">
        <v>19176.464861424301</v>
      </c>
      <c r="M533" s="18">
        <v>-34.758140820811803</v>
      </c>
      <c r="N533" s="18"/>
      <c r="O533" s="18"/>
      <c r="P533" s="3">
        <v>0</v>
      </c>
      <c r="Q533" s="3">
        <v>0</v>
      </c>
      <c r="R533" s="3">
        <v>0</v>
      </c>
      <c r="S533" s="3"/>
      <c r="T533" s="3" t="b">
        <v>0</v>
      </c>
      <c r="U533" s="3">
        <v>3791</v>
      </c>
      <c r="V533" s="3">
        <v>0</v>
      </c>
      <c r="W533" s="3">
        <v>1462</v>
      </c>
      <c r="X533" s="3">
        <v>10.72</v>
      </c>
    </row>
    <row r="534" spans="1:24" hidden="1">
      <c r="A534" s="1">
        <v>44896</v>
      </c>
      <c r="B534" s="1" t="s">
        <v>787</v>
      </c>
      <c r="C534" s="2" t="s">
        <v>775</v>
      </c>
      <c r="D534" s="2" t="s">
        <v>279</v>
      </c>
      <c r="E534" s="2" t="s">
        <v>737</v>
      </c>
      <c r="F534" s="2" t="s">
        <v>281</v>
      </c>
      <c r="G534" s="2" t="s">
        <v>141</v>
      </c>
      <c r="H534" s="2" t="s">
        <v>776</v>
      </c>
      <c r="I534" t="s">
        <v>198</v>
      </c>
      <c r="J534" s="18">
        <v>18838.34</v>
      </c>
      <c r="K534" s="18"/>
      <c r="L534" s="18">
        <v>19287.109810201498</v>
      </c>
      <c r="M534" s="18">
        <v>-335.77261952450698</v>
      </c>
      <c r="N534" s="18"/>
      <c r="O534" s="18"/>
      <c r="P534" s="3">
        <v>0</v>
      </c>
      <c r="Q534" s="3">
        <v>0</v>
      </c>
      <c r="R534" s="3">
        <v>0</v>
      </c>
      <c r="S534" s="3"/>
      <c r="T534" s="3" t="b">
        <v>0</v>
      </c>
      <c r="U534" s="3">
        <v>2182</v>
      </c>
      <c r="V534" s="3">
        <v>1</v>
      </c>
      <c r="W534" s="3">
        <v>1945</v>
      </c>
      <c r="X534" s="3">
        <v>10.24</v>
      </c>
    </row>
    <row r="535" spans="1:24" hidden="1">
      <c r="A535" s="1">
        <v>44927</v>
      </c>
      <c r="B535" s="1" t="s">
        <v>788</v>
      </c>
      <c r="C535" s="2" t="s">
        <v>775</v>
      </c>
      <c r="D535" s="2" t="s">
        <v>279</v>
      </c>
      <c r="E535" s="2" t="s">
        <v>737</v>
      </c>
      <c r="F535" s="2" t="s">
        <v>281</v>
      </c>
      <c r="G535" s="2" t="s">
        <v>141</v>
      </c>
      <c r="H535" s="2" t="s">
        <v>776</v>
      </c>
      <c r="I535" t="s">
        <v>198</v>
      </c>
      <c r="J535" s="18">
        <v>18698.650000000001</v>
      </c>
      <c r="K535" s="18"/>
      <c r="L535" s="18">
        <v>19401.590580520799</v>
      </c>
      <c r="M535" s="18">
        <v>-383.46619707493102</v>
      </c>
      <c r="N535" s="18"/>
      <c r="O535" s="18"/>
      <c r="P535" s="3">
        <v>0</v>
      </c>
      <c r="Q535" s="3">
        <v>0</v>
      </c>
      <c r="R535" s="3">
        <v>0</v>
      </c>
      <c r="S535" s="3"/>
      <c r="T535" s="3" t="b">
        <v>0</v>
      </c>
      <c r="U535" s="3">
        <v>2628</v>
      </c>
      <c r="V535" s="3">
        <v>0</v>
      </c>
      <c r="W535" s="3">
        <v>1962</v>
      </c>
      <c r="X535" s="3">
        <v>9.9600000000000009</v>
      </c>
    </row>
    <row r="536" spans="1:24" hidden="1">
      <c r="A536" s="1">
        <v>44958</v>
      </c>
      <c r="B536" s="1" t="s">
        <v>789</v>
      </c>
      <c r="C536" s="2" t="s">
        <v>775</v>
      </c>
      <c r="D536" s="2" t="s">
        <v>279</v>
      </c>
      <c r="E536" s="2" t="s">
        <v>737</v>
      </c>
      <c r="F536" s="2" t="s">
        <v>281</v>
      </c>
      <c r="G536" s="2" t="s">
        <v>141</v>
      </c>
      <c r="H536" s="2" t="s">
        <v>776</v>
      </c>
      <c r="I536" t="s">
        <v>198</v>
      </c>
      <c r="J536" s="18">
        <v>19456.349999999999</v>
      </c>
      <c r="K536" s="18"/>
      <c r="L536" s="18">
        <v>19516.3803142736</v>
      </c>
      <c r="M536" s="18">
        <v>-324.318108581096</v>
      </c>
      <c r="N536" s="18"/>
      <c r="O536" s="18"/>
      <c r="P536" s="3">
        <v>0</v>
      </c>
      <c r="Q536" s="3">
        <v>0</v>
      </c>
      <c r="R536" s="3">
        <v>0</v>
      </c>
      <c r="S536" s="3"/>
      <c r="T536" s="3" t="b">
        <v>0</v>
      </c>
      <c r="U536" s="3">
        <v>4557</v>
      </c>
      <c r="V536" s="3">
        <v>2</v>
      </c>
      <c r="W536" s="3">
        <v>2584</v>
      </c>
      <c r="X536" s="3">
        <v>11.92</v>
      </c>
    </row>
    <row r="537" spans="1:24" hidden="1">
      <c r="A537" s="1">
        <v>44986</v>
      </c>
      <c r="B537" s="1" t="s">
        <v>790</v>
      </c>
      <c r="C537" s="2" t="s">
        <v>775</v>
      </c>
      <c r="D537" s="2" t="s">
        <v>279</v>
      </c>
      <c r="E537" s="2" t="s">
        <v>737</v>
      </c>
      <c r="F537" s="2" t="s">
        <v>281</v>
      </c>
      <c r="G537" s="2" t="s">
        <v>141</v>
      </c>
      <c r="H537" s="2" t="s">
        <v>776</v>
      </c>
      <c r="I537" t="s">
        <v>198</v>
      </c>
      <c r="J537" s="18">
        <v>19264.11</v>
      </c>
      <c r="K537" s="18"/>
      <c r="L537" s="18">
        <v>19620.1345514975</v>
      </c>
      <c r="M537" s="18">
        <v>-366.03120559210299</v>
      </c>
      <c r="N537" s="18"/>
      <c r="O537" s="18"/>
      <c r="P537" s="3">
        <v>0</v>
      </c>
      <c r="Q537" s="3">
        <v>0</v>
      </c>
      <c r="R537" s="3">
        <v>0</v>
      </c>
      <c r="S537" s="3"/>
      <c r="T537" s="3" t="b">
        <v>0</v>
      </c>
      <c r="U537" s="3">
        <v>3731</v>
      </c>
      <c r="V537" s="3">
        <v>0</v>
      </c>
      <c r="W537" s="3">
        <v>2827</v>
      </c>
      <c r="X537" s="3">
        <v>10.63</v>
      </c>
    </row>
    <row r="538" spans="1:24" hidden="1">
      <c r="A538" s="1">
        <v>45017</v>
      </c>
      <c r="B538" s="1" t="s">
        <v>791</v>
      </c>
      <c r="C538" s="2" t="s">
        <v>775</v>
      </c>
      <c r="D538" s="2" t="s">
        <v>279</v>
      </c>
      <c r="E538" s="2" t="s">
        <v>737</v>
      </c>
      <c r="F538" s="2" t="s">
        <v>281</v>
      </c>
      <c r="G538" s="2" t="s">
        <v>141</v>
      </c>
      <c r="H538" s="2" t="s">
        <v>776</v>
      </c>
      <c r="I538" t="s">
        <v>198</v>
      </c>
      <c r="J538" s="18">
        <v>18973.86</v>
      </c>
      <c r="K538" s="18"/>
      <c r="L538" s="18">
        <v>19735.626672130002</v>
      </c>
      <c r="M538" s="18">
        <v>-202.21097750852601</v>
      </c>
      <c r="N538" s="18"/>
      <c r="O538" s="18"/>
      <c r="P538" s="3">
        <v>0</v>
      </c>
      <c r="Q538" s="3">
        <v>0</v>
      </c>
      <c r="R538" s="3">
        <v>0</v>
      </c>
      <c r="S538" s="3"/>
      <c r="T538" s="3" t="b">
        <v>0</v>
      </c>
      <c r="U538" s="3">
        <v>2545</v>
      </c>
      <c r="V538" s="3">
        <v>0</v>
      </c>
      <c r="W538" s="3">
        <v>2405</v>
      </c>
      <c r="X538" s="3">
        <v>9.8699999999999992</v>
      </c>
    </row>
    <row r="539" spans="1:24" hidden="1">
      <c r="A539" s="1">
        <v>45047</v>
      </c>
      <c r="B539" s="1" t="s">
        <v>792</v>
      </c>
      <c r="C539" s="2" t="s">
        <v>775</v>
      </c>
      <c r="D539" s="2" t="s">
        <v>279</v>
      </c>
      <c r="E539" s="2" t="s">
        <v>737</v>
      </c>
      <c r="F539" s="2" t="s">
        <v>281</v>
      </c>
      <c r="G539" s="2" t="s">
        <v>141</v>
      </c>
      <c r="H539" s="2" t="s">
        <v>776</v>
      </c>
      <c r="I539" t="s">
        <v>198</v>
      </c>
      <c r="J539" s="18">
        <v>19451.77</v>
      </c>
      <c r="K539" s="18"/>
      <c r="L539" s="18">
        <v>19917.342315858299</v>
      </c>
      <c r="M539" s="18">
        <v>-562.71978027397302</v>
      </c>
      <c r="N539" s="18"/>
      <c r="O539" s="18"/>
      <c r="P539" s="3">
        <v>0</v>
      </c>
      <c r="Q539" s="3">
        <v>0</v>
      </c>
      <c r="R539" s="3">
        <v>0</v>
      </c>
      <c r="S539" s="3"/>
      <c r="T539" s="3" t="b">
        <v>0</v>
      </c>
      <c r="U539" s="3">
        <v>3587</v>
      </c>
      <c r="V539" s="3">
        <v>0</v>
      </c>
      <c r="W539" s="3">
        <v>1835</v>
      </c>
      <c r="X539" s="3">
        <v>12.05</v>
      </c>
    </row>
    <row r="540" spans="1:24" hidden="1">
      <c r="A540" s="1">
        <v>45078</v>
      </c>
      <c r="B540" s="1" t="s">
        <v>793</v>
      </c>
      <c r="C540" s="2" t="s">
        <v>775</v>
      </c>
      <c r="D540" s="2" t="s">
        <v>279</v>
      </c>
      <c r="E540" s="2" t="s">
        <v>737</v>
      </c>
      <c r="F540" s="2" t="s">
        <v>281</v>
      </c>
      <c r="G540" s="2" t="s">
        <v>141</v>
      </c>
      <c r="H540" s="2" t="s">
        <v>776</v>
      </c>
      <c r="I540" t="s">
        <v>198</v>
      </c>
      <c r="J540" s="18">
        <v>20035.7</v>
      </c>
      <c r="K540" s="18"/>
      <c r="L540" s="18">
        <v>20105.922111771299</v>
      </c>
      <c r="M540" s="18">
        <v>971.03272129168397</v>
      </c>
      <c r="N540" s="18"/>
      <c r="O540" s="18"/>
      <c r="P540" s="3">
        <v>0</v>
      </c>
      <c r="Q540" s="3">
        <v>0</v>
      </c>
      <c r="R540" s="3">
        <v>0</v>
      </c>
      <c r="S540" s="3"/>
      <c r="T540" s="3" t="b">
        <v>0</v>
      </c>
      <c r="U540" s="3">
        <v>2623</v>
      </c>
      <c r="V540" s="3">
        <v>1</v>
      </c>
      <c r="W540" s="3">
        <v>2613</v>
      </c>
      <c r="X540" s="3">
        <v>9.57</v>
      </c>
    </row>
    <row r="541" spans="1:24" hidden="1">
      <c r="A541" s="1">
        <v>45108</v>
      </c>
      <c r="B541" s="1" t="s">
        <v>794</v>
      </c>
      <c r="C541" s="2" t="s">
        <v>775</v>
      </c>
      <c r="D541" s="2" t="s">
        <v>279</v>
      </c>
      <c r="E541" s="2" t="s">
        <v>737</v>
      </c>
      <c r="F541" s="2" t="s">
        <v>281</v>
      </c>
      <c r="G541" s="2" t="s">
        <v>141</v>
      </c>
      <c r="H541" s="2" t="s">
        <v>776</v>
      </c>
      <c r="I541" t="s">
        <v>198</v>
      </c>
      <c r="J541" s="18">
        <v>19995.150000000001</v>
      </c>
      <c r="K541" s="18"/>
      <c r="L541" s="18">
        <v>20289.297383822501</v>
      </c>
      <c r="M541" s="18">
        <v>-675.97379659642502</v>
      </c>
      <c r="N541" s="18"/>
      <c r="O541" s="18"/>
      <c r="P541" s="3">
        <v>0</v>
      </c>
      <c r="Q541" s="3">
        <v>0</v>
      </c>
      <c r="R541" s="3">
        <v>0</v>
      </c>
      <c r="S541" s="3"/>
      <c r="T541" s="3" t="b">
        <v>1</v>
      </c>
      <c r="U541" s="3">
        <v>2593</v>
      </c>
      <c r="V541" s="3">
        <v>0</v>
      </c>
      <c r="W541" s="3">
        <v>2640</v>
      </c>
      <c r="X541" s="3">
        <v>9.42</v>
      </c>
    </row>
    <row r="542" spans="1:24" hidden="1">
      <c r="A542" s="1">
        <v>45139</v>
      </c>
      <c r="B542" s="1" t="s">
        <v>795</v>
      </c>
      <c r="C542" s="2" t="s">
        <v>775</v>
      </c>
      <c r="D542" s="2" t="s">
        <v>279</v>
      </c>
      <c r="E542" s="2" t="s">
        <v>737</v>
      </c>
      <c r="F542" s="2" t="s">
        <v>281</v>
      </c>
      <c r="G542" s="2" t="s">
        <v>141</v>
      </c>
      <c r="H542" s="2" t="s">
        <v>776</v>
      </c>
      <c r="I542" t="s">
        <v>198</v>
      </c>
      <c r="J542" s="18">
        <v>20519.689999999999</v>
      </c>
      <c r="K542" s="18"/>
      <c r="L542" s="18">
        <v>20479.564989759201</v>
      </c>
      <c r="M542" s="18">
        <v>-360.573864358408</v>
      </c>
      <c r="N542" s="18"/>
      <c r="O542" s="18"/>
      <c r="P542" s="3">
        <v>0</v>
      </c>
      <c r="Q542" s="3">
        <v>0</v>
      </c>
      <c r="R542" s="3">
        <v>0</v>
      </c>
      <c r="S542" s="3"/>
      <c r="T542" s="3" t="b">
        <v>0</v>
      </c>
      <c r="U542" s="3">
        <v>2743</v>
      </c>
      <c r="V542" s="3">
        <v>1</v>
      </c>
      <c r="W542" s="3">
        <v>1168</v>
      </c>
      <c r="X542" s="3">
        <v>8.43</v>
      </c>
    </row>
    <row r="543" spans="1:24" hidden="1">
      <c r="A543" s="1">
        <v>45170</v>
      </c>
      <c r="B543" s="1" t="s">
        <v>796</v>
      </c>
      <c r="C543" s="2" t="s">
        <v>775</v>
      </c>
      <c r="D543" s="2" t="s">
        <v>279</v>
      </c>
      <c r="E543" s="2" t="s">
        <v>737</v>
      </c>
      <c r="F543" s="2" t="s">
        <v>281</v>
      </c>
      <c r="G543" s="2" t="s">
        <v>141</v>
      </c>
      <c r="H543" s="2" t="s">
        <v>776</v>
      </c>
      <c r="I543" t="s">
        <v>198</v>
      </c>
      <c r="J543" s="18">
        <v>20901.16</v>
      </c>
      <c r="K543" s="18"/>
      <c r="L543" s="18">
        <v>20670.580569887901</v>
      </c>
      <c r="M543" s="18">
        <v>1778.81572994423</v>
      </c>
      <c r="N543" s="18"/>
      <c r="O543" s="18"/>
      <c r="P543" s="3">
        <v>0</v>
      </c>
      <c r="Q543" s="3">
        <v>0</v>
      </c>
      <c r="R543" s="3">
        <v>0</v>
      </c>
      <c r="S543" s="3"/>
      <c r="T543" s="3" t="b">
        <v>0</v>
      </c>
      <c r="U543" s="3">
        <v>3768</v>
      </c>
      <c r="V543" s="3">
        <v>0</v>
      </c>
      <c r="W543" s="3">
        <v>1216</v>
      </c>
      <c r="X543" s="3">
        <v>10.83</v>
      </c>
    </row>
    <row r="544" spans="1:24" hidden="1">
      <c r="A544" s="1">
        <v>45200</v>
      </c>
      <c r="B544" s="1" t="s">
        <v>797</v>
      </c>
      <c r="C544" s="2" t="s">
        <v>775</v>
      </c>
      <c r="D544" s="2" t="s">
        <v>279</v>
      </c>
      <c r="E544" s="2" t="s">
        <v>737</v>
      </c>
      <c r="F544" s="2" t="s">
        <v>281</v>
      </c>
      <c r="G544" s="2" t="s">
        <v>141</v>
      </c>
      <c r="H544" s="2" t="s">
        <v>776</v>
      </c>
      <c r="I544" t="s">
        <v>198</v>
      </c>
      <c r="J544" s="18">
        <v>20245.080000000002</v>
      </c>
      <c r="K544" s="18"/>
      <c r="L544" s="18">
        <v>20856.2053686504</v>
      </c>
      <c r="M544" s="18">
        <v>-180.93258356932199</v>
      </c>
      <c r="N544" s="18"/>
      <c r="O544" s="18"/>
      <c r="P544" s="3">
        <v>0</v>
      </c>
      <c r="Q544" s="3">
        <v>0</v>
      </c>
      <c r="R544" s="3">
        <v>0</v>
      </c>
      <c r="S544" s="3"/>
      <c r="T544" s="3" t="b">
        <v>0</v>
      </c>
      <c r="U544" s="3">
        <v>3459</v>
      </c>
      <c r="V544" s="3">
        <v>0</v>
      </c>
      <c r="W544" s="3">
        <v>1377</v>
      </c>
      <c r="X544" s="3">
        <v>10.82</v>
      </c>
    </row>
    <row r="545" spans="1:24" hidden="1">
      <c r="A545" s="1">
        <v>45231</v>
      </c>
      <c r="B545" s="1" t="s">
        <v>798</v>
      </c>
      <c r="C545" s="2" t="s">
        <v>775</v>
      </c>
      <c r="D545" s="2" t="s">
        <v>279</v>
      </c>
      <c r="E545" s="2" t="s">
        <v>737</v>
      </c>
      <c r="F545" s="2" t="s">
        <v>281</v>
      </c>
      <c r="G545" s="2" t="s">
        <v>141</v>
      </c>
      <c r="H545" s="2" t="s">
        <v>776</v>
      </c>
      <c r="I545" t="s">
        <v>198</v>
      </c>
      <c r="J545" s="18">
        <v>21052.28</v>
      </c>
      <c r="K545" s="18"/>
      <c r="L545" s="18">
        <v>21048.549445630098</v>
      </c>
      <c r="M545" s="18">
        <v>-194.16641035502201</v>
      </c>
      <c r="N545" s="18"/>
      <c r="O545" s="18"/>
      <c r="P545" s="3">
        <v>0</v>
      </c>
      <c r="Q545" s="3">
        <v>0</v>
      </c>
      <c r="R545" s="3">
        <v>0</v>
      </c>
      <c r="S545" s="3"/>
      <c r="T545" s="3" t="b">
        <v>0</v>
      </c>
      <c r="U545" s="3">
        <v>3948</v>
      </c>
      <c r="V545" s="3">
        <v>0</v>
      </c>
      <c r="W545" s="3">
        <v>1118</v>
      </c>
      <c r="X545" s="3">
        <v>10.23</v>
      </c>
    </row>
    <row r="546" spans="1:24" hidden="1">
      <c r="A546" s="1">
        <v>45261</v>
      </c>
      <c r="B546" s="1" t="s">
        <v>799</v>
      </c>
      <c r="C546" s="2" t="s">
        <v>775</v>
      </c>
      <c r="D546" s="2" t="s">
        <v>279</v>
      </c>
      <c r="E546" s="2" t="s">
        <v>737</v>
      </c>
      <c r="F546" s="2" t="s">
        <v>281</v>
      </c>
      <c r="G546" s="2" t="s">
        <v>141</v>
      </c>
      <c r="H546" s="2" t="s">
        <v>776</v>
      </c>
      <c r="I546" t="s">
        <v>198</v>
      </c>
      <c r="J546" s="18">
        <v>21147.55</v>
      </c>
      <c r="K546" s="18"/>
      <c r="L546" s="18">
        <v>21234.847466927898</v>
      </c>
      <c r="M546" s="18">
        <v>-178.01762370105399</v>
      </c>
      <c r="N546" s="18"/>
      <c r="O546" s="18"/>
      <c r="P546" s="3">
        <v>0</v>
      </c>
      <c r="Q546" s="3">
        <v>0</v>
      </c>
      <c r="R546" s="3">
        <v>0</v>
      </c>
      <c r="S546" s="3"/>
      <c r="T546" s="3" t="b">
        <v>0</v>
      </c>
      <c r="U546" s="3">
        <v>4601</v>
      </c>
      <c r="V546" s="3">
        <v>0</v>
      </c>
      <c r="W546" s="3">
        <v>1189</v>
      </c>
      <c r="X546" s="3">
        <v>10.26</v>
      </c>
    </row>
    <row r="547" spans="1:24" hidden="1">
      <c r="A547" s="1">
        <v>45292</v>
      </c>
      <c r="B547" s="1" t="s">
        <v>800</v>
      </c>
      <c r="C547" s="2" t="s">
        <v>775</v>
      </c>
      <c r="D547" s="2" t="s">
        <v>279</v>
      </c>
      <c r="E547" s="2" t="s">
        <v>737</v>
      </c>
      <c r="F547" s="2" t="s">
        <v>281</v>
      </c>
      <c r="G547" s="2" t="s">
        <v>141</v>
      </c>
      <c r="H547" s="2" t="s">
        <v>776</v>
      </c>
      <c r="I547" t="s">
        <v>198</v>
      </c>
      <c r="J547" s="18">
        <v>21107.69</v>
      </c>
      <c r="K547" s="18"/>
      <c r="L547" s="18">
        <v>21427.961669199001</v>
      </c>
      <c r="M547" s="18">
        <v>-537.24313101544999</v>
      </c>
      <c r="N547" s="18"/>
      <c r="O547" s="18"/>
      <c r="P547" s="3">
        <v>0</v>
      </c>
      <c r="Q547" s="3">
        <v>0</v>
      </c>
      <c r="R547" s="3">
        <v>0</v>
      </c>
      <c r="S547" s="3"/>
      <c r="T547" s="3" t="b">
        <v>0</v>
      </c>
      <c r="U547" s="3">
        <v>4068</v>
      </c>
      <c r="V547" s="3">
        <v>0</v>
      </c>
      <c r="W547" s="3">
        <v>1766</v>
      </c>
      <c r="X547" s="3">
        <v>9.93</v>
      </c>
    </row>
    <row r="548" spans="1:24" hidden="1">
      <c r="A548" s="1">
        <v>45323</v>
      </c>
      <c r="B548" s="1" t="s">
        <v>801</v>
      </c>
      <c r="C548" s="2" t="s">
        <v>775</v>
      </c>
      <c r="D548" s="2" t="s">
        <v>279</v>
      </c>
      <c r="E548" s="2" t="s">
        <v>737</v>
      </c>
      <c r="F548" s="2" t="s">
        <v>281</v>
      </c>
      <c r="G548" s="2" t="s">
        <v>141</v>
      </c>
      <c r="H548" s="2" t="s">
        <v>776</v>
      </c>
      <c r="I548" t="s">
        <v>198</v>
      </c>
      <c r="J548" s="18">
        <v>21233.14</v>
      </c>
      <c r="K548" s="18"/>
      <c r="L548" s="18">
        <v>21621.195981913301</v>
      </c>
      <c r="M548" s="18">
        <v>-184.56800383051501</v>
      </c>
      <c r="N548" s="18"/>
      <c r="O548" s="18"/>
      <c r="P548" s="3">
        <v>0</v>
      </c>
      <c r="Q548" s="3">
        <v>0</v>
      </c>
      <c r="R548" s="3">
        <v>0</v>
      </c>
      <c r="S548" s="3"/>
      <c r="T548" s="3" t="b">
        <v>0</v>
      </c>
      <c r="U548" s="3">
        <v>4601</v>
      </c>
      <c r="V548" s="3">
        <v>2</v>
      </c>
      <c r="W548" s="3">
        <v>1369</v>
      </c>
      <c r="X548" s="3">
        <v>40</v>
      </c>
    </row>
    <row r="549" spans="1:24" hidden="1">
      <c r="A549" s="1">
        <v>45352</v>
      </c>
      <c r="B549" s="1" t="s">
        <v>802</v>
      </c>
      <c r="C549" s="2" t="s">
        <v>775</v>
      </c>
      <c r="D549" s="2" t="s">
        <v>279</v>
      </c>
      <c r="E549" s="2" t="s">
        <v>737</v>
      </c>
      <c r="F549" s="2" t="s">
        <v>281</v>
      </c>
      <c r="G549" s="2" t="s">
        <v>141</v>
      </c>
      <c r="H549" s="2" t="s">
        <v>776</v>
      </c>
      <c r="I549" t="s">
        <v>198</v>
      </c>
      <c r="J549" s="18">
        <v>21259.33</v>
      </c>
      <c r="K549" s="18"/>
      <c r="L549" s="18">
        <v>21802.037224522701</v>
      </c>
      <c r="M549" s="18">
        <v>51.878079982872002</v>
      </c>
      <c r="N549" s="18"/>
      <c r="O549" s="18"/>
      <c r="P549" s="3">
        <v>0</v>
      </c>
      <c r="Q549" s="3">
        <v>0</v>
      </c>
      <c r="R549" s="3">
        <v>0</v>
      </c>
      <c r="S549" s="3"/>
      <c r="T549" s="3" t="b">
        <v>0</v>
      </c>
      <c r="U549" s="3">
        <v>4444</v>
      </c>
      <c r="V549" s="3">
        <v>1</v>
      </c>
      <c r="W549" s="3">
        <v>2801</v>
      </c>
      <c r="X549" s="3">
        <v>11.17</v>
      </c>
    </row>
    <row r="550" spans="1:24" hidden="1">
      <c r="A550" s="1">
        <v>45383</v>
      </c>
      <c r="B550" s="1" t="s">
        <v>803</v>
      </c>
      <c r="C550" s="2" t="s">
        <v>775</v>
      </c>
      <c r="D550" s="2" t="s">
        <v>279</v>
      </c>
      <c r="E550" s="2" t="s">
        <v>737</v>
      </c>
      <c r="F550" s="2" t="s">
        <v>281</v>
      </c>
      <c r="G550" s="2" t="s">
        <v>141</v>
      </c>
      <c r="H550" s="2" t="s">
        <v>776</v>
      </c>
      <c r="I550" t="s">
        <v>198</v>
      </c>
      <c r="J550" s="18">
        <v>21105.56</v>
      </c>
      <c r="K550" s="18"/>
      <c r="L550" s="18">
        <v>21995.350276967201</v>
      </c>
      <c r="M550" s="18">
        <v>-648.71576422324802</v>
      </c>
      <c r="N550" s="18"/>
      <c r="O550" s="18"/>
      <c r="P550" s="3">
        <v>0</v>
      </c>
      <c r="Q550" s="3">
        <v>0</v>
      </c>
      <c r="R550" s="3">
        <v>0</v>
      </c>
      <c r="S550" s="3"/>
      <c r="T550" s="3" t="b">
        <v>0</v>
      </c>
      <c r="U550" s="3">
        <v>4672</v>
      </c>
      <c r="V550" s="3">
        <v>1</v>
      </c>
      <c r="W550" s="3">
        <v>1148</v>
      </c>
      <c r="X550" s="3">
        <v>9.84</v>
      </c>
    </row>
    <row r="551" spans="1:24" hidden="1">
      <c r="A551" s="1">
        <v>45413</v>
      </c>
      <c r="B551" s="1" t="s">
        <v>804</v>
      </c>
      <c r="C551" s="2" t="s">
        <v>775</v>
      </c>
      <c r="D551" s="2" t="s">
        <v>279</v>
      </c>
      <c r="E551" s="2" t="s">
        <v>737</v>
      </c>
      <c r="F551" s="2" t="s">
        <v>281</v>
      </c>
      <c r="G551" s="2" t="s">
        <v>141</v>
      </c>
      <c r="H551" s="2" t="s">
        <v>776</v>
      </c>
      <c r="I551" t="s">
        <v>198</v>
      </c>
      <c r="J551" s="18">
        <v>20968.66</v>
      </c>
      <c r="K551" s="18"/>
      <c r="L551" s="18">
        <v>22182.427424494101</v>
      </c>
      <c r="M551" s="18">
        <v>-96.813825217711397</v>
      </c>
      <c r="N551" s="18"/>
      <c r="O551" s="18"/>
      <c r="P551" s="3">
        <v>0</v>
      </c>
      <c r="Q551" s="3">
        <v>0</v>
      </c>
      <c r="R551" s="3">
        <v>0</v>
      </c>
      <c r="S551" s="3"/>
      <c r="T551" s="3" t="b">
        <v>1</v>
      </c>
      <c r="U551" s="3">
        <v>2104</v>
      </c>
      <c r="V551" s="3">
        <v>1</v>
      </c>
      <c r="W551" s="3">
        <v>2699</v>
      </c>
      <c r="X551" s="3">
        <v>12.13</v>
      </c>
    </row>
    <row r="552" spans="1:24" hidden="1">
      <c r="A552" s="1">
        <v>45444</v>
      </c>
      <c r="B552" s="1" t="s">
        <v>805</v>
      </c>
      <c r="C552" s="2" t="s">
        <v>775</v>
      </c>
      <c r="D552" s="2" t="s">
        <v>279</v>
      </c>
      <c r="E552" s="2" t="s">
        <v>737</v>
      </c>
      <c r="F552" s="2" t="s">
        <v>281</v>
      </c>
      <c r="G552" s="2" t="s">
        <v>141</v>
      </c>
      <c r="H552" s="2" t="s">
        <v>776</v>
      </c>
      <c r="I552" t="s">
        <v>198</v>
      </c>
      <c r="J552" s="18">
        <v>24458.99</v>
      </c>
      <c r="K552" s="18"/>
      <c r="L552" s="18">
        <v>22375.740476938601</v>
      </c>
      <c r="M552" s="18">
        <v>529.93840627134898</v>
      </c>
      <c r="N552" s="18"/>
      <c r="O552" s="18"/>
      <c r="P552" s="3">
        <v>0</v>
      </c>
      <c r="Q552" s="3">
        <v>0</v>
      </c>
      <c r="R552" s="3">
        <v>1</v>
      </c>
      <c r="S552" s="3"/>
      <c r="T552" s="3" t="b">
        <v>0</v>
      </c>
      <c r="U552" s="3">
        <v>4239</v>
      </c>
      <c r="V552" s="3">
        <v>0</v>
      </c>
      <c r="W552" s="3">
        <v>1651</v>
      </c>
      <c r="X552" s="3">
        <v>11.05</v>
      </c>
    </row>
    <row r="553" spans="1:24" hidden="1">
      <c r="A553" s="1">
        <v>45474</v>
      </c>
      <c r="B553" s="1" t="s">
        <v>806</v>
      </c>
      <c r="C553" s="2" t="s">
        <v>775</v>
      </c>
      <c r="D553" s="2" t="s">
        <v>279</v>
      </c>
      <c r="E553" s="2" t="s">
        <v>737</v>
      </c>
      <c r="F553" s="2" t="s">
        <v>281</v>
      </c>
      <c r="G553" s="2" t="s">
        <v>141</v>
      </c>
      <c r="H553" s="2" t="s">
        <v>776</v>
      </c>
      <c r="I553" t="s">
        <v>198</v>
      </c>
      <c r="J553" s="18">
        <v>21113.97</v>
      </c>
      <c r="K553" s="18">
        <v>21250.92</v>
      </c>
      <c r="L553" s="18">
        <v>22562.817624465501</v>
      </c>
      <c r="M553" s="18">
        <v>-274.103525883933</v>
      </c>
      <c r="N553" s="18">
        <v>21450.92</v>
      </c>
      <c r="O553" s="18">
        <v>21050.92</v>
      </c>
      <c r="P553" s="3">
        <v>0</v>
      </c>
      <c r="Q553" s="3">
        <v>0</v>
      </c>
      <c r="R553" s="3">
        <v>0</v>
      </c>
      <c r="S553" s="3"/>
      <c r="T553" s="3" t="b">
        <v>1</v>
      </c>
      <c r="U553" s="3">
        <v>2016</v>
      </c>
      <c r="V553" s="3">
        <v>0</v>
      </c>
      <c r="W553" s="3">
        <v>2882</v>
      </c>
      <c r="X553" s="3">
        <v>9.5</v>
      </c>
    </row>
    <row r="554" spans="1:24" hidden="1">
      <c r="A554" s="1">
        <v>45505</v>
      </c>
      <c r="B554" s="1" t="s">
        <v>807</v>
      </c>
      <c r="C554" s="2" t="s">
        <v>775</v>
      </c>
      <c r="D554" s="2" t="s">
        <v>279</v>
      </c>
      <c r="E554" s="2" t="s">
        <v>737</v>
      </c>
      <c r="F554" s="2" t="s">
        <v>281</v>
      </c>
      <c r="G554" s="2" t="s">
        <v>141</v>
      </c>
      <c r="H554" s="2" t="s">
        <v>776</v>
      </c>
      <c r="I554" t="s">
        <v>198</v>
      </c>
      <c r="J554" s="18">
        <v>21177.17</v>
      </c>
      <c r="K554" s="18">
        <v>21138.76</v>
      </c>
      <c r="L554" s="18">
        <v>22756.130676910001</v>
      </c>
      <c r="M554" s="18">
        <v>-757.92471042008901</v>
      </c>
      <c r="N554" s="18">
        <v>21338.76</v>
      </c>
      <c r="O554" s="18">
        <v>20938.759999999998</v>
      </c>
      <c r="P554" s="3">
        <v>0</v>
      </c>
      <c r="Q554" s="3">
        <v>0</v>
      </c>
      <c r="R554" s="3">
        <v>0</v>
      </c>
      <c r="S554" s="3"/>
      <c r="T554" s="3" t="b">
        <v>1</v>
      </c>
      <c r="U554" s="3">
        <v>2392</v>
      </c>
      <c r="V554" s="3">
        <v>0</v>
      </c>
      <c r="W554" s="3">
        <v>2511</v>
      </c>
      <c r="X554" s="3">
        <v>12.31</v>
      </c>
    </row>
    <row r="555" spans="1:24" hidden="1">
      <c r="A555" s="1">
        <v>45536</v>
      </c>
      <c r="B555" s="1" t="s">
        <v>808</v>
      </c>
      <c r="C555" s="2" t="s">
        <v>775</v>
      </c>
      <c r="D555" s="2" t="s">
        <v>279</v>
      </c>
      <c r="E555" s="2" t="s">
        <v>737</v>
      </c>
      <c r="F555" s="2" t="s">
        <v>281</v>
      </c>
      <c r="G555" s="2" t="s">
        <v>141</v>
      </c>
      <c r="H555" s="2" t="s">
        <v>776</v>
      </c>
      <c r="I555" t="s">
        <v>198</v>
      </c>
      <c r="J555" s="18">
        <v>28793.73</v>
      </c>
      <c r="K555" s="18">
        <v>21318.11</v>
      </c>
      <c r="L555" s="18">
        <v>22949.443729354502</v>
      </c>
      <c r="M555" s="18">
        <v>2228.2528092962102</v>
      </c>
      <c r="N555" s="18">
        <v>21518.11</v>
      </c>
      <c r="O555" s="18">
        <v>21118.11</v>
      </c>
      <c r="P555" s="3">
        <v>0</v>
      </c>
      <c r="Q555" s="3">
        <v>0</v>
      </c>
      <c r="R555" s="3">
        <v>1</v>
      </c>
      <c r="S555" s="3"/>
      <c r="T555" s="3" t="b">
        <v>0</v>
      </c>
      <c r="U555" s="3">
        <v>2424</v>
      </c>
      <c r="V555" s="3">
        <v>1</v>
      </c>
      <c r="W555" s="3">
        <v>1769</v>
      </c>
      <c r="X555" s="3">
        <v>11.74</v>
      </c>
    </row>
    <row r="556" spans="1:24" hidden="1">
      <c r="A556" s="1">
        <v>45566</v>
      </c>
      <c r="B556" s="1" t="s">
        <v>809</v>
      </c>
      <c r="C556" s="2" t="s">
        <v>775</v>
      </c>
      <c r="D556" s="2" t="s">
        <v>279</v>
      </c>
      <c r="E556" s="2" t="s">
        <v>737</v>
      </c>
      <c r="F556" s="2" t="s">
        <v>281</v>
      </c>
      <c r="G556" s="2" t="s">
        <v>141</v>
      </c>
      <c r="H556" s="2" t="s">
        <v>776</v>
      </c>
      <c r="I556" t="s">
        <v>224</v>
      </c>
      <c r="J556" s="18"/>
      <c r="K556" s="18">
        <v>21410.99</v>
      </c>
      <c r="L556" s="18">
        <v>23136.520876881401</v>
      </c>
      <c r="M556" s="18">
        <v>-682.89451087017903</v>
      </c>
      <c r="N556" s="18">
        <v>21610.99</v>
      </c>
      <c r="O556" s="18">
        <v>21210.99</v>
      </c>
      <c r="P556" s="3"/>
      <c r="Q556" s="3"/>
      <c r="R556" s="3"/>
      <c r="S556" s="3"/>
      <c r="T556" s="3"/>
      <c r="U556" s="3"/>
      <c r="V556" s="3"/>
      <c r="W556" s="3">
        <v>1373</v>
      </c>
      <c r="X556" s="3">
        <v>10.39</v>
      </c>
    </row>
    <row r="557" spans="1:24" hidden="1">
      <c r="A557" s="1">
        <v>45597</v>
      </c>
      <c r="B557" s="1" t="s">
        <v>810</v>
      </c>
      <c r="C557" s="2" t="s">
        <v>775</v>
      </c>
      <c r="D557" s="2" t="s">
        <v>279</v>
      </c>
      <c r="E557" s="2" t="s">
        <v>737</v>
      </c>
      <c r="F557" s="2" t="s">
        <v>281</v>
      </c>
      <c r="G557" s="2" t="s">
        <v>141</v>
      </c>
      <c r="H557" s="2" t="s">
        <v>776</v>
      </c>
      <c r="I557" t="s">
        <v>224</v>
      </c>
      <c r="J557" s="18"/>
      <c r="K557" s="18">
        <v>21704.07</v>
      </c>
      <c r="L557" s="18">
        <v>23329.833929325901</v>
      </c>
      <c r="M557" s="18">
        <v>283.15200725288599</v>
      </c>
      <c r="N557" s="18">
        <v>21904.07</v>
      </c>
      <c r="O557" s="18">
        <v>21504.07</v>
      </c>
      <c r="P557" s="3"/>
      <c r="Q557" s="3"/>
      <c r="R557" s="3"/>
      <c r="S557" s="3"/>
      <c r="T557" s="3"/>
      <c r="U557" s="3"/>
      <c r="V557" s="3"/>
      <c r="W557" s="3">
        <v>1780</v>
      </c>
      <c r="X557" s="3">
        <v>10.67</v>
      </c>
    </row>
    <row r="558" spans="1:24" hidden="1">
      <c r="A558" s="1">
        <v>45627</v>
      </c>
      <c r="B558" s="1" t="s">
        <v>811</v>
      </c>
      <c r="C558" s="2" t="s">
        <v>775</v>
      </c>
      <c r="D558" s="2" t="s">
        <v>279</v>
      </c>
      <c r="E558" s="2" t="s">
        <v>737</v>
      </c>
      <c r="F558" s="2" t="s">
        <v>281</v>
      </c>
      <c r="G558" s="2" t="s">
        <v>141</v>
      </c>
      <c r="H558" s="2" t="s">
        <v>776</v>
      </c>
      <c r="I558" t="s">
        <v>224</v>
      </c>
      <c r="J558" s="18"/>
      <c r="K558" s="18">
        <v>22163.71</v>
      </c>
      <c r="L558" s="18">
        <v>23516.911076852801</v>
      </c>
      <c r="M558" s="18">
        <v>-651.22147258310599</v>
      </c>
      <c r="N558" s="18">
        <v>22363.71</v>
      </c>
      <c r="O558" s="18">
        <v>21963.71</v>
      </c>
      <c r="P558" s="3"/>
      <c r="Q558" s="3"/>
      <c r="R558" s="3"/>
      <c r="S558" s="3"/>
      <c r="T558" s="3"/>
      <c r="U558" s="3"/>
      <c r="V558" s="3"/>
      <c r="W558" s="3">
        <v>2716</v>
      </c>
      <c r="X558" s="3">
        <v>11.93</v>
      </c>
    </row>
    <row r="559" spans="1:24" hidden="1">
      <c r="A559" s="1">
        <v>44986</v>
      </c>
      <c r="B559" s="1" t="s">
        <v>812</v>
      </c>
      <c r="C559" s="2" t="s">
        <v>813</v>
      </c>
      <c r="D559" s="2" t="s">
        <v>279</v>
      </c>
      <c r="E559" s="2" t="s">
        <v>737</v>
      </c>
      <c r="F559" s="2" t="s">
        <v>281</v>
      </c>
      <c r="G559" s="2" t="s">
        <v>141</v>
      </c>
      <c r="H559" s="2" t="s">
        <v>597</v>
      </c>
      <c r="I559" t="s">
        <v>198</v>
      </c>
      <c r="J559" s="18">
        <v>5676.1</v>
      </c>
      <c r="K559" s="18"/>
      <c r="L559" s="18">
        <v>6746.6063998400004</v>
      </c>
      <c r="M559" s="18">
        <v>-1102.1401818648201</v>
      </c>
      <c r="N559" s="18"/>
      <c r="O559" s="18"/>
      <c r="P559" s="3">
        <v>0</v>
      </c>
      <c r="Q559" s="3">
        <v>0</v>
      </c>
      <c r="R559" s="3">
        <v>0</v>
      </c>
      <c r="S559" s="3"/>
      <c r="T559" s="3" t="b">
        <v>0</v>
      </c>
      <c r="U559" s="3">
        <v>4738</v>
      </c>
      <c r="V559" s="3">
        <v>1</v>
      </c>
      <c r="W559" s="3">
        <v>2227</v>
      </c>
      <c r="X559" s="3">
        <v>18.23</v>
      </c>
    </row>
    <row r="560" spans="1:24" hidden="1">
      <c r="A560" s="1">
        <v>45017</v>
      </c>
      <c r="B560" s="1" t="s">
        <v>814</v>
      </c>
      <c r="C560" s="2" t="s">
        <v>813</v>
      </c>
      <c r="D560" s="2" t="s">
        <v>279</v>
      </c>
      <c r="E560" s="2" t="s">
        <v>737</v>
      </c>
      <c r="F560" s="2" t="s">
        <v>281</v>
      </c>
      <c r="G560" s="2" t="s">
        <v>141</v>
      </c>
      <c r="H560" s="2" t="s">
        <v>597</v>
      </c>
      <c r="I560" t="s">
        <v>198</v>
      </c>
      <c r="J560" s="18">
        <v>5852.28</v>
      </c>
      <c r="K560" s="18"/>
      <c r="L560" s="18">
        <v>6758.4408756015</v>
      </c>
      <c r="M560" s="18">
        <v>-900.28925477503901</v>
      </c>
      <c r="N560" s="18"/>
      <c r="O560" s="18"/>
      <c r="P560" s="3">
        <v>0</v>
      </c>
      <c r="Q560" s="3">
        <v>0</v>
      </c>
      <c r="R560" s="3">
        <v>0</v>
      </c>
      <c r="S560" s="3"/>
      <c r="T560" s="3" t="b">
        <v>0</v>
      </c>
      <c r="U560" s="3">
        <v>3842</v>
      </c>
      <c r="V560" s="3">
        <v>0</v>
      </c>
      <c r="W560" s="3">
        <v>1457</v>
      </c>
      <c r="X560" s="3">
        <v>16.46</v>
      </c>
    </row>
    <row r="561" spans="1:24" hidden="1">
      <c r="A561" s="1">
        <v>45047</v>
      </c>
      <c r="B561" s="1" t="s">
        <v>815</v>
      </c>
      <c r="C561" s="2" t="s">
        <v>813</v>
      </c>
      <c r="D561" s="2" t="s">
        <v>279</v>
      </c>
      <c r="E561" s="2" t="s">
        <v>737</v>
      </c>
      <c r="F561" s="2" t="s">
        <v>281</v>
      </c>
      <c r="G561" s="2" t="s">
        <v>141</v>
      </c>
      <c r="H561" s="2" t="s">
        <v>597</v>
      </c>
      <c r="I561" t="s">
        <v>198</v>
      </c>
      <c r="J561" s="18">
        <v>5692.49</v>
      </c>
      <c r="K561" s="18"/>
      <c r="L561" s="18">
        <v>6769.8936429635996</v>
      </c>
      <c r="M561" s="18">
        <v>-1039.2867709662301</v>
      </c>
      <c r="N561" s="18"/>
      <c r="O561" s="18"/>
      <c r="P561" s="3">
        <v>0</v>
      </c>
      <c r="Q561" s="3">
        <v>0</v>
      </c>
      <c r="R561" s="3">
        <v>0</v>
      </c>
      <c r="S561" s="3"/>
      <c r="T561" s="3" t="b">
        <v>0</v>
      </c>
      <c r="U561" s="3">
        <v>2746</v>
      </c>
      <c r="V561" s="3">
        <v>0</v>
      </c>
      <c r="W561" s="3">
        <v>1829</v>
      </c>
      <c r="X561" s="3">
        <v>18.079999999999998</v>
      </c>
    </row>
    <row r="562" spans="1:24" hidden="1">
      <c r="A562" s="1">
        <v>45078</v>
      </c>
      <c r="B562" s="1" t="s">
        <v>816</v>
      </c>
      <c r="C562" s="2" t="s">
        <v>813</v>
      </c>
      <c r="D562" s="2" t="s">
        <v>279</v>
      </c>
      <c r="E562" s="2" t="s">
        <v>737</v>
      </c>
      <c r="F562" s="2" t="s">
        <v>281</v>
      </c>
      <c r="G562" s="2" t="s">
        <v>141</v>
      </c>
      <c r="H562" s="2" t="s">
        <v>597</v>
      </c>
      <c r="I562" t="s">
        <v>198</v>
      </c>
      <c r="J562" s="18">
        <v>5948.44</v>
      </c>
      <c r="K562" s="18"/>
      <c r="L562" s="18">
        <v>6781.7282704274003</v>
      </c>
      <c r="M562" s="18">
        <v>-727.57563468068702</v>
      </c>
      <c r="N562" s="18"/>
      <c r="O562" s="18"/>
      <c r="P562" s="3">
        <v>0</v>
      </c>
      <c r="Q562" s="3">
        <v>0</v>
      </c>
      <c r="R562" s="3">
        <v>0</v>
      </c>
      <c r="S562" s="3"/>
      <c r="T562" s="3" t="b">
        <v>0</v>
      </c>
      <c r="U562" s="3">
        <v>4816</v>
      </c>
      <c r="V562" s="3">
        <v>0</v>
      </c>
      <c r="W562" s="3">
        <v>1256</v>
      </c>
      <c r="X562" s="3">
        <v>16.29</v>
      </c>
    </row>
    <row r="563" spans="1:24" hidden="1">
      <c r="A563" s="1">
        <v>45108</v>
      </c>
      <c r="B563" s="1" t="s">
        <v>817</v>
      </c>
      <c r="C563" s="2" t="s">
        <v>813</v>
      </c>
      <c r="D563" s="2" t="s">
        <v>279</v>
      </c>
      <c r="E563" s="2" t="s">
        <v>737</v>
      </c>
      <c r="F563" s="2" t="s">
        <v>281</v>
      </c>
      <c r="G563" s="2" t="s">
        <v>141</v>
      </c>
      <c r="H563" s="2" t="s">
        <v>597</v>
      </c>
      <c r="I563" t="s">
        <v>198</v>
      </c>
      <c r="J563" s="18">
        <v>6228.95</v>
      </c>
      <c r="K563" s="18"/>
      <c r="L563" s="18">
        <v>6793.1811277794104</v>
      </c>
      <c r="M563" s="18">
        <v>-626.86794791388297</v>
      </c>
      <c r="N563" s="18"/>
      <c r="O563" s="18"/>
      <c r="P563" s="3">
        <v>0</v>
      </c>
      <c r="Q563" s="3">
        <v>0</v>
      </c>
      <c r="R563" s="3">
        <v>0</v>
      </c>
      <c r="S563" s="3"/>
      <c r="T563" s="3" t="b">
        <v>0</v>
      </c>
      <c r="U563" s="3">
        <v>2871</v>
      </c>
      <c r="V563" s="3">
        <v>0</v>
      </c>
      <c r="W563" s="3">
        <v>2552</v>
      </c>
      <c r="X563" s="3">
        <v>17.11</v>
      </c>
    </row>
    <row r="564" spans="1:24" hidden="1">
      <c r="A564" s="1">
        <v>45139</v>
      </c>
      <c r="B564" s="1" t="s">
        <v>818</v>
      </c>
      <c r="C564" s="2" t="s">
        <v>813</v>
      </c>
      <c r="D564" s="2" t="s">
        <v>279</v>
      </c>
      <c r="E564" s="2" t="s">
        <v>737</v>
      </c>
      <c r="F564" s="2" t="s">
        <v>281</v>
      </c>
      <c r="G564" s="2" t="s">
        <v>141</v>
      </c>
      <c r="H564" s="2" t="s">
        <v>597</v>
      </c>
      <c r="I564" t="s">
        <v>198</v>
      </c>
      <c r="J564" s="18">
        <v>6606.22</v>
      </c>
      <c r="K564" s="18"/>
      <c r="L564" s="18">
        <v>6805.0157340269097</v>
      </c>
      <c r="M564" s="18">
        <v>-309.92178000539201</v>
      </c>
      <c r="N564" s="18"/>
      <c r="O564" s="18"/>
      <c r="P564" s="3">
        <v>0</v>
      </c>
      <c r="Q564" s="3">
        <v>0</v>
      </c>
      <c r="R564" s="3">
        <v>0</v>
      </c>
      <c r="S564" s="3"/>
      <c r="T564" s="3" t="b">
        <v>0</v>
      </c>
      <c r="U564" s="3">
        <v>2494</v>
      </c>
      <c r="V564" s="3">
        <v>1</v>
      </c>
      <c r="W564" s="3">
        <v>2295</v>
      </c>
      <c r="X564" s="3">
        <v>16.690000000000001</v>
      </c>
    </row>
    <row r="565" spans="1:24" hidden="1">
      <c r="A565" s="1">
        <v>45170</v>
      </c>
      <c r="B565" s="1" t="s">
        <v>819</v>
      </c>
      <c r="C565" s="2" t="s">
        <v>813</v>
      </c>
      <c r="D565" s="2" t="s">
        <v>279</v>
      </c>
      <c r="E565" s="2" t="s">
        <v>737</v>
      </c>
      <c r="F565" s="2" t="s">
        <v>281</v>
      </c>
      <c r="G565" s="2" t="s">
        <v>141</v>
      </c>
      <c r="H565" s="2" t="s">
        <v>597</v>
      </c>
      <c r="I565" t="s">
        <v>198</v>
      </c>
      <c r="J565" s="18">
        <v>6566.33</v>
      </c>
      <c r="K565" s="18"/>
      <c r="L565" s="18">
        <v>6772.3768162190299</v>
      </c>
      <c r="M565" s="18">
        <v>-151.65019325547399</v>
      </c>
      <c r="N565" s="18"/>
      <c r="O565" s="18"/>
      <c r="P565" s="3">
        <v>0</v>
      </c>
      <c r="Q565" s="3">
        <v>0</v>
      </c>
      <c r="R565" s="3">
        <v>0</v>
      </c>
      <c r="S565" s="3"/>
      <c r="T565" s="3" t="b">
        <v>0</v>
      </c>
      <c r="U565" s="3">
        <v>4464</v>
      </c>
      <c r="V565" s="3">
        <v>0</v>
      </c>
      <c r="W565" s="3">
        <v>1008</v>
      </c>
      <c r="X565" s="3">
        <v>17.07</v>
      </c>
    </row>
    <row r="566" spans="1:24" hidden="1">
      <c r="A566" s="1">
        <v>45200</v>
      </c>
      <c r="B566" s="1" t="s">
        <v>820</v>
      </c>
      <c r="C566" s="2" t="s">
        <v>813</v>
      </c>
      <c r="D566" s="2" t="s">
        <v>279</v>
      </c>
      <c r="E566" s="2" t="s">
        <v>737</v>
      </c>
      <c r="F566" s="2" t="s">
        <v>281</v>
      </c>
      <c r="G566" s="2" t="s">
        <v>141</v>
      </c>
      <c r="H566" s="2" t="s">
        <v>597</v>
      </c>
      <c r="I566" t="s">
        <v>198</v>
      </c>
      <c r="J566" s="18">
        <v>6368.7</v>
      </c>
      <c r="K566" s="18"/>
      <c r="L566" s="18">
        <v>6740.7846125219103</v>
      </c>
      <c r="M566" s="18">
        <v>-370.13511620468898</v>
      </c>
      <c r="N566" s="18"/>
      <c r="O566" s="18"/>
      <c r="P566" s="3">
        <v>0</v>
      </c>
      <c r="Q566" s="3">
        <v>0</v>
      </c>
      <c r="R566" s="3">
        <v>0</v>
      </c>
      <c r="S566" s="3"/>
      <c r="T566" s="3" t="b">
        <v>0</v>
      </c>
      <c r="U566" s="3">
        <v>3414</v>
      </c>
      <c r="V566" s="3">
        <v>1</v>
      </c>
      <c r="W566" s="3">
        <v>1760</v>
      </c>
      <c r="X566" s="3">
        <v>17.12</v>
      </c>
    </row>
    <row r="567" spans="1:24" hidden="1">
      <c r="A567" s="1">
        <v>45231</v>
      </c>
      <c r="B567" s="1" t="s">
        <v>821</v>
      </c>
      <c r="C567" s="2" t="s">
        <v>813</v>
      </c>
      <c r="D567" s="2" t="s">
        <v>279</v>
      </c>
      <c r="E567" s="2" t="s">
        <v>737</v>
      </c>
      <c r="F567" s="2" t="s">
        <v>281</v>
      </c>
      <c r="G567" s="2" t="s">
        <v>141</v>
      </c>
      <c r="H567" s="2" t="s">
        <v>597</v>
      </c>
      <c r="I567" t="s">
        <v>198</v>
      </c>
      <c r="J567" s="18">
        <v>6736.41</v>
      </c>
      <c r="K567" s="18"/>
      <c r="L567" s="18">
        <v>6708.1393407838796</v>
      </c>
      <c r="M567" s="18">
        <v>27.221862529447499</v>
      </c>
      <c r="N567" s="18"/>
      <c r="O567" s="18"/>
      <c r="P567" s="3">
        <v>0</v>
      </c>
      <c r="Q567" s="3">
        <v>0</v>
      </c>
      <c r="R567" s="3">
        <v>0</v>
      </c>
      <c r="S567" s="3"/>
      <c r="T567" s="3" t="b">
        <v>0</v>
      </c>
      <c r="U567" s="3">
        <v>2627</v>
      </c>
      <c r="V567" s="3">
        <v>1</v>
      </c>
      <c r="W567" s="3">
        <v>1948</v>
      </c>
      <c r="X567" s="3">
        <v>3</v>
      </c>
    </row>
    <row r="568" spans="1:24" hidden="1">
      <c r="A568" s="1">
        <v>45261</v>
      </c>
      <c r="B568" s="1" t="s">
        <v>822</v>
      </c>
      <c r="C568" s="2" t="s">
        <v>813</v>
      </c>
      <c r="D568" s="2" t="s">
        <v>279</v>
      </c>
      <c r="E568" s="2" t="s">
        <v>737</v>
      </c>
      <c r="F568" s="2" t="s">
        <v>281</v>
      </c>
      <c r="G568" s="2" t="s">
        <v>141</v>
      </c>
      <c r="H568" s="2" t="s">
        <v>597</v>
      </c>
      <c r="I568" t="s">
        <v>198</v>
      </c>
      <c r="J568" s="18">
        <v>6910.13</v>
      </c>
      <c r="K568" s="18"/>
      <c r="L568" s="18">
        <v>6676.5470619799498</v>
      </c>
      <c r="M568" s="18">
        <v>234.39330785208901</v>
      </c>
      <c r="N568" s="18"/>
      <c r="O568" s="18"/>
      <c r="P568" s="3">
        <v>0</v>
      </c>
      <c r="Q568" s="3">
        <v>0</v>
      </c>
      <c r="R568" s="3">
        <v>0</v>
      </c>
      <c r="S568" s="3"/>
      <c r="T568" s="3" t="b">
        <v>0</v>
      </c>
      <c r="U568" s="3">
        <v>3075</v>
      </c>
      <c r="V568" s="3">
        <v>0</v>
      </c>
      <c r="W568" s="3">
        <v>2224</v>
      </c>
      <c r="X568" s="3">
        <v>18.38</v>
      </c>
    </row>
    <row r="569" spans="1:24" hidden="1">
      <c r="A569" s="1">
        <v>45292</v>
      </c>
      <c r="B569" s="1" t="s">
        <v>823</v>
      </c>
      <c r="C569" s="2" t="s">
        <v>813</v>
      </c>
      <c r="D569" s="2" t="s">
        <v>279</v>
      </c>
      <c r="E569" s="2" t="s">
        <v>737</v>
      </c>
      <c r="F569" s="2" t="s">
        <v>281</v>
      </c>
      <c r="G569" s="2" t="s">
        <v>141</v>
      </c>
      <c r="H569" s="2" t="s">
        <v>597</v>
      </c>
      <c r="I569" t="s">
        <v>198</v>
      </c>
      <c r="J569" s="18">
        <v>9729.41</v>
      </c>
      <c r="K569" s="18"/>
      <c r="L569" s="18">
        <v>6643.9016314861201</v>
      </c>
      <c r="M569" s="18">
        <v>3084.6901540356798</v>
      </c>
      <c r="N569" s="18"/>
      <c r="O569" s="18"/>
      <c r="P569" s="3">
        <v>0</v>
      </c>
      <c r="Q569" s="3">
        <v>1</v>
      </c>
      <c r="R569" s="3">
        <v>1</v>
      </c>
      <c r="S569" s="3"/>
      <c r="T569" s="3" t="b">
        <v>0</v>
      </c>
      <c r="U569" s="3">
        <v>2141</v>
      </c>
      <c r="V569" s="3">
        <v>0</v>
      </c>
      <c r="W569" s="3">
        <v>2082</v>
      </c>
      <c r="X569" s="3">
        <v>17.59</v>
      </c>
    </row>
    <row r="570" spans="1:24" hidden="1">
      <c r="A570" s="1">
        <v>45323</v>
      </c>
      <c r="B570" s="1" t="s">
        <v>824</v>
      </c>
      <c r="C570" s="2" t="s">
        <v>813</v>
      </c>
      <c r="D570" s="2" t="s">
        <v>279</v>
      </c>
      <c r="E570" s="2" t="s">
        <v>737</v>
      </c>
      <c r="F570" s="2" t="s">
        <v>281</v>
      </c>
      <c r="G570" s="2" t="s">
        <v>141</v>
      </c>
      <c r="H570" s="2" t="s">
        <v>597</v>
      </c>
      <c r="I570" t="s">
        <v>198</v>
      </c>
      <c r="J570" s="18">
        <v>8245.93</v>
      </c>
      <c r="K570" s="18"/>
      <c r="L570" s="18">
        <v>6611.2562187327203</v>
      </c>
      <c r="M570" s="18">
        <v>1635.9183607238101</v>
      </c>
      <c r="N570" s="18"/>
      <c r="O570" s="18"/>
      <c r="P570" s="3">
        <v>0</v>
      </c>
      <c r="Q570" s="3">
        <v>1</v>
      </c>
      <c r="R570" s="3">
        <v>1</v>
      </c>
      <c r="S570" s="3"/>
      <c r="T570" s="3" t="b">
        <v>0</v>
      </c>
      <c r="U570" s="3">
        <v>3487</v>
      </c>
      <c r="V570" s="3">
        <v>0</v>
      </c>
      <c r="W570" s="3">
        <v>1886</v>
      </c>
      <c r="X570" s="3">
        <v>16.73</v>
      </c>
    </row>
    <row r="571" spans="1:24" hidden="1">
      <c r="A571" s="1">
        <v>45352</v>
      </c>
      <c r="B571" s="1" t="s">
        <v>825</v>
      </c>
      <c r="C571" s="2" t="s">
        <v>813</v>
      </c>
      <c r="D571" s="2" t="s">
        <v>279</v>
      </c>
      <c r="E571" s="2" t="s">
        <v>737</v>
      </c>
      <c r="F571" s="2" t="s">
        <v>281</v>
      </c>
      <c r="G571" s="2" t="s">
        <v>141</v>
      </c>
      <c r="H571" s="2" t="s">
        <v>597</v>
      </c>
      <c r="I571" t="s">
        <v>198</v>
      </c>
      <c r="J571" s="18">
        <v>5510.97</v>
      </c>
      <c r="K571" s="18"/>
      <c r="L571" s="18">
        <v>6580.7152604846196</v>
      </c>
      <c r="M571" s="18">
        <v>-1038.6885649444</v>
      </c>
      <c r="N571" s="18"/>
      <c r="O571" s="18"/>
      <c r="P571" s="3">
        <v>0</v>
      </c>
      <c r="Q571" s="3">
        <v>1</v>
      </c>
      <c r="R571" s="3">
        <v>0</v>
      </c>
      <c r="S571" s="3"/>
      <c r="T571" s="3" t="b">
        <v>0</v>
      </c>
      <c r="U571" s="3">
        <v>2045</v>
      </c>
      <c r="V571" s="3">
        <v>0</v>
      </c>
      <c r="W571" s="3">
        <v>1392</v>
      </c>
      <c r="X571" s="3">
        <v>16.93</v>
      </c>
    </row>
    <row r="572" spans="1:24" hidden="1">
      <c r="A572" s="1">
        <v>45383</v>
      </c>
      <c r="B572" s="1" t="s">
        <v>826</v>
      </c>
      <c r="C572" s="2" t="s">
        <v>813</v>
      </c>
      <c r="D572" s="2" t="s">
        <v>279</v>
      </c>
      <c r="E572" s="2" t="s">
        <v>737</v>
      </c>
      <c r="F572" s="2" t="s">
        <v>281</v>
      </c>
      <c r="G572" s="2" t="s">
        <v>141</v>
      </c>
      <c r="H572" s="2" t="s">
        <v>597</v>
      </c>
      <c r="I572" t="s">
        <v>198</v>
      </c>
      <c r="J572" s="18">
        <v>5569.6</v>
      </c>
      <c r="K572" s="18"/>
      <c r="L572" s="18">
        <v>6548.0680401818299</v>
      </c>
      <c r="M572" s="18">
        <v>-984.90209574975199</v>
      </c>
      <c r="N572" s="18"/>
      <c r="O572" s="18"/>
      <c r="P572" s="3">
        <v>0</v>
      </c>
      <c r="Q572" s="3">
        <v>1</v>
      </c>
      <c r="R572" s="3">
        <v>0</v>
      </c>
      <c r="S572" s="3"/>
      <c r="T572" s="3" t="b">
        <v>0</v>
      </c>
      <c r="U572" s="3">
        <v>4891</v>
      </c>
      <c r="V572" s="3">
        <v>0</v>
      </c>
      <c r="W572" s="3">
        <v>2675</v>
      </c>
      <c r="X572" s="3">
        <v>17.149999999999999</v>
      </c>
    </row>
    <row r="573" spans="1:24" hidden="1">
      <c r="A573" s="1">
        <v>45413</v>
      </c>
      <c r="B573" s="1" t="s">
        <v>827</v>
      </c>
      <c r="C573" s="2" t="s">
        <v>813</v>
      </c>
      <c r="D573" s="2" t="s">
        <v>279</v>
      </c>
      <c r="E573" s="2" t="s">
        <v>737</v>
      </c>
      <c r="F573" s="2" t="s">
        <v>281</v>
      </c>
      <c r="G573" s="2" t="s">
        <v>141</v>
      </c>
      <c r="H573" s="2" t="s">
        <v>597</v>
      </c>
      <c r="I573" t="s">
        <v>198</v>
      </c>
      <c r="J573" s="18">
        <v>5607.86</v>
      </c>
      <c r="K573" s="18"/>
      <c r="L573" s="18">
        <v>6516.2592006967898</v>
      </c>
      <c r="M573" s="18">
        <v>-948.32870052067699</v>
      </c>
      <c r="N573" s="18"/>
      <c r="O573" s="18"/>
      <c r="P573" s="3">
        <v>0</v>
      </c>
      <c r="Q573" s="3">
        <v>1</v>
      </c>
      <c r="R573" s="3">
        <v>0</v>
      </c>
      <c r="S573" s="3"/>
      <c r="T573" s="3" t="b">
        <v>0</v>
      </c>
      <c r="U573" s="3">
        <v>4057</v>
      </c>
      <c r="V573" s="3">
        <v>0</v>
      </c>
      <c r="W573" s="3">
        <v>2142</v>
      </c>
      <c r="X573" s="3">
        <v>19.739999999999998</v>
      </c>
    </row>
    <row r="574" spans="1:24" hidden="1">
      <c r="A574" s="1">
        <v>45444</v>
      </c>
      <c r="B574" s="1" t="s">
        <v>828</v>
      </c>
      <c r="C574" s="2" t="s">
        <v>813</v>
      </c>
      <c r="D574" s="2" t="s">
        <v>279</v>
      </c>
      <c r="E574" s="2" t="s">
        <v>737</v>
      </c>
      <c r="F574" s="2" t="s">
        <v>281</v>
      </c>
      <c r="G574" s="2" t="s">
        <v>141</v>
      </c>
      <c r="H574" s="2" t="s">
        <v>597</v>
      </c>
      <c r="I574" t="s">
        <v>198</v>
      </c>
      <c r="J574" s="18">
        <v>5591.68</v>
      </c>
      <c r="K574" s="18"/>
      <c r="L574" s="18">
        <v>6298.6962165964997</v>
      </c>
      <c r="M574" s="18">
        <v>-812.13621442685803</v>
      </c>
      <c r="N574" s="18"/>
      <c r="O574" s="18"/>
      <c r="P574" s="3">
        <v>0</v>
      </c>
      <c r="Q574" s="3">
        <v>1</v>
      </c>
      <c r="R574" s="3">
        <v>0</v>
      </c>
      <c r="S574" s="3"/>
      <c r="T574" s="3" t="b">
        <v>0</v>
      </c>
      <c r="U574" s="3">
        <v>2663</v>
      </c>
      <c r="V574" s="3">
        <v>0</v>
      </c>
      <c r="W574" s="3">
        <v>2576</v>
      </c>
      <c r="X574" s="3">
        <v>17.86</v>
      </c>
    </row>
    <row r="575" spans="1:24" hidden="1">
      <c r="A575" s="1">
        <v>45474</v>
      </c>
      <c r="B575" s="1" t="s">
        <v>829</v>
      </c>
      <c r="C575" s="2" t="s">
        <v>813</v>
      </c>
      <c r="D575" s="2" t="s">
        <v>279</v>
      </c>
      <c r="E575" s="2" t="s">
        <v>737</v>
      </c>
      <c r="F575" s="2" t="s">
        <v>281</v>
      </c>
      <c r="G575" s="2" t="s">
        <v>141</v>
      </c>
      <c r="H575" s="2" t="s">
        <v>597</v>
      </c>
      <c r="I575" t="s">
        <v>198</v>
      </c>
      <c r="J575" s="18">
        <v>5488.48</v>
      </c>
      <c r="K575" s="18">
        <v>5998.91</v>
      </c>
      <c r="L575" s="18">
        <v>6088.1513932736498</v>
      </c>
      <c r="M575" s="18">
        <v>-531.62060309722699</v>
      </c>
      <c r="N575" s="18">
        <v>6198.91</v>
      </c>
      <c r="O575" s="18">
        <v>5798.91</v>
      </c>
      <c r="P575" s="3">
        <v>0</v>
      </c>
      <c r="Q575" s="3">
        <v>1</v>
      </c>
      <c r="R575" s="3">
        <v>0</v>
      </c>
      <c r="S575" s="3"/>
      <c r="T575" s="3" t="b">
        <v>0</v>
      </c>
      <c r="U575" s="3">
        <v>2572</v>
      </c>
      <c r="V575" s="3">
        <v>1</v>
      </c>
      <c r="W575" s="3">
        <v>1398</v>
      </c>
      <c r="X575" s="3">
        <v>17.97</v>
      </c>
    </row>
    <row r="576" spans="1:24" hidden="1">
      <c r="A576" s="1">
        <v>45505</v>
      </c>
      <c r="B576" s="1" t="s">
        <v>830</v>
      </c>
      <c r="C576" s="2" t="s">
        <v>813</v>
      </c>
      <c r="D576" s="2" t="s">
        <v>279</v>
      </c>
      <c r="E576" s="2" t="s">
        <v>737</v>
      </c>
      <c r="F576" s="2" t="s">
        <v>281</v>
      </c>
      <c r="G576" s="2" t="s">
        <v>141</v>
      </c>
      <c r="H576" s="2" t="s">
        <v>597</v>
      </c>
      <c r="I576" t="s">
        <v>198</v>
      </c>
      <c r="J576" s="18">
        <v>5369.34</v>
      </c>
      <c r="K576" s="18">
        <v>5952.48</v>
      </c>
      <c r="L576" s="18">
        <v>5870.5884091733597</v>
      </c>
      <c r="M576" s="18">
        <v>-393.84969188364698</v>
      </c>
      <c r="N576" s="18">
        <v>6152.48</v>
      </c>
      <c r="O576" s="18">
        <v>5752.48</v>
      </c>
      <c r="P576" s="3">
        <v>0</v>
      </c>
      <c r="Q576" s="3">
        <v>1</v>
      </c>
      <c r="R576" s="3">
        <v>0</v>
      </c>
      <c r="S576" s="3"/>
      <c r="T576" s="3" t="b">
        <v>0</v>
      </c>
      <c r="U576" s="3">
        <v>4029</v>
      </c>
      <c r="V576" s="3">
        <v>0</v>
      </c>
      <c r="W576" s="3">
        <v>2857</v>
      </c>
      <c r="X576" s="3">
        <v>18.75</v>
      </c>
    </row>
    <row r="577" spans="1:24" hidden="1">
      <c r="A577" s="1">
        <v>45536</v>
      </c>
      <c r="B577" s="1" t="s">
        <v>831</v>
      </c>
      <c r="C577" s="2" t="s">
        <v>813</v>
      </c>
      <c r="D577" s="2" t="s">
        <v>279</v>
      </c>
      <c r="E577" s="2" t="s">
        <v>737</v>
      </c>
      <c r="F577" s="2" t="s">
        <v>281</v>
      </c>
      <c r="G577" s="2" t="s">
        <v>141</v>
      </c>
      <c r="H577" s="2" t="s">
        <v>597</v>
      </c>
      <c r="I577" t="s">
        <v>198</v>
      </c>
      <c r="J577" s="18">
        <v>5642.84</v>
      </c>
      <c r="K577" s="18">
        <v>6540.05</v>
      </c>
      <c r="L577" s="18">
        <v>5653.0254250730804</v>
      </c>
      <c r="M577" s="18">
        <v>-66.086692716155</v>
      </c>
      <c r="N577" s="18">
        <v>6740.05</v>
      </c>
      <c r="O577" s="18">
        <v>6340.05</v>
      </c>
      <c r="P577" s="3">
        <v>0</v>
      </c>
      <c r="Q577" s="3">
        <v>1</v>
      </c>
      <c r="R577" s="3">
        <v>0</v>
      </c>
      <c r="S577" s="3"/>
      <c r="T577" s="3" t="b">
        <v>0</v>
      </c>
      <c r="U577" s="3">
        <v>3553</v>
      </c>
      <c r="V577" s="3">
        <v>0</v>
      </c>
      <c r="W577" s="3">
        <v>1330</v>
      </c>
      <c r="X577" s="3">
        <v>16.75</v>
      </c>
    </row>
    <row r="578" spans="1:24" hidden="1">
      <c r="A578" s="1">
        <v>45566</v>
      </c>
      <c r="B578" s="1" t="s">
        <v>832</v>
      </c>
      <c r="C578" s="2" t="s">
        <v>813</v>
      </c>
      <c r="D578" s="2" t="s">
        <v>279</v>
      </c>
      <c r="E578" s="2" t="s">
        <v>737</v>
      </c>
      <c r="F578" s="2" t="s">
        <v>281</v>
      </c>
      <c r="G578" s="2" t="s">
        <v>141</v>
      </c>
      <c r="H578" s="2" t="s">
        <v>597</v>
      </c>
      <c r="I578" t="s">
        <v>224</v>
      </c>
      <c r="J578" s="18"/>
      <c r="K578" s="18">
        <v>6157.8</v>
      </c>
      <c r="L578" s="18">
        <v>5442.4806017502297</v>
      </c>
      <c r="M578" s="18">
        <v>-455.92937233590197</v>
      </c>
      <c r="N578" s="18">
        <v>6357.8</v>
      </c>
      <c r="O578" s="18">
        <v>5957.8</v>
      </c>
      <c r="P578" s="3"/>
      <c r="Q578" s="3"/>
      <c r="R578" s="3"/>
      <c r="S578" s="3"/>
      <c r="T578" s="3"/>
      <c r="U578" s="3"/>
      <c r="V578" s="3"/>
      <c r="W578" s="3">
        <v>2290</v>
      </c>
      <c r="X578" s="3">
        <v>19.670000000000002</v>
      </c>
    </row>
    <row r="579" spans="1:24" hidden="1">
      <c r="A579" s="1">
        <v>45597</v>
      </c>
      <c r="B579" s="1" t="s">
        <v>833</v>
      </c>
      <c r="C579" s="2" t="s">
        <v>813</v>
      </c>
      <c r="D579" s="2" t="s">
        <v>279</v>
      </c>
      <c r="E579" s="2" t="s">
        <v>737</v>
      </c>
      <c r="F579" s="2" t="s">
        <v>281</v>
      </c>
      <c r="G579" s="2" t="s">
        <v>141</v>
      </c>
      <c r="H579" s="2" t="s">
        <v>597</v>
      </c>
      <c r="I579" t="s">
        <v>224</v>
      </c>
      <c r="J579" s="18"/>
      <c r="K579" s="18">
        <v>6261.13</v>
      </c>
      <c r="L579" s="18">
        <v>5224.9176176499404</v>
      </c>
      <c r="M579" s="18">
        <v>117.71409798304001</v>
      </c>
      <c r="N579" s="18">
        <v>6461.13</v>
      </c>
      <c r="O579" s="18">
        <v>6061.13</v>
      </c>
      <c r="P579" s="3"/>
      <c r="Q579" s="3"/>
      <c r="R579" s="3"/>
      <c r="S579" s="3"/>
      <c r="T579" s="3"/>
      <c r="U579" s="3"/>
      <c r="V579" s="3"/>
      <c r="W579" s="3">
        <v>2543</v>
      </c>
      <c r="X579" s="3">
        <v>16.809999999999999</v>
      </c>
    </row>
    <row r="580" spans="1:24" hidden="1">
      <c r="A580" s="1">
        <v>45627</v>
      </c>
      <c r="B580" s="1" t="s">
        <v>834</v>
      </c>
      <c r="C580" s="2" t="s">
        <v>813</v>
      </c>
      <c r="D580" s="2" t="s">
        <v>279</v>
      </c>
      <c r="E580" s="2" t="s">
        <v>737</v>
      </c>
      <c r="F580" s="2" t="s">
        <v>281</v>
      </c>
      <c r="G580" s="2" t="s">
        <v>141</v>
      </c>
      <c r="H580" s="2" t="s">
        <v>597</v>
      </c>
      <c r="I580" t="s">
        <v>224</v>
      </c>
      <c r="J580" s="18"/>
      <c r="K580" s="18">
        <v>6752.28</v>
      </c>
      <c r="L580" s="18">
        <v>5014.3727943270897</v>
      </c>
      <c r="M580" s="18">
        <v>182.656779441726</v>
      </c>
      <c r="N580" s="18">
        <v>6952.28</v>
      </c>
      <c r="O580" s="18">
        <v>6552.28</v>
      </c>
      <c r="P580" s="3"/>
      <c r="Q580" s="3"/>
      <c r="R580" s="3"/>
      <c r="S580" s="3"/>
      <c r="T580" s="3"/>
      <c r="U580" s="3"/>
      <c r="V580" s="3"/>
      <c r="W580" s="3">
        <v>2718</v>
      </c>
      <c r="X580" s="3">
        <v>16.32</v>
      </c>
    </row>
    <row r="581" spans="1:24" hidden="1">
      <c r="A581" s="1">
        <v>44774</v>
      </c>
      <c r="B581" s="1" t="s">
        <v>835</v>
      </c>
      <c r="C581" s="2" t="s">
        <v>836</v>
      </c>
      <c r="D581" s="2" t="s">
        <v>279</v>
      </c>
      <c r="E581" s="2" t="s">
        <v>737</v>
      </c>
      <c r="F581" s="2" t="s">
        <v>837</v>
      </c>
      <c r="G581" s="2" t="s">
        <v>133</v>
      </c>
      <c r="H581" s="2" t="s">
        <v>838</v>
      </c>
      <c r="I581" t="s">
        <v>198</v>
      </c>
      <c r="J581" s="18">
        <v>6915.04</v>
      </c>
      <c r="K581" s="18"/>
      <c r="L581" s="18">
        <v>6590.9754537299996</v>
      </c>
      <c r="M581" s="18">
        <v>-534.139837999767</v>
      </c>
      <c r="N581" s="18"/>
      <c r="O581" s="18"/>
      <c r="P581" s="3">
        <v>0</v>
      </c>
      <c r="Q581" s="3">
        <v>0</v>
      </c>
      <c r="R581" s="3">
        <v>0</v>
      </c>
      <c r="S581" s="3"/>
      <c r="T581" s="3" t="b">
        <v>0</v>
      </c>
      <c r="U581" s="3">
        <v>3938</v>
      </c>
      <c r="V581" s="3">
        <v>1</v>
      </c>
      <c r="W581" s="3">
        <v>2192</v>
      </c>
      <c r="X581" s="3">
        <v>12.54</v>
      </c>
    </row>
    <row r="582" spans="1:24" hidden="1">
      <c r="A582" s="1">
        <v>44805</v>
      </c>
      <c r="B582" s="1" t="s">
        <v>839</v>
      </c>
      <c r="C582" s="2" t="s">
        <v>836</v>
      </c>
      <c r="D582" s="2" t="s">
        <v>279</v>
      </c>
      <c r="E582" s="2" t="s">
        <v>737</v>
      </c>
      <c r="F582" s="2" t="s">
        <v>837</v>
      </c>
      <c r="G582" s="2" t="s">
        <v>133</v>
      </c>
      <c r="H582" s="2" t="s">
        <v>838</v>
      </c>
      <c r="I582" t="s">
        <v>198</v>
      </c>
      <c r="J582" s="18">
        <v>7367.47</v>
      </c>
      <c r="K582" s="18"/>
      <c r="L582" s="18">
        <v>6642.1853170330296</v>
      </c>
      <c r="M582" s="18">
        <v>381.45230954799803</v>
      </c>
      <c r="N582" s="18"/>
      <c r="O582" s="18"/>
      <c r="P582" s="3">
        <v>0</v>
      </c>
      <c r="Q582" s="3">
        <v>0</v>
      </c>
      <c r="R582" s="3">
        <v>0</v>
      </c>
      <c r="S582" s="3"/>
      <c r="T582" s="3" t="b">
        <v>0</v>
      </c>
      <c r="U582" s="3">
        <v>3404</v>
      </c>
      <c r="V582" s="3">
        <v>1</v>
      </c>
      <c r="W582" s="3">
        <v>1989</v>
      </c>
      <c r="X582" s="3">
        <v>14.42</v>
      </c>
    </row>
    <row r="583" spans="1:24" hidden="1">
      <c r="A583" s="1">
        <v>44835</v>
      </c>
      <c r="B583" s="1" t="s">
        <v>840</v>
      </c>
      <c r="C583" s="2" t="s">
        <v>836</v>
      </c>
      <c r="D583" s="2" t="s">
        <v>279</v>
      </c>
      <c r="E583" s="2" t="s">
        <v>737</v>
      </c>
      <c r="F583" s="2" t="s">
        <v>837</v>
      </c>
      <c r="G583" s="2" t="s">
        <v>133</v>
      </c>
      <c r="H583" s="2" t="s">
        <v>838</v>
      </c>
      <c r="I583" t="s">
        <v>198</v>
      </c>
      <c r="J583" s="18">
        <v>6990.1</v>
      </c>
      <c r="K583" s="18"/>
      <c r="L583" s="18">
        <v>6691.7432491845602</v>
      </c>
      <c r="M583" s="18">
        <v>551.56819613229095</v>
      </c>
      <c r="N583" s="18"/>
      <c r="O583" s="18"/>
      <c r="P583" s="3">
        <v>0</v>
      </c>
      <c r="Q583" s="3">
        <v>0</v>
      </c>
      <c r="R583" s="3">
        <v>0</v>
      </c>
      <c r="S583" s="3"/>
      <c r="T583" s="3" t="b">
        <v>0</v>
      </c>
      <c r="U583" s="3">
        <v>2443</v>
      </c>
      <c r="V583" s="3">
        <v>0</v>
      </c>
      <c r="W583" s="3">
        <v>1297</v>
      </c>
      <c r="X583" s="3">
        <v>15.69</v>
      </c>
    </row>
    <row r="584" spans="1:24" hidden="1">
      <c r="A584" s="1">
        <v>44866</v>
      </c>
      <c r="B584" s="1" t="s">
        <v>841</v>
      </c>
      <c r="C584" s="2" t="s">
        <v>836</v>
      </c>
      <c r="D584" s="2" t="s">
        <v>279</v>
      </c>
      <c r="E584" s="2" t="s">
        <v>737</v>
      </c>
      <c r="F584" s="2" t="s">
        <v>837</v>
      </c>
      <c r="G584" s="2" t="s">
        <v>133</v>
      </c>
      <c r="H584" s="2" t="s">
        <v>838</v>
      </c>
      <c r="I584" t="s">
        <v>198</v>
      </c>
      <c r="J584" s="18">
        <v>6636.13</v>
      </c>
      <c r="K584" s="18"/>
      <c r="L584" s="18">
        <v>6742.95311254649</v>
      </c>
      <c r="M584" s="18">
        <v>149.32276592682899</v>
      </c>
      <c r="N584" s="18"/>
      <c r="O584" s="18"/>
      <c r="P584" s="3">
        <v>0</v>
      </c>
      <c r="Q584" s="3">
        <v>0</v>
      </c>
      <c r="R584" s="3">
        <v>0</v>
      </c>
      <c r="S584" s="3"/>
      <c r="T584" s="3" t="b">
        <v>0</v>
      </c>
      <c r="U584" s="3">
        <v>2259</v>
      </c>
      <c r="V584" s="3">
        <v>0</v>
      </c>
      <c r="W584" s="3">
        <v>1232</v>
      </c>
      <c r="X584" s="3">
        <v>13.89</v>
      </c>
    </row>
    <row r="585" spans="1:24" hidden="1">
      <c r="A585" s="1">
        <v>44896</v>
      </c>
      <c r="B585" s="1" t="s">
        <v>842</v>
      </c>
      <c r="C585" s="2" t="s">
        <v>836</v>
      </c>
      <c r="D585" s="2" t="s">
        <v>279</v>
      </c>
      <c r="E585" s="2" t="s">
        <v>737</v>
      </c>
      <c r="F585" s="2" t="s">
        <v>837</v>
      </c>
      <c r="G585" s="2" t="s">
        <v>133</v>
      </c>
      <c r="H585" s="2" t="s">
        <v>838</v>
      </c>
      <c r="I585" t="s">
        <v>198</v>
      </c>
      <c r="J585" s="18">
        <v>6883.27</v>
      </c>
      <c r="K585" s="18"/>
      <c r="L585" s="18">
        <v>6792.51104498734</v>
      </c>
      <c r="M585" s="18">
        <v>85.200461240016395</v>
      </c>
      <c r="N585" s="18"/>
      <c r="O585" s="18"/>
      <c r="P585" s="3">
        <v>0</v>
      </c>
      <c r="Q585" s="3">
        <v>0</v>
      </c>
      <c r="R585" s="3">
        <v>0</v>
      </c>
      <c r="S585" s="3"/>
      <c r="T585" s="3" t="b">
        <v>0</v>
      </c>
      <c r="U585" s="3">
        <v>3538</v>
      </c>
      <c r="V585" s="3">
        <v>0</v>
      </c>
      <c r="W585" s="3">
        <v>2926</v>
      </c>
      <c r="X585" s="3">
        <v>12.8</v>
      </c>
    </row>
    <row r="586" spans="1:24" hidden="1">
      <c r="A586" s="1">
        <v>44927</v>
      </c>
      <c r="B586" s="1" t="s">
        <v>843</v>
      </c>
      <c r="C586" s="2" t="s">
        <v>836</v>
      </c>
      <c r="D586" s="2" t="s">
        <v>279</v>
      </c>
      <c r="E586" s="2" t="s">
        <v>737</v>
      </c>
      <c r="F586" s="2" t="s">
        <v>837</v>
      </c>
      <c r="G586" s="2" t="s">
        <v>133</v>
      </c>
      <c r="H586" s="2" t="s">
        <v>838</v>
      </c>
      <c r="I586" t="s">
        <v>198</v>
      </c>
      <c r="J586" s="18">
        <v>6611.42</v>
      </c>
      <c r="K586" s="18"/>
      <c r="L586" s="18">
        <v>6843.7209086123703</v>
      </c>
      <c r="M586" s="18">
        <v>158.75428263335201</v>
      </c>
      <c r="N586" s="18"/>
      <c r="O586" s="18"/>
      <c r="P586" s="3">
        <v>0</v>
      </c>
      <c r="Q586" s="3">
        <v>0</v>
      </c>
      <c r="R586" s="3">
        <v>0</v>
      </c>
      <c r="S586" s="3"/>
      <c r="T586" s="3" t="b">
        <v>0</v>
      </c>
      <c r="U586" s="3">
        <v>3331</v>
      </c>
      <c r="V586" s="3">
        <v>0</v>
      </c>
      <c r="W586" s="3">
        <v>1270</v>
      </c>
      <c r="X586" s="3">
        <v>12.66</v>
      </c>
    </row>
    <row r="587" spans="1:24" hidden="1">
      <c r="A587" s="1">
        <v>44958</v>
      </c>
      <c r="B587" s="1" t="s">
        <v>844</v>
      </c>
      <c r="C587" s="2" t="s">
        <v>836</v>
      </c>
      <c r="D587" s="2" t="s">
        <v>279</v>
      </c>
      <c r="E587" s="2" t="s">
        <v>737</v>
      </c>
      <c r="F587" s="2" t="s">
        <v>837</v>
      </c>
      <c r="G587" s="2" t="s">
        <v>133</v>
      </c>
      <c r="H587" s="2" t="s">
        <v>838</v>
      </c>
      <c r="I587" t="s">
        <v>198</v>
      </c>
      <c r="J587" s="18">
        <v>6579.33</v>
      </c>
      <c r="K587" s="18"/>
      <c r="L587" s="18">
        <v>6894.9307724787004</v>
      </c>
      <c r="M587" s="18">
        <v>-2.7833783444717901</v>
      </c>
      <c r="N587" s="18"/>
      <c r="O587" s="18"/>
      <c r="P587" s="3">
        <v>0</v>
      </c>
      <c r="Q587" s="3">
        <v>0</v>
      </c>
      <c r="R587" s="3">
        <v>0</v>
      </c>
      <c r="S587" s="3"/>
      <c r="T587" s="3" t="b">
        <v>0</v>
      </c>
      <c r="U587" s="3">
        <v>4786</v>
      </c>
      <c r="V587" s="3">
        <v>0</v>
      </c>
      <c r="W587" s="3">
        <v>2083</v>
      </c>
      <c r="X587" s="3">
        <v>13.15</v>
      </c>
    </row>
    <row r="588" spans="1:24" hidden="1">
      <c r="A588" s="1">
        <v>44986</v>
      </c>
      <c r="B588" s="1" t="s">
        <v>845</v>
      </c>
      <c r="C588" s="2" t="s">
        <v>836</v>
      </c>
      <c r="D588" s="2" t="s">
        <v>279</v>
      </c>
      <c r="E588" s="2" t="s">
        <v>737</v>
      </c>
      <c r="F588" s="2" t="s">
        <v>837</v>
      </c>
      <c r="G588" s="2" t="s">
        <v>133</v>
      </c>
      <c r="H588" s="2" t="s">
        <v>838</v>
      </c>
      <c r="I588" t="s">
        <v>198</v>
      </c>
      <c r="J588" s="18">
        <v>6561.49</v>
      </c>
      <c r="K588" s="18"/>
      <c r="L588" s="18">
        <v>6941.1848432035504</v>
      </c>
      <c r="M588" s="18">
        <v>228.97551958241601</v>
      </c>
      <c r="N588" s="18"/>
      <c r="O588" s="18"/>
      <c r="P588" s="3">
        <v>0</v>
      </c>
      <c r="Q588" s="3">
        <v>0</v>
      </c>
      <c r="R588" s="3">
        <v>0</v>
      </c>
      <c r="S588" s="3"/>
      <c r="T588" s="3" t="b">
        <v>0</v>
      </c>
      <c r="U588" s="3">
        <v>4843</v>
      </c>
      <c r="V588" s="3">
        <v>0</v>
      </c>
      <c r="W588" s="3">
        <v>2319</v>
      </c>
      <c r="X588" s="3">
        <v>13.15</v>
      </c>
    </row>
    <row r="589" spans="1:24" hidden="1">
      <c r="A589" s="1">
        <v>45017</v>
      </c>
      <c r="B589" s="1" t="s">
        <v>846</v>
      </c>
      <c r="C589" s="2" t="s">
        <v>836</v>
      </c>
      <c r="D589" s="2" t="s">
        <v>279</v>
      </c>
      <c r="E589" s="2" t="s">
        <v>737</v>
      </c>
      <c r="F589" s="2" t="s">
        <v>837</v>
      </c>
      <c r="G589" s="2" t="s">
        <v>133</v>
      </c>
      <c r="H589" s="2" t="s">
        <v>838</v>
      </c>
      <c r="I589" t="s">
        <v>198</v>
      </c>
      <c r="J589" s="18">
        <v>6456.73</v>
      </c>
      <c r="K589" s="18"/>
      <c r="L589" s="18">
        <v>6992.3973921818997</v>
      </c>
      <c r="M589" s="18">
        <v>-396.01864024935901</v>
      </c>
      <c r="N589" s="18"/>
      <c r="O589" s="18"/>
      <c r="P589" s="3">
        <v>0</v>
      </c>
      <c r="Q589" s="3">
        <v>0</v>
      </c>
      <c r="R589" s="3">
        <v>0</v>
      </c>
      <c r="S589" s="3"/>
      <c r="T589" s="3" t="b">
        <v>1</v>
      </c>
      <c r="U589" s="3">
        <v>2069</v>
      </c>
      <c r="V589" s="3">
        <v>1</v>
      </c>
      <c r="W589" s="3">
        <v>2490</v>
      </c>
      <c r="X589" s="3">
        <v>13.22</v>
      </c>
    </row>
    <row r="590" spans="1:24" hidden="1">
      <c r="A590" s="1">
        <v>45047</v>
      </c>
      <c r="B590" s="1" t="s">
        <v>847</v>
      </c>
      <c r="C590" s="2" t="s">
        <v>836</v>
      </c>
      <c r="D590" s="2" t="s">
        <v>279</v>
      </c>
      <c r="E590" s="2" t="s">
        <v>737</v>
      </c>
      <c r="F590" s="2" t="s">
        <v>837</v>
      </c>
      <c r="G590" s="2" t="s">
        <v>133</v>
      </c>
      <c r="H590" s="2" t="s">
        <v>838</v>
      </c>
      <c r="I590" t="s">
        <v>198</v>
      </c>
      <c r="J590" s="18">
        <v>7137.79</v>
      </c>
      <c r="K590" s="18"/>
      <c r="L590" s="18">
        <v>7041.95800266061</v>
      </c>
      <c r="M590" s="18">
        <v>267.287744859192</v>
      </c>
      <c r="N590" s="18"/>
      <c r="O590" s="18"/>
      <c r="P590" s="3">
        <v>0</v>
      </c>
      <c r="Q590" s="3">
        <v>0</v>
      </c>
      <c r="R590" s="3">
        <v>0</v>
      </c>
      <c r="S590" s="3"/>
      <c r="T590" s="3" t="b">
        <v>0</v>
      </c>
      <c r="U590" s="3">
        <v>3477</v>
      </c>
      <c r="V590" s="3">
        <v>1</v>
      </c>
      <c r="W590" s="3">
        <v>2258</v>
      </c>
      <c r="X590" s="3">
        <v>12.06</v>
      </c>
    </row>
    <row r="591" spans="1:24" hidden="1">
      <c r="A591" s="1">
        <v>45078</v>
      </c>
      <c r="B591" s="1" t="s">
        <v>848</v>
      </c>
      <c r="C591" s="2" t="s">
        <v>836</v>
      </c>
      <c r="D591" s="2" t="s">
        <v>279</v>
      </c>
      <c r="E591" s="2" t="s">
        <v>737</v>
      </c>
      <c r="F591" s="2" t="s">
        <v>837</v>
      </c>
      <c r="G591" s="2" t="s">
        <v>133</v>
      </c>
      <c r="H591" s="2" t="s">
        <v>838</v>
      </c>
      <c r="I591" t="s">
        <v>198</v>
      </c>
      <c r="J591" s="18">
        <v>6908.54</v>
      </c>
      <c r="K591" s="18"/>
      <c r="L591" s="18">
        <v>7093.1718125056996</v>
      </c>
      <c r="M591" s="18">
        <v>-313.21298395582102</v>
      </c>
      <c r="N591" s="18"/>
      <c r="O591" s="18"/>
      <c r="P591" s="3">
        <v>0</v>
      </c>
      <c r="Q591" s="3">
        <v>0</v>
      </c>
      <c r="R591" s="3">
        <v>0</v>
      </c>
      <c r="S591" s="3"/>
      <c r="T591" s="3" t="b">
        <v>0</v>
      </c>
      <c r="U591" s="3">
        <v>3462</v>
      </c>
      <c r="V591" s="3">
        <v>0</v>
      </c>
      <c r="W591" s="3">
        <v>1676</v>
      </c>
      <c r="X591" s="3">
        <v>14.53</v>
      </c>
    </row>
    <row r="592" spans="1:24" hidden="1">
      <c r="A592" s="1">
        <v>45108</v>
      </c>
      <c r="B592" s="1" t="s">
        <v>849</v>
      </c>
      <c r="C592" s="2" t="s">
        <v>836</v>
      </c>
      <c r="D592" s="2" t="s">
        <v>279</v>
      </c>
      <c r="E592" s="2" t="s">
        <v>737</v>
      </c>
      <c r="F592" s="2" t="s">
        <v>837</v>
      </c>
      <c r="G592" s="2" t="s">
        <v>133</v>
      </c>
      <c r="H592" s="2" t="s">
        <v>838</v>
      </c>
      <c r="I592" t="s">
        <v>198</v>
      </c>
      <c r="J592" s="18">
        <v>7304.15</v>
      </c>
      <c r="K592" s="18"/>
      <c r="L592" s="18">
        <v>7142.7335639011098</v>
      </c>
      <c r="M592" s="18">
        <v>-88.578201872303197</v>
      </c>
      <c r="N592" s="18"/>
      <c r="O592" s="18"/>
      <c r="P592" s="3">
        <v>0</v>
      </c>
      <c r="Q592" s="3">
        <v>0</v>
      </c>
      <c r="R592" s="3">
        <v>0</v>
      </c>
      <c r="S592" s="3"/>
      <c r="T592" s="3" t="b">
        <v>0</v>
      </c>
      <c r="U592" s="3">
        <v>3848</v>
      </c>
      <c r="V592" s="3">
        <v>0</v>
      </c>
      <c r="W592" s="3">
        <v>1705</v>
      </c>
      <c r="X592" s="3">
        <v>12.83</v>
      </c>
    </row>
    <row r="593" spans="1:24" hidden="1">
      <c r="A593" s="1">
        <v>45139</v>
      </c>
      <c r="B593" s="1" t="s">
        <v>850</v>
      </c>
      <c r="C593" s="2" t="s">
        <v>836</v>
      </c>
      <c r="D593" s="2" t="s">
        <v>279</v>
      </c>
      <c r="E593" s="2" t="s">
        <v>737</v>
      </c>
      <c r="F593" s="2" t="s">
        <v>837</v>
      </c>
      <c r="G593" s="2" t="s">
        <v>133</v>
      </c>
      <c r="H593" s="2" t="s">
        <v>838</v>
      </c>
      <c r="I593" t="s">
        <v>198</v>
      </c>
      <c r="J593" s="18">
        <v>5843.3</v>
      </c>
      <c r="K593" s="18"/>
      <c r="L593" s="18">
        <v>7193.9473736370901</v>
      </c>
      <c r="M593" s="18">
        <v>-619.03622001142605</v>
      </c>
      <c r="N593" s="18"/>
      <c r="O593" s="18"/>
      <c r="P593" s="3">
        <v>0</v>
      </c>
      <c r="Q593" s="3">
        <v>0</v>
      </c>
      <c r="R593" s="3">
        <v>1</v>
      </c>
      <c r="S593" s="3"/>
      <c r="T593" s="3" t="b">
        <v>0</v>
      </c>
      <c r="U593" s="3">
        <v>2480</v>
      </c>
      <c r="V593" s="3">
        <v>0</v>
      </c>
      <c r="W593" s="3">
        <v>1233</v>
      </c>
      <c r="X593" s="3">
        <v>13.92</v>
      </c>
    </row>
    <row r="594" spans="1:24" hidden="1">
      <c r="A594" s="1">
        <v>45170</v>
      </c>
      <c r="B594" s="1" t="s">
        <v>851</v>
      </c>
      <c r="C594" s="2" t="s">
        <v>836</v>
      </c>
      <c r="D594" s="2" t="s">
        <v>279</v>
      </c>
      <c r="E594" s="2" t="s">
        <v>737</v>
      </c>
      <c r="F594" s="2" t="s">
        <v>837</v>
      </c>
      <c r="G594" s="2" t="s">
        <v>133</v>
      </c>
      <c r="H594" s="2" t="s">
        <v>838</v>
      </c>
      <c r="I594" t="s">
        <v>198</v>
      </c>
      <c r="J594" s="18">
        <v>7764.48</v>
      </c>
      <c r="K594" s="18"/>
      <c r="L594" s="18">
        <v>7245.1611832824001</v>
      </c>
      <c r="M594" s="18">
        <v>455.67542080540198</v>
      </c>
      <c r="N594" s="18"/>
      <c r="O594" s="18"/>
      <c r="P594" s="3">
        <v>0</v>
      </c>
      <c r="Q594" s="3">
        <v>0</v>
      </c>
      <c r="R594" s="3">
        <v>0</v>
      </c>
      <c r="S594" s="3"/>
      <c r="T594" s="3" t="b">
        <v>0</v>
      </c>
      <c r="U594" s="3">
        <v>3167</v>
      </c>
      <c r="V594" s="3">
        <v>0</v>
      </c>
      <c r="W594" s="3">
        <v>2391</v>
      </c>
      <c r="X594" s="3">
        <v>14</v>
      </c>
    </row>
    <row r="595" spans="1:24" hidden="1">
      <c r="A595" s="1">
        <v>45200</v>
      </c>
      <c r="B595" s="1" t="s">
        <v>852</v>
      </c>
      <c r="C595" s="2" t="s">
        <v>836</v>
      </c>
      <c r="D595" s="2" t="s">
        <v>279</v>
      </c>
      <c r="E595" s="2" t="s">
        <v>737</v>
      </c>
      <c r="F595" s="2" t="s">
        <v>837</v>
      </c>
      <c r="G595" s="2" t="s">
        <v>133</v>
      </c>
      <c r="H595" s="2" t="s">
        <v>838</v>
      </c>
      <c r="I595" t="s">
        <v>198</v>
      </c>
      <c r="J595" s="18">
        <v>8030.75</v>
      </c>
      <c r="K595" s="18"/>
      <c r="L595" s="18">
        <v>7294.7229346397698</v>
      </c>
      <c r="M595" s="18">
        <v>473.53313324760097</v>
      </c>
      <c r="N595" s="18"/>
      <c r="O595" s="18"/>
      <c r="P595" s="3">
        <v>0</v>
      </c>
      <c r="Q595" s="3">
        <v>0</v>
      </c>
      <c r="R595" s="3">
        <v>0</v>
      </c>
      <c r="S595" s="3"/>
      <c r="T595" s="3" t="b">
        <v>0</v>
      </c>
      <c r="U595" s="3">
        <v>4071</v>
      </c>
      <c r="V595" s="3">
        <v>0</v>
      </c>
      <c r="W595" s="3">
        <v>2718</v>
      </c>
      <c r="X595" s="3">
        <v>11.92</v>
      </c>
    </row>
    <row r="596" spans="1:24" hidden="1">
      <c r="A596" s="1">
        <v>45231</v>
      </c>
      <c r="B596" s="1" t="s">
        <v>853</v>
      </c>
      <c r="C596" s="2" t="s">
        <v>836</v>
      </c>
      <c r="D596" s="2" t="s">
        <v>279</v>
      </c>
      <c r="E596" s="2" t="s">
        <v>737</v>
      </c>
      <c r="F596" s="2" t="s">
        <v>837</v>
      </c>
      <c r="G596" s="2" t="s">
        <v>133</v>
      </c>
      <c r="H596" s="2" t="s">
        <v>838</v>
      </c>
      <c r="I596" t="s">
        <v>198</v>
      </c>
      <c r="J596" s="18">
        <v>7830.63</v>
      </c>
      <c r="K596" s="18"/>
      <c r="L596" s="18">
        <v>7345.9367443561196</v>
      </c>
      <c r="M596" s="18">
        <v>232.54970341513001</v>
      </c>
      <c r="N596" s="18"/>
      <c r="O596" s="18"/>
      <c r="P596" s="3">
        <v>0</v>
      </c>
      <c r="Q596" s="3">
        <v>0</v>
      </c>
      <c r="R596" s="3">
        <v>0</v>
      </c>
      <c r="S596" s="3"/>
      <c r="T596" s="3" t="b">
        <v>0</v>
      </c>
      <c r="U596" s="3">
        <v>4793</v>
      </c>
      <c r="V596" s="3">
        <v>0</v>
      </c>
      <c r="W596" s="3">
        <v>1844</v>
      </c>
      <c r="X596" s="3">
        <v>14.08</v>
      </c>
    </row>
    <row r="597" spans="1:24" hidden="1">
      <c r="A597" s="1">
        <v>45292</v>
      </c>
      <c r="B597" s="1" t="s">
        <v>854</v>
      </c>
      <c r="C597" s="2" t="s">
        <v>836</v>
      </c>
      <c r="D597" s="2" t="s">
        <v>279</v>
      </c>
      <c r="E597" s="2" t="s">
        <v>737</v>
      </c>
      <c r="F597" s="2" t="s">
        <v>837</v>
      </c>
      <c r="G597" s="2" t="s">
        <v>133</v>
      </c>
      <c r="H597" s="2" t="s">
        <v>838</v>
      </c>
      <c r="I597" t="s">
        <v>198</v>
      </c>
      <c r="J597" s="18">
        <v>8068.12</v>
      </c>
      <c r="K597" s="18"/>
      <c r="L597" s="18">
        <v>7446.7123055501197</v>
      </c>
      <c r="M597" s="18">
        <v>240.84577810570201</v>
      </c>
      <c r="N597" s="18"/>
      <c r="O597" s="18"/>
      <c r="P597" s="3">
        <v>0</v>
      </c>
      <c r="Q597" s="3">
        <v>0</v>
      </c>
      <c r="R597" s="3">
        <v>0</v>
      </c>
      <c r="S597" s="3"/>
      <c r="T597" s="3" t="b">
        <v>0</v>
      </c>
      <c r="U597" s="3">
        <v>3198</v>
      </c>
      <c r="V597" s="3">
        <v>0</v>
      </c>
      <c r="W597" s="3">
        <v>2896</v>
      </c>
      <c r="X597" s="3">
        <v>3</v>
      </c>
    </row>
    <row r="598" spans="1:24" hidden="1">
      <c r="A598" s="1">
        <v>45323</v>
      </c>
      <c r="B598" s="1" t="s">
        <v>855</v>
      </c>
      <c r="C598" s="2" t="s">
        <v>836</v>
      </c>
      <c r="D598" s="2" t="s">
        <v>279</v>
      </c>
      <c r="E598" s="2" t="s">
        <v>737</v>
      </c>
      <c r="F598" s="2" t="s">
        <v>837</v>
      </c>
      <c r="G598" s="2" t="s">
        <v>133</v>
      </c>
      <c r="H598" s="2" t="s">
        <v>838</v>
      </c>
      <c r="I598" t="s">
        <v>198</v>
      </c>
      <c r="J598" s="18">
        <v>7750.78</v>
      </c>
      <c r="K598" s="18"/>
      <c r="L598" s="18">
        <v>7497.92611520631</v>
      </c>
      <c r="M598" s="18">
        <v>-78.626977870674907</v>
      </c>
      <c r="N598" s="18"/>
      <c r="O598" s="18"/>
      <c r="P598" s="3">
        <v>0</v>
      </c>
      <c r="Q598" s="3">
        <v>0</v>
      </c>
      <c r="R598" s="3">
        <v>0</v>
      </c>
      <c r="S598" s="3"/>
      <c r="T598" s="3" t="b">
        <v>0</v>
      </c>
      <c r="U598" s="3">
        <v>4372</v>
      </c>
      <c r="V598" s="3">
        <v>0</v>
      </c>
      <c r="W598" s="3">
        <v>1490</v>
      </c>
      <c r="X598" s="3">
        <v>12.26</v>
      </c>
    </row>
    <row r="599" spans="1:24" hidden="1">
      <c r="A599" s="1">
        <v>45352</v>
      </c>
      <c r="B599" s="1" t="s">
        <v>856</v>
      </c>
      <c r="C599" s="2" t="s">
        <v>836</v>
      </c>
      <c r="D599" s="2" t="s">
        <v>279</v>
      </c>
      <c r="E599" s="2" t="s">
        <v>737</v>
      </c>
      <c r="F599" s="2" t="s">
        <v>837</v>
      </c>
      <c r="G599" s="2" t="s">
        <v>133</v>
      </c>
      <c r="H599" s="2" t="s">
        <v>838</v>
      </c>
      <c r="I599" t="s">
        <v>198</v>
      </c>
      <c r="J599" s="18">
        <v>8156.31</v>
      </c>
      <c r="K599" s="18"/>
      <c r="L599" s="18">
        <v>7545.8358078639903</v>
      </c>
      <c r="M599" s="18">
        <v>0.97022620558600803</v>
      </c>
      <c r="N599" s="18"/>
      <c r="O599" s="18"/>
      <c r="P599" s="3">
        <v>0</v>
      </c>
      <c r="Q599" s="3">
        <v>0</v>
      </c>
      <c r="R599" s="3">
        <v>0</v>
      </c>
      <c r="S599" s="3"/>
      <c r="T599" s="3" t="b">
        <v>0</v>
      </c>
      <c r="U599" s="3">
        <v>3892</v>
      </c>
      <c r="V599" s="3">
        <v>0</v>
      </c>
      <c r="W599" s="3">
        <v>2642</v>
      </c>
      <c r="X599" s="3">
        <v>13.55</v>
      </c>
    </row>
    <row r="600" spans="1:24" hidden="1">
      <c r="A600" s="1">
        <v>45383</v>
      </c>
      <c r="B600" s="1" t="s">
        <v>857</v>
      </c>
      <c r="C600" s="2" t="s">
        <v>836</v>
      </c>
      <c r="D600" s="2" t="s">
        <v>279</v>
      </c>
      <c r="E600" s="2" t="s">
        <v>737</v>
      </c>
      <c r="F600" s="2" t="s">
        <v>837</v>
      </c>
      <c r="G600" s="2" t="s">
        <v>133</v>
      </c>
      <c r="H600" s="2" t="s">
        <v>838</v>
      </c>
      <c r="I600" t="s">
        <v>198</v>
      </c>
      <c r="J600" s="18">
        <v>7563.8</v>
      </c>
      <c r="K600" s="18"/>
      <c r="L600" s="18">
        <v>7597.0496173153397</v>
      </c>
      <c r="M600" s="18">
        <v>-161.35096594304099</v>
      </c>
      <c r="N600" s="18"/>
      <c r="O600" s="18"/>
      <c r="P600" s="3">
        <v>0</v>
      </c>
      <c r="Q600" s="3">
        <v>0</v>
      </c>
      <c r="R600" s="3">
        <v>0</v>
      </c>
      <c r="S600" s="3"/>
      <c r="T600" s="3" t="b">
        <v>0</v>
      </c>
      <c r="U600" s="3">
        <v>3694</v>
      </c>
      <c r="V600" s="3">
        <v>0</v>
      </c>
      <c r="W600" s="3">
        <v>1502</v>
      </c>
      <c r="X600" s="3">
        <v>13.47</v>
      </c>
    </row>
    <row r="601" spans="1:24" hidden="1">
      <c r="A601" s="1">
        <v>45413</v>
      </c>
      <c r="B601" s="1" t="s">
        <v>858</v>
      </c>
      <c r="C601" s="2" t="s">
        <v>836</v>
      </c>
      <c r="D601" s="2" t="s">
        <v>279</v>
      </c>
      <c r="E601" s="2" t="s">
        <v>737</v>
      </c>
      <c r="F601" s="2" t="s">
        <v>837</v>
      </c>
      <c r="G601" s="2" t="s">
        <v>133</v>
      </c>
      <c r="H601" s="2" t="s">
        <v>838</v>
      </c>
      <c r="I601" t="s">
        <v>198</v>
      </c>
      <c r="J601" s="18">
        <v>7856.18</v>
      </c>
      <c r="K601" s="18"/>
      <c r="L601" s="18">
        <v>7646.6113682950299</v>
      </c>
      <c r="M601" s="18">
        <v>33.419594444370397</v>
      </c>
      <c r="N601" s="18"/>
      <c r="O601" s="18"/>
      <c r="P601" s="3">
        <v>0</v>
      </c>
      <c r="Q601" s="3">
        <v>0</v>
      </c>
      <c r="R601" s="3">
        <v>0</v>
      </c>
      <c r="S601" s="3"/>
      <c r="T601" s="3" t="b">
        <v>0</v>
      </c>
      <c r="U601" s="3">
        <v>3883</v>
      </c>
      <c r="V601" s="3">
        <v>0</v>
      </c>
      <c r="W601" s="3">
        <v>1889</v>
      </c>
      <c r="X601" s="3">
        <v>14.32</v>
      </c>
    </row>
    <row r="602" spans="1:24" hidden="1">
      <c r="A602" s="1">
        <v>45444</v>
      </c>
      <c r="B602" s="1" t="s">
        <v>859</v>
      </c>
      <c r="C602" s="2" t="s">
        <v>836</v>
      </c>
      <c r="D602" s="2" t="s">
        <v>279</v>
      </c>
      <c r="E602" s="2" t="s">
        <v>737</v>
      </c>
      <c r="F602" s="2" t="s">
        <v>837</v>
      </c>
      <c r="G602" s="2" t="s">
        <v>133</v>
      </c>
      <c r="H602" s="2" t="s">
        <v>838</v>
      </c>
      <c r="I602" t="s">
        <v>198</v>
      </c>
      <c r="J602" s="18">
        <v>7473.62</v>
      </c>
      <c r="K602" s="18"/>
      <c r="L602" s="18">
        <v>7697.8251776407296</v>
      </c>
      <c r="M602" s="18">
        <v>-78.954328587437303</v>
      </c>
      <c r="N602" s="18"/>
      <c r="O602" s="18"/>
      <c r="P602" s="3">
        <v>0</v>
      </c>
      <c r="Q602" s="3">
        <v>0</v>
      </c>
      <c r="R602" s="3">
        <v>0</v>
      </c>
      <c r="S602" s="3"/>
      <c r="T602" s="3" t="b">
        <v>0</v>
      </c>
      <c r="U602" s="3">
        <v>3371</v>
      </c>
      <c r="V602" s="3">
        <v>1</v>
      </c>
      <c r="W602" s="3">
        <v>2758</v>
      </c>
      <c r="X602" s="3">
        <v>11.79</v>
      </c>
    </row>
    <row r="603" spans="1:24" hidden="1">
      <c r="A603" s="1">
        <v>45474</v>
      </c>
      <c r="B603" s="1" t="s">
        <v>860</v>
      </c>
      <c r="C603" s="2" t="s">
        <v>836</v>
      </c>
      <c r="D603" s="2" t="s">
        <v>279</v>
      </c>
      <c r="E603" s="2" t="s">
        <v>737</v>
      </c>
      <c r="F603" s="2" t="s">
        <v>837</v>
      </c>
      <c r="G603" s="2" t="s">
        <v>133</v>
      </c>
      <c r="H603" s="2" t="s">
        <v>838</v>
      </c>
      <c r="I603" t="s">
        <v>198</v>
      </c>
      <c r="J603" s="18">
        <v>7173.4</v>
      </c>
      <c r="K603" s="18">
        <v>7307.64</v>
      </c>
      <c r="L603" s="18">
        <v>7747.3869286204199</v>
      </c>
      <c r="M603" s="18">
        <v>-337.19633972346901</v>
      </c>
      <c r="N603" s="18">
        <v>7507.64</v>
      </c>
      <c r="O603" s="18">
        <v>7107.64</v>
      </c>
      <c r="P603" s="3">
        <v>0</v>
      </c>
      <c r="Q603" s="3">
        <v>0</v>
      </c>
      <c r="R603" s="3">
        <v>0</v>
      </c>
      <c r="S603" s="3"/>
      <c r="T603" s="3" t="b">
        <v>0</v>
      </c>
      <c r="U603" s="3">
        <v>2797</v>
      </c>
      <c r="V603" s="3">
        <v>0</v>
      </c>
      <c r="W603" s="3">
        <v>1591</v>
      </c>
      <c r="X603" s="3">
        <v>12.08</v>
      </c>
    </row>
    <row r="604" spans="1:24" hidden="1">
      <c r="A604" s="1">
        <v>45505</v>
      </c>
      <c r="B604" s="1" t="s">
        <v>861</v>
      </c>
      <c r="C604" s="2" t="s">
        <v>836</v>
      </c>
      <c r="D604" s="2" t="s">
        <v>279</v>
      </c>
      <c r="E604" s="2" t="s">
        <v>737</v>
      </c>
      <c r="F604" s="2" t="s">
        <v>837</v>
      </c>
      <c r="G604" s="2" t="s">
        <v>133</v>
      </c>
      <c r="H604" s="2" t="s">
        <v>838</v>
      </c>
      <c r="I604" t="s">
        <v>198</v>
      </c>
      <c r="J604" s="18">
        <v>7301.79</v>
      </c>
      <c r="K604" s="18">
        <v>7372.01</v>
      </c>
      <c r="L604" s="18">
        <v>7798.6007379661096</v>
      </c>
      <c r="M604" s="18">
        <v>-363.94680237859501</v>
      </c>
      <c r="N604" s="18">
        <v>7572.01</v>
      </c>
      <c r="O604" s="18">
        <v>7172.01</v>
      </c>
      <c r="P604" s="3">
        <v>0</v>
      </c>
      <c r="Q604" s="3">
        <v>0</v>
      </c>
      <c r="R604" s="3">
        <v>0</v>
      </c>
      <c r="S604" s="3"/>
      <c r="T604" s="3" t="b">
        <v>0</v>
      </c>
      <c r="U604" s="3">
        <v>2017</v>
      </c>
      <c r="V604" s="3">
        <v>0</v>
      </c>
      <c r="W604" s="3">
        <v>1745</v>
      </c>
      <c r="X604" s="3">
        <v>12.41</v>
      </c>
    </row>
    <row r="605" spans="1:24" hidden="1">
      <c r="A605" s="1">
        <v>45536</v>
      </c>
      <c r="B605" s="1" t="s">
        <v>862</v>
      </c>
      <c r="C605" s="2" t="s">
        <v>836</v>
      </c>
      <c r="D605" s="2" t="s">
        <v>279</v>
      </c>
      <c r="E605" s="2" t="s">
        <v>737</v>
      </c>
      <c r="F605" s="2" t="s">
        <v>837</v>
      </c>
      <c r="G605" s="2" t="s">
        <v>133</v>
      </c>
      <c r="H605" s="2" t="s">
        <v>838</v>
      </c>
      <c r="I605" t="s">
        <v>198</v>
      </c>
      <c r="J605" s="18">
        <v>7669.64</v>
      </c>
      <c r="K605" s="18">
        <v>7742.19</v>
      </c>
      <c r="L605" s="18">
        <v>7849.8145473118002</v>
      </c>
      <c r="M605" s="18">
        <v>232.989389642492</v>
      </c>
      <c r="N605" s="18">
        <v>7942.19</v>
      </c>
      <c r="O605" s="18">
        <v>7542.19</v>
      </c>
      <c r="P605" s="3">
        <v>0</v>
      </c>
      <c r="Q605" s="3">
        <v>0</v>
      </c>
      <c r="R605" s="3">
        <v>0</v>
      </c>
      <c r="S605" s="3"/>
      <c r="T605" s="3" t="b">
        <v>1</v>
      </c>
      <c r="U605" s="3">
        <v>2043</v>
      </c>
      <c r="V605" s="3">
        <v>0</v>
      </c>
      <c r="W605" s="3">
        <v>2404</v>
      </c>
      <c r="X605" s="3">
        <v>12.3</v>
      </c>
    </row>
    <row r="606" spans="1:24" hidden="1">
      <c r="A606" s="1">
        <v>45566</v>
      </c>
      <c r="B606" s="1" t="s">
        <v>863</v>
      </c>
      <c r="C606" s="2" t="s">
        <v>836</v>
      </c>
      <c r="D606" s="2" t="s">
        <v>279</v>
      </c>
      <c r="E606" s="2" t="s">
        <v>737</v>
      </c>
      <c r="F606" s="2" t="s">
        <v>837</v>
      </c>
      <c r="G606" s="2" t="s">
        <v>133</v>
      </c>
      <c r="H606" s="2" t="s">
        <v>838</v>
      </c>
      <c r="I606" t="s">
        <v>224</v>
      </c>
      <c r="J606" s="18"/>
      <c r="K606" s="18">
        <v>7991.89</v>
      </c>
      <c r="L606" s="18">
        <v>7899.3762982914996</v>
      </c>
      <c r="M606" s="18">
        <v>707.63289974468103</v>
      </c>
      <c r="N606" s="18">
        <v>8191.89</v>
      </c>
      <c r="O606" s="18">
        <v>7791.89</v>
      </c>
      <c r="P606" s="3"/>
      <c r="Q606" s="3"/>
      <c r="R606" s="3"/>
      <c r="S606" s="3"/>
      <c r="T606" s="3"/>
      <c r="U606" s="3"/>
      <c r="V606" s="3"/>
      <c r="W606" s="3">
        <v>2719</v>
      </c>
      <c r="X606" s="3">
        <v>13.87</v>
      </c>
    </row>
    <row r="607" spans="1:24" hidden="1">
      <c r="A607" s="1">
        <v>45597</v>
      </c>
      <c r="B607" s="1" t="s">
        <v>864</v>
      </c>
      <c r="C607" s="2" t="s">
        <v>836</v>
      </c>
      <c r="D607" s="2" t="s">
        <v>279</v>
      </c>
      <c r="E607" s="2" t="s">
        <v>737</v>
      </c>
      <c r="F607" s="2" t="s">
        <v>837</v>
      </c>
      <c r="G607" s="2" t="s">
        <v>133</v>
      </c>
      <c r="H607" s="2" t="s">
        <v>838</v>
      </c>
      <c r="I607" t="s">
        <v>224</v>
      </c>
      <c r="J607" s="18"/>
      <c r="K607" s="18">
        <v>8211.9</v>
      </c>
      <c r="L607" s="18">
        <v>7950.5901076371902</v>
      </c>
      <c r="M607" s="18">
        <v>-16.831663434566799</v>
      </c>
      <c r="N607" s="18">
        <v>8411.9</v>
      </c>
      <c r="O607" s="18">
        <v>8011.9</v>
      </c>
      <c r="P607" s="3"/>
      <c r="Q607" s="3"/>
      <c r="R607" s="3"/>
      <c r="S607" s="3"/>
      <c r="T607" s="3"/>
      <c r="U607" s="3"/>
      <c r="V607" s="3"/>
      <c r="W607" s="3">
        <v>1427</v>
      </c>
      <c r="X607" s="3">
        <v>14.64</v>
      </c>
    </row>
    <row r="608" spans="1:24" hidden="1">
      <c r="A608" s="1">
        <v>45627</v>
      </c>
      <c r="B608" s="1" t="s">
        <v>865</v>
      </c>
      <c r="C608" s="2" t="s">
        <v>836</v>
      </c>
      <c r="D608" s="2" t="s">
        <v>279</v>
      </c>
      <c r="E608" s="2" t="s">
        <v>737</v>
      </c>
      <c r="F608" s="2" t="s">
        <v>837</v>
      </c>
      <c r="G608" s="2" t="s">
        <v>133</v>
      </c>
      <c r="H608" s="2" t="s">
        <v>838</v>
      </c>
      <c r="I608" t="s">
        <v>224</v>
      </c>
      <c r="J608" s="18"/>
      <c r="K608" s="18">
        <v>8339.02</v>
      </c>
      <c r="L608" s="18">
        <v>8000.1518586168904</v>
      </c>
      <c r="M608" s="18">
        <v>249.01099961738899</v>
      </c>
      <c r="N608" s="18">
        <v>8539.02</v>
      </c>
      <c r="O608" s="18">
        <v>8139.02</v>
      </c>
      <c r="P608" s="3"/>
      <c r="Q608" s="3"/>
      <c r="R608" s="3"/>
      <c r="S608" s="3"/>
      <c r="T608" s="3"/>
      <c r="U608" s="3"/>
      <c r="V608" s="3"/>
      <c r="W608" s="3">
        <v>1696</v>
      </c>
      <c r="X608" s="3">
        <v>12.54</v>
      </c>
    </row>
    <row r="609" spans="1:24" hidden="1">
      <c r="A609" s="1">
        <v>44562</v>
      </c>
      <c r="B609" s="1" t="s">
        <v>866</v>
      </c>
      <c r="C609" s="2" t="s">
        <v>867</v>
      </c>
      <c r="D609" s="2" t="s">
        <v>279</v>
      </c>
      <c r="E609" s="2" t="s">
        <v>737</v>
      </c>
      <c r="F609" s="2" t="s">
        <v>837</v>
      </c>
      <c r="G609" s="2" t="s">
        <v>868</v>
      </c>
      <c r="H609" s="2" t="s">
        <v>869</v>
      </c>
      <c r="I609" t="s">
        <v>198</v>
      </c>
      <c r="J609" s="18">
        <v>15283.58</v>
      </c>
      <c r="K609" s="18"/>
      <c r="L609" s="18">
        <v>15374.974416499999</v>
      </c>
      <c r="M609" s="18">
        <v>-574.32388528633999</v>
      </c>
      <c r="N609" s="18"/>
      <c r="O609" s="18"/>
      <c r="P609" s="3">
        <v>0</v>
      </c>
      <c r="Q609" s="3">
        <v>0</v>
      </c>
      <c r="R609" s="3">
        <v>0</v>
      </c>
      <c r="S609" s="3"/>
      <c r="T609" s="3" t="b">
        <v>0</v>
      </c>
      <c r="U609" s="3">
        <v>3710</v>
      </c>
      <c r="V609" s="3">
        <v>1</v>
      </c>
      <c r="W609" s="3">
        <v>1672</v>
      </c>
      <c r="X609" s="3">
        <v>15.41</v>
      </c>
    </row>
    <row r="610" spans="1:24" hidden="1">
      <c r="A610" s="1">
        <v>44593</v>
      </c>
      <c r="B610" s="1" t="s">
        <v>870</v>
      </c>
      <c r="C610" s="2" t="s">
        <v>867</v>
      </c>
      <c r="D610" s="2" t="s">
        <v>279</v>
      </c>
      <c r="E610" s="2" t="s">
        <v>737</v>
      </c>
      <c r="F610" s="2" t="s">
        <v>837</v>
      </c>
      <c r="G610" s="2" t="s">
        <v>868</v>
      </c>
      <c r="H610" s="2" t="s">
        <v>869</v>
      </c>
      <c r="I610" t="s">
        <v>198</v>
      </c>
      <c r="J610" s="18">
        <v>15840.16</v>
      </c>
      <c r="K610" s="18"/>
      <c r="L610" s="18">
        <v>15535.2134867102</v>
      </c>
      <c r="M610" s="18">
        <v>350.32957220028402</v>
      </c>
      <c r="N610" s="18"/>
      <c r="O610" s="18"/>
      <c r="P610" s="3">
        <v>0</v>
      </c>
      <c r="Q610" s="3">
        <v>0</v>
      </c>
      <c r="R610" s="3">
        <v>0</v>
      </c>
      <c r="S610" s="3"/>
      <c r="T610" s="3" t="b">
        <v>0</v>
      </c>
      <c r="U610" s="3">
        <v>2973</v>
      </c>
      <c r="V610" s="3">
        <v>0</v>
      </c>
      <c r="W610" s="3">
        <v>1713</v>
      </c>
      <c r="X610" s="3">
        <v>15.52</v>
      </c>
    </row>
    <row r="611" spans="1:24" hidden="1">
      <c r="A611" s="1">
        <v>44621</v>
      </c>
      <c r="B611" s="1" t="s">
        <v>871</v>
      </c>
      <c r="C611" s="2" t="s">
        <v>867</v>
      </c>
      <c r="D611" s="2" t="s">
        <v>279</v>
      </c>
      <c r="E611" s="2" t="s">
        <v>737</v>
      </c>
      <c r="F611" s="2" t="s">
        <v>837</v>
      </c>
      <c r="G611" s="2" t="s">
        <v>868</v>
      </c>
      <c r="H611" s="2" t="s">
        <v>869</v>
      </c>
      <c r="I611" t="s">
        <v>198</v>
      </c>
      <c r="J611" s="18">
        <v>16254.4</v>
      </c>
      <c r="K611" s="18"/>
      <c r="L611" s="18">
        <v>15679.9455503353</v>
      </c>
      <c r="M611" s="18">
        <v>91.694778504940999</v>
      </c>
      <c r="N611" s="18"/>
      <c r="O611" s="18"/>
      <c r="P611" s="3">
        <v>0</v>
      </c>
      <c r="Q611" s="3">
        <v>0</v>
      </c>
      <c r="R611" s="3">
        <v>0</v>
      </c>
      <c r="S611" s="3"/>
      <c r="T611" s="3" t="b">
        <v>0</v>
      </c>
      <c r="U611" s="3">
        <v>3562</v>
      </c>
      <c r="V611" s="3">
        <v>1</v>
      </c>
      <c r="W611" s="3">
        <v>1935</v>
      </c>
      <c r="X611" s="3">
        <v>13.18</v>
      </c>
    </row>
    <row r="612" spans="1:24" hidden="1">
      <c r="A612" s="1">
        <v>44652</v>
      </c>
      <c r="B612" s="1" t="s">
        <v>872</v>
      </c>
      <c r="C612" s="2" t="s">
        <v>867</v>
      </c>
      <c r="D612" s="2" t="s">
        <v>279</v>
      </c>
      <c r="E612" s="2" t="s">
        <v>737</v>
      </c>
      <c r="F612" s="2" t="s">
        <v>837</v>
      </c>
      <c r="G612" s="2" t="s">
        <v>868</v>
      </c>
      <c r="H612" s="2" t="s">
        <v>869</v>
      </c>
      <c r="I612" t="s">
        <v>198</v>
      </c>
      <c r="J612" s="18">
        <v>16401.18</v>
      </c>
      <c r="K612" s="18"/>
      <c r="L612" s="18">
        <v>15840.1846211064</v>
      </c>
      <c r="M612" s="18">
        <v>-267.77998171430499</v>
      </c>
      <c r="N612" s="18"/>
      <c r="O612" s="18"/>
      <c r="P612" s="3">
        <v>0</v>
      </c>
      <c r="Q612" s="3">
        <v>0</v>
      </c>
      <c r="R612" s="3">
        <v>0</v>
      </c>
      <c r="S612" s="3"/>
      <c r="T612" s="3" t="b">
        <v>0</v>
      </c>
      <c r="U612" s="3">
        <v>4896</v>
      </c>
      <c r="V612" s="3">
        <v>1</v>
      </c>
      <c r="W612" s="3">
        <v>2951</v>
      </c>
      <c r="X612" s="3">
        <v>15.94</v>
      </c>
    </row>
    <row r="613" spans="1:24" hidden="1">
      <c r="A613" s="1">
        <v>44682</v>
      </c>
      <c r="B613" s="1" t="s">
        <v>873</v>
      </c>
      <c r="C613" s="2" t="s">
        <v>867</v>
      </c>
      <c r="D613" s="2" t="s">
        <v>279</v>
      </c>
      <c r="E613" s="2" t="s">
        <v>737</v>
      </c>
      <c r="F613" s="2" t="s">
        <v>837</v>
      </c>
      <c r="G613" s="2" t="s">
        <v>868</v>
      </c>
      <c r="H613" s="2" t="s">
        <v>869</v>
      </c>
      <c r="I613" t="s">
        <v>198</v>
      </c>
      <c r="J613" s="18">
        <v>16467.419999999998</v>
      </c>
      <c r="K613" s="18"/>
      <c r="L613" s="18">
        <v>15995.2546895535</v>
      </c>
      <c r="M613" s="18">
        <v>-110.910517962572</v>
      </c>
      <c r="N613" s="18"/>
      <c r="O613" s="18"/>
      <c r="P613" s="3">
        <v>0</v>
      </c>
      <c r="Q613" s="3">
        <v>0</v>
      </c>
      <c r="R613" s="3">
        <v>0</v>
      </c>
      <c r="S613" s="3"/>
      <c r="T613" s="3" t="b">
        <v>0</v>
      </c>
      <c r="U613" s="3">
        <v>4795</v>
      </c>
      <c r="V613" s="3">
        <v>0</v>
      </c>
      <c r="W613" s="3">
        <v>1241</v>
      </c>
      <c r="X613" s="3">
        <v>13.69</v>
      </c>
    </row>
    <row r="614" spans="1:24" hidden="1">
      <c r="A614" s="1">
        <v>44713</v>
      </c>
      <c r="B614" s="1" t="s">
        <v>874</v>
      </c>
      <c r="C614" s="2" t="s">
        <v>867</v>
      </c>
      <c r="D614" s="2" t="s">
        <v>279</v>
      </c>
      <c r="E614" s="2" t="s">
        <v>737</v>
      </c>
      <c r="F614" s="2" t="s">
        <v>837</v>
      </c>
      <c r="G614" s="2" t="s">
        <v>868</v>
      </c>
      <c r="H614" s="2" t="s">
        <v>869</v>
      </c>
      <c r="I614" t="s">
        <v>198</v>
      </c>
      <c r="J614" s="18">
        <v>16885.54</v>
      </c>
      <c r="K614" s="18"/>
      <c r="L614" s="18">
        <v>16155.493760346801</v>
      </c>
      <c r="M614" s="18">
        <v>-295.25168718077998</v>
      </c>
      <c r="N614" s="18"/>
      <c r="O614" s="18"/>
      <c r="P614" s="3">
        <v>0</v>
      </c>
      <c r="Q614" s="3">
        <v>0</v>
      </c>
      <c r="R614" s="3">
        <v>0</v>
      </c>
      <c r="S614" s="3"/>
      <c r="T614" s="3" t="b">
        <v>0</v>
      </c>
      <c r="U614" s="3">
        <v>2988</v>
      </c>
      <c r="V614" s="3">
        <v>0</v>
      </c>
      <c r="W614" s="3">
        <v>2888</v>
      </c>
      <c r="X614" s="3">
        <v>15.88</v>
      </c>
    </row>
    <row r="615" spans="1:24" hidden="1">
      <c r="A615" s="1">
        <v>44743</v>
      </c>
      <c r="B615" s="1" t="s">
        <v>875</v>
      </c>
      <c r="C615" s="2" t="s">
        <v>867</v>
      </c>
      <c r="D615" s="2" t="s">
        <v>279</v>
      </c>
      <c r="E615" s="2" t="s">
        <v>737</v>
      </c>
      <c r="F615" s="2" t="s">
        <v>837</v>
      </c>
      <c r="G615" s="2" t="s">
        <v>868</v>
      </c>
      <c r="H615" s="2" t="s">
        <v>869</v>
      </c>
      <c r="I615" t="s">
        <v>198</v>
      </c>
      <c r="J615" s="18">
        <v>16465.849999999999</v>
      </c>
      <c r="K615" s="18"/>
      <c r="L615" s="18">
        <v>16310.5638287193</v>
      </c>
      <c r="M615" s="18">
        <v>-278.71121577627798</v>
      </c>
      <c r="N615" s="18"/>
      <c r="O615" s="18"/>
      <c r="P615" s="3">
        <v>0</v>
      </c>
      <c r="Q615" s="3">
        <v>0</v>
      </c>
      <c r="R615" s="3">
        <v>0</v>
      </c>
      <c r="S615" s="3"/>
      <c r="T615" s="3" t="b">
        <v>0</v>
      </c>
      <c r="U615" s="3">
        <v>2020</v>
      </c>
      <c r="V615" s="3">
        <v>0</v>
      </c>
      <c r="W615" s="3">
        <v>1001</v>
      </c>
      <c r="X615" s="3">
        <v>16.37</v>
      </c>
    </row>
    <row r="616" spans="1:24" hidden="1">
      <c r="A616" s="1">
        <v>44774</v>
      </c>
      <c r="B616" s="1" t="s">
        <v>876</v>
      </c>
      <c r="C616" s="2" t="s">
        <v>867</v>
      </c>
      <c r="D616" s="2" t="s">
        <v>279</v>
      </c>
      <c r="E616" s="2" t="s">
        <v>737</v>
      </c>
      <c r="F616" s="2" t="s">
        <v>837</v>
      </c>
      <c r="G616" s="2" t="s">
        <v>868</v>
      </c>
      <c r="H616" s="2" t="s">
        <v>869</v>
      </c>
      <c r="I616" t="s">
        <v>198</v>
      </c>
      <c r="J616" s="18">
        <v>16672.400000000001</v>
      </c>
      <c r="K616" s="18"/>
      <c r="L616" s="18">
        <v>16470.8028996873</v>
      </c>
      <c r="M616" s="18">
        <v>2292.2192804080901</v>
      </c>
      <c r="N616" s="18"/>
      <c r="O616" s="18"/>
      <c r="P616" s="3">
        <v>0</v>
      </c>
      <c r="Q616" s="3">
        <v>0</v>
      </c>
      <c r="R616" s="3">
        <v>0</v>
      </c>
      <c r="S616" s="3"/>
      <c r="T616" s="3" t="b">
        <v>0</v>
      </c>
      <c r="U616" s="3">
        <v>4350</v>
      </c>
      <c r="V616" s="3">
        <v>0</v>
      </c>
      <c r="W616" s="3">
        <v>1224</v>
      </c>
      <c r="X616" s="3">
        <v>16.66</v>
      </c>
    </row>
    <row r="617" spans="1:24" hidden="1">
      <c r="A617" s="1">
        <v>44805</v>
      </c>
      <c r="B617" s="1" t="s">
        <v>877</v>
      </c>
      <c r="C617" s="2" t="s">
        <v>867</v>
      </c>
      <c r="D617" s="2" t="s">
        <v>279</v>
      </c>
      <c r="E617" s="2" t="s">
        <v>737</v>
      </c>
      <c r="F617" s="2" t="s">
        <v>837</v>
      </c>
      <c r="G617" s="2" t="s">
        <v>868</v>
      </c>
      <c r="H617" s="2" t="s">
        <v>869</v>
      </c>
      <c r="I617" t="s">
        <v>198</v>
      </c>
      <c r="J617" s="18">
        <v>16708.2</v>
      </c>
      <c r="K617" s="18"/>
      <c r="L617" s="18">
        <v>16631.056619895298</v>
      </c>
      <c r="M617" s="18">
        <v>-122.768697828981</v>
      </c>
      <c r="N617" s="18"/>
      <c r="O617" s="18"/>
      <c r="P617" s="3">
        <v>0</v>
      </c>
      <c r="Q617" s="3">
        <v>0</v>
      </c>
      <c r="R617" s="3">
        <v>0</v>
      </c>
      <c r="S617" s="3"/>
      <c r="T617" s="3" t="b">
        <v>0</v>
      </c>
      <c r="U617" s="3">
        <v>2868</v>
      </c>
      <c r="V617" s="3">
        <v>0</v>
      </c>
      <c r="W617" s="3">
        <v>1800</v>
      </c>
      <c r="X617" s="3">
        <v>14.78</v>
      </c>
    </row>
    <row r="618" spans="1:24" hidden="1">
      <c r="A618" s="1">
        <v>44835</v>
      </c>
      <c r="B618" s="1" t="s">
        <v>878</v>
      </c>
      <c r="C618" s="2" t="s">
        <v>867</v>
      </c>
      <c r="D618" s="2" t="s">
        <v>279</v>
      </c>
      <c r="E618" s="2" t="s">
        <v>737</v>
      </c>
      <c r="F618" s="2" t="s">
        <v>837</v>
      </c>
      <c r="G618" s="2" t="s">
        <v>868</v>
      </c>
      <c r="H618" s="2" t="s">
        <v>869</v>
      </c>
      <c r="I618" t="s">
        <v>198</v>
      </c>
      <c r="J618" s="18">
        <v>16819.48</v>
      </c>
      <c r="K618" s="18"/>
      <c r="L618" s="18">
        <v>16786.196994436999</v>
      </c>
      <c r="M618" s="18">
        <v>397.574229256423</v>
      </c>
      <c r="N618" s="18"/>
      <c r="O618" s="18"/>
      <c r="P618" s="3">
        <v>0</v>
      </c>
      <c r="Q618" s="3">
        <v>0</v>
      </c>
      <c r="R618" s="3">
        <v>0</v>
      </c>
      <c r="S618" s="3"/>
      <c r="T618" s="3" t="b">
        <v>1</v>
      </c>
      <c r="U618" s="3">
        <v>2083</v>
      </c>
      <c r="V618" s="3">
        <v>0</v>
      </c>
      <c r="W618" s="3">
        <v>2768</v>
      </c>
      <c r="X618" s="3">
        <v>14.65</v>
      </c>
    </row>
    <row r="619" spans="1:24" hidden="1">
      <c r="A619" s="1">
        <v>44866</v>
      </c>
      <c r="B619" s="1" t="s">
        <v>879</v>
      </c>
      <c r="C619" s="2" t="s">
        <v>867</v>
      </c>
      <c r="D619" s="2" t="s">
        <v>279</v>
      </c>
      <c r="E619" s="2" t="s">
        <v>737</v>
      </c>
      <c r="F619" s="2" t="s">
        <v>837</v>
      </c>
      <c r="G619" s="2" t="s">
        <v>868</v>
      </c>
      <c r="H619" s="2" t="s">
        <v>869</v>
      </c>
      <c r="I619" t="s">
        <v>198</v>
      </c>
      <c r="J619" s="18">
        <v>16929.29</v>
      </c>
      <c r="K619" s="18"/>
      <c r="L619" s="18">
        <v>16946.6347881576</v>
      </c>
      <c r="M619" s="18">
        <v>-42.591838141749903</v>
      </c>
      <c r="N619" s="18"/>
      <c r="O619" s="18"/>
      <c r="P619" s="3">
        <v>0</v>
      </c>
      <c r="Q619" s="3">
        <v>0</v>
      </c>
      <c r="R619" s="3">
        <v>0</v>
      </c>
      <c r="S619" s="3"/>
      <c r="T619" s="3" t="b">
        <v>0</v>
      </c>
      <c r="U619" s="3">
        <v>3682</v>
      </c>
      <c r="V619" s="3">
        <v>0</v>
      </c>
      <c r="W619" s="3">
        <v>2996</v>
      </c>
      <c r="X619" s="3">
        <v>15.69</v>
      </c>
    </row>
    <row r="620" spans="1:24" hidden="1">
      <c r="A620" s="1">
        <v>44896</v>
      </c>
      <c r="B620" s="1" t="s">
        <v>880</v>
      </c>
      <c r="C620" s="2" t="s">
        <v>867</v>
      </c>
      <c r="D620" s="2" t="s">
        <v>279</v>
      </c>
      <c r="E620" s="2" t="s">
        <v>737</v>
      </c>
      <c r="F620" s="2" t="s">
        <v>837</v>
      </c>
      <c r="G620" s="2" t="s">
        <v>868</v>
      </c>
      <c r="H620" s="2" t="s">
        <v>869</v>
      </c>
      <c r="I620" t="s">
        <v>198</v>
      </c>
      <c r="J620" s="18">
        <v>16817.73</v>
      </c>
      <c r="K620" s="18"/>
      <c r="L620" s="18">
        <v>17102.636316358199</v>
      </c>
      <c r="M620" s="18">
        <v>302.229053337685</v>
      </c>
      <c r="N620" s="18"/>
      <c r="O620" s="18"/>
      <c r="P620" s="3">
        <v>0</v>
      </c>
      <c r="Q620" s="3">
        <v>0</v>
      </c>
      <c r="R620" s="3">
        <v>0</v>
      </c>
      <c r="S620" s="3"/>
      <c r="T620" s="3" t="b">
        <v>0</v>
      </c>
      <c r="U620" s="3">
        <v>3976</v>
      </c>
      <c r="V620" s="3">
        <v>0</v>
      </c>
      <c r="W620" s="3">
        <v>2949</v>
      </c>
      <c r="X620" s="3">
        <v>15.15</v>
      </c>
    </row>
    <row r="621" spans="1:24" hidden="1">
      <c r="A621" s="1">
        <v>44927</v>
      </c>
      <c r="B621" s="1" t="s">
        <v>881</v>
      </c>
      <c r="C621" s="2" t="s">
        <v>867</v>
      </c>
      <c r="D621" s="2" t="s">
        <v>279</v>
      </c>
      <c r="E621" s="2" t="s">
        <v>737</v>
      </c>
      <c r="F621" s="2" t="s">
        <v>837</v>
      </c>
      <c r="G621" s="2" t="s">
        <v>868</v>
      </c>
      <c r="H621" s="2" t="s">
        <v>869</v>
      </c>
      <c r="I621" t="s">
        <v>198</v>
      </c>
      <c r="J621" s="18">
        <v>16752.68</v>
      </c>
      <c r="K621" s="18"/>
      <c r="L621" s="18">
        <v>17264.2917761059</v>
      </c>
      <c r="M621" s="18">
        <v>-179.79575564885101</v>
      </c>
      <c r="N621" s="18"/>
      <c r="O621" s="18"/>
      <c r="P621" s="3">
        <v>0</v>
      </c>
      <c r="Q621" s="3">
        <v>0</v>
      </c>
      <c r="R621" s="3">
        <v>0</v>
      </c>
      <c r="S621" s="3"/>
      <c r="T621" s="3" t="b">
        <v>0</v>
      </c>
      <c r="U621" s="3">
        <v>3410</v>
      </c>
      <c r="V621" s="3">
        <v>0</v>
      </c>
      <c r="W621" s="3">
        <v>2952</v>
      </c>
      <c r="X621" s="3">
        <v>17.559999999999999</v>
      </c>
    </row>
    <row r="622" spans="1:24" hidden="1">
      <c r="A622" s="1">
        <v>44958</v>
      </c>
      <c r="B622" s="1" t="s">
        <v>882</v>
      </c>
      <c r="C622" s="2" t="s">
        <v>867</v>
      </c>
      <c r="D622" s="2" t="s">
        <v>279</v>
      </c>
      <c r="E622" s="2" t="s">
        <v>737</v>
      </c>
      <c r="F622" s="2" t="s">
        <v>837</v>
      </c>
      <c r="G622" s="2" t="s">
        <v>868</v>
      </c>
      <c r="H622" s="2" t="s">
        <v>869</v>
      </c>
      <c r="I622" t="s">
        <v>198</v>
      </c>
      <c r="J622" s="18">
        <v>17263.52</v>
      </c>
      <c r="K622" s="18"/>
      <c r="L622" s="18">
        <v>17483.6547259117</v>
      </c>
      <c r="M622" s="18">
        <v>-11.910686755797499</v>
      </c>
      <c r="N622" s="18"/>
      <c r="O622" s="18"/>
      <c r="P622" s="3">
        <v>0</v>
      </c>
      <c r="Q622" s="3">
        <v>0</v>
      </c>
      <c r="R622" s="3">
        <v>0</v>
      </c>
      <c r="S622" s="3"/>
      <c r="T622" s="3" t="b">
        <v>0</v>
      </c>
      <c r="U622" s="3">
        <v>3530</v>
      </c>
      <c r="V622" s="3">
        <v>0</v>
      </c>
      <c r="W622" s="3">
        <v>1588</v>
      </c>
      <c r="X622" s="3">
        <v>17.84</v>
      </c>
    </row>
    <row r="623" spans="1:24" hidden="1">
      <c r="A623" s="1">
        <v>44986</v>
      </c>
      <c r="B623" s="1" t="s">
        <v>883</v>
      </c>
      <c r="C623" s="2" t="s">
        <v>867</v>
      </c>
      <c r="D623" s="2" t="s">
        <v>279</v>
      </c>
      <c r="E623" s="2" t="s">
        <v>737</v>
      </c>
      <c r="F623" s="2" t="s">
        <v>837</v>
      </c>
      <c r="G623" s="2" t="s">
        <v>868</v>
      </c>
      <c r="H623" s="2" t="s">
        <v>869</v>
      </c>
      <c r="I623" t="s">
        <v>198</v>
      </c>
      <c r="J623" s="18">
        <v>17219.810000000001</v>
      </c>
      <c r="K623" s="18"/>
      <c r="L623" s="18">
        <v>17682.2961496477</v>
      </c>
      <c r="M623" s="18">
        <v>448.48390196717298</v>
      </c>
      <c r="N623" s="18"/>
      <c r="O623" s="18"/>
      <c r="P623" s="3">
        <v>0</v>
      </c>
      <c r="Q623" s="3">
        <v>0</v>
      </c>
      <c r="R623" s="3">
        <v>0</v>
      </c>
      <c r="S623" s="3"/>
      <c r="T623" s="3" t="b">
        <v>0</v>
      </c>
      <c r="U623" s="3">
        <v>2569</v>
      </c>
      <c r="V623" s="3">
        <v>0</v>
      </c>
      <c r="W623" s="3">
        <v>1115</v>
      </c>
      <c r="X623" s="3">
        <v>15.04</v>
      </c>
    </row>
    <row r="624" spans="1:24" hidden="1">
      <c r="A624" s="1">
        <v>45017</v>
      </c>
      <c r="B624" s="1" t="s">
        <v>884</v>
      </c>
      <c r="C624" s="2" t="s">
        <v>867</v>
      </c>
      <c r="D624" s="2" t="s">
        <v>279</v>
      </c>
      <c r="E624" s="2" t="s">
        <v>737</v>
      </c>
      <c r="F624" s="2" t="s">
        <v>837</v>
      </c>
      <c r="G624" s="2" t="s">
        <v>868</v>
      </c>
      <c r="H624" s="2" t="s">
        <v>869</v>
      </c>
      <c r="I624" t="s">
        <v>198</v>
      </c>
      <c r="J624" s="18">
        <v>17546.330000000002</v>
      </c>
      <c r="K624" s="18"/>
      <c r="L624" s="18">
        <v>17903.0048126488</v>
      </c>
      <c r="M624" s="18">
        <v>-640.076494744809</v>
      </c>
      <c r="N624" s="18"/>
      <c r="O624" s="18"/>
      <c r="P624" s="3">
        <v>0</v>
      </c>
      <c r="Q624" s="3">
        <v>0</v>
      </c>
      <c r="R624" s="3">
        <v>0</v>
      </c>
      <c r="S624" s="3"/>
      <c r="T624" s="3" t="b">
        <v>0</v>
      </c>
      <c r="U624" s="3">
        <v>2933</v>
      </c>
      <c r="V624" s="3">
        <v>0</v>
      </c>
      <c r="W624" s="3">
        <v>2689</v>
      </c>
      <c r="X624" s="3">
        <v>16.41</v>
      </c>
    </row>
    <row r="625" spans="1:24" hidden="1">
      <c r="A625" s="1">
        <v>45047</v>
      </c>
      <c r="B625" s="1" t="s">
        <v>885</v>
      </c>
      <c r="C625" s="2" t="s">
        <v>867</v>
      </c>
      <c r="D625" s="2" t="s">
        <v>279</v>
      </c>
      <c r="E625" s="2" t="s">
        <v>737</v>
      </c>
      <c r="F625" s="2" t="s">
        <v>837</v>
      </c>
      <c r="G625" s="2" t="s">
        <v>868</v>
      </c>
      <c r="H625" s="2" t="s">
        <v>869</v>
      </c>
      <c r="I625" t="s">
        <v>198</v>
      </c>
      <c r="J625" s="18">
        <v>17944.97</v>
      </c>
      <c r="K625" s="18"/>
      <c r="L625" s="18">
        <v>18117.250363861302</v>
      </c>
      <c r="M625" s="18">
        <v>268.31955268231098</v>
      </c>
      <c r="N625" s="18"/>
      <c r="O625" s="18"/>
      <c r="P625" s="3">
        <v>0</v>
      </c>
      <c r="Q625" s="3">
        <v>0</v>
      </c>
      <c r="R625" s="3">
        <v>0</v>
      </c>
      <c r="S625" s="3"/>
      <c r="T625" s="3" t="b">
        <v>0</v>
      </c>
      <c r="U625" s="3">
        <v>3980</v>
      </c>
      <c r="V625" s="3">
        <v>0</v>
      </c>
      <c r="W625" s="3">
        <v>1917</v>
      </c>
      <c r="X625" s="3">
        <v>15.54</v>
      </c>
    </row>
    <row r="626" spans="1:24" hidden="1">
      <c r="A626" s="1">
        <v>45078</v>
      </c>
      <c r="B626" s="1" t="s">
        <v>886</v>
      </c>
      <c r="C626" s="2" t="s">
        <v>867</v>
      </c>
      <c r="D626" s="2" t="s">
        <v>279</v>
      </c>
      <c r="E626" s="2" t="s">
        <v>737</v>
      </c>
      <c r="F626" s="2" t="s">
        <v>837</v>
      </c>
      <c r="G626" s="2" t="s">
        <v>868</v>
      </c>
      <c r="H626" s="2" t="s">
        <v>869</v>
      </c>
      <c r="I626" t="s">
        <v>198</v>
      </c>
      <c r="J626" s="18">
        <v>18184.09</v>
      </c>
      <c r="K626" s="18"/>
      <c r="L626" s="18">
        <v>18339.2698574973</v>
      </c>
      <c r="M626" s="18">
        <v>-676.67790499120804</v>
      </c>
      <c r="N626" s="18"/>
      <c r="O626" s="18"/>
      <c r="P626" s="3">
        <v>0</v>
      </c>
      <c r="Q626" s="3">
        <v>0</v>
      </c>
      <c r="R626" s="3">
        <v>0</v>
      </c>
      <c r="S626" s="3"/>
      <c r="T626" s="3" t="b">
        <v>0</v>
      </c>
      <c r="U626" s="3">
        <v>3855</v>
      </c>
      <c r="V626" s="3">
        <v>2</v>
      </c>
      <c r="W626" s="3">
        <v>2126</v>
      </c>
      <c r="X626" s="3">
        <v>17</v>
      </c>
    </row>
    <row r="627" spans="1:24" hidden="1">
      <c r="A627" s="1">
        <v>45108</v>
      </c>
      <c r="B627" s="1" t="s">
        <v>887</v>
      </c>
      <c r="C627" s="2" t="s">
        <v>867</v>
      </c>
      <c r="D627" s="2" t="s">
        <v>279</v>
      </c>
      <c r="E627" s="2" t="s">
        <v>737</v>
      </c>
      <c r="F627" s="2" t="s">
        <v>837</v>
      </c>
      <c r="G627" s="2" t="s">
        <v>868</v>
      </c>
      <c r="H627" s="2" t="s">
        <v>869</v>
      </c>
      <c r="I627" t="s">
        <v>198</v>
      </c>
      <c r="J627" s="18">
        <v>18537.919999999998</v>
      </c>
      <c r="K627" s="18"/>
      <c r="L627" s="18">
        <v>18554.575304228401</v>
      </c>
      <c r="M627" s="18">
        <v>99.110236906249497</v>
      </c>
      <c r="N627" s="18"/>
      <c r="O627" s="18"/>
      <c r="P627" s="3">
        <v>0</v>
      </c>
      <c r="Q627" s="3">
        <v>0</v>
      </c>
      <c r="R627" s="3">
        <v>0</v>
      </c>
      <c r="S627" s="3"/>
      <c r="T627" s="3" t="b">
        <v>0</v>
      </c>
      <c r="U627" s="3">
        <v>2792</v>
      </c>
      <c r="V627" s="3">
        <v>0</v>
      </c>
      <c r="W627" s="3">
        <v>1193</v>
      </c>
      <c r="X627" s="3">
        <v>14.63</v>
      </c>
    </row>
    <row r="628" spans="1:24" hidden="1">
      <c r="A628" s="1">
        <v>45139</v>
      </c>
      <c r="B628" s="1" t="s">
        <v>888</v>
      </c>
      <c r="C628" s="2" t="s">
        <v>867</v>
      </c>
      <c r="D628" s="2" t="s">
        <v>279</v>
      </c>
      <c r="E628" s="2" t="s">
        <v>737</v>
      </c>
      <c r="F628" s="2" t="s">
        <v>837</v>
      </c>
      <c r="G628" s="2" t="s">
        <v>868</v>
      </c>
      <c r="H628" s="2" t="s">
        <v>869</v>
      </c>
      <c r="I628" t="s">
        <v>198</v>
      </c>
      <c r="J628" s="18">
        <v>19076.919999999998</v>
      </c>
      <c r="K628" s="18"/>
      <c r="L628" s="18">
        <v>18777.300022212199</v>
      </c>
      <c r="M628" s="18">
        <v>1883.3837695296399</v>
      </c>
      <c r="N628" s="18"/>
      <c r="O628" s="18"/>
      <c r="P628" s="3">
        <v>0</v>
      </c>
      <c r="Q628" s="3">
        <v>0</v>
      </c>
      <c r="R628" s="3">
        <v>0</v>
      </c>
      <c r="S628" s="3"/>
      <c r="T628" s="3" t="b">
        <v>0</v>
      </c>
      <c r="U628" s="3">
        <v>2791</v>
      </c>
      <c r="V628" s="3">
        <v>0</v>
      </c>
      <c r="W628" s="3">
        <v>2189</v>
      </c>
      <c r="X628" s="3">
        <v>17.829999999999998</v>
      </c>
    </row>
    <row r="629" spans="1:24" hidden="1">
      <c r="A629" s="1">
        <v>45170</v>
      </c>
      <c r="B629" s="1" t="s">
        <v>889</v>
      </c>
      <c r="C629" s="2" t="s">
        <v>867</v>
      </c>
      <c r="D629" s="2" t="s">
        <v>279</v>
      </c>
      <c r="E629" s="2" t="s">
        <v>737</v>
      </c>
      <c r="F629" s="2" t="s">
        <v>837</v>
      </c>
      <c r="G629" s="2" t="s">
        <v>868</v>
      </c>
      <c r="H629" s="2" t="s">
        <v>869</v>
      </c>
      <c r="I629" t="s">
        <v>198</v>
      </c>
      <c r="J629" s="18">
        <v>19209.95</v>
      </c>
      <c r="K629" s="18"/>
      <c r="L629" s="18">
        <v>19000.7611210943</v>
      </c>
      <c r="M629" s="18">
        <v>293.39484730441598</v>
      </c>
      <c r="N629" s="18"/>
      <c r="O629" s="18"/>
      <c r="P629" s="3">
        <v>0</v>
      </c>
      <c r="Q629" s="3">
        <v>0</v>
      </c>
      <c r="R629" s="3">
        <v>0</v>
      </c>
      <c r="S629" s="3"/>
      <c r="T629" s="3" t="b">
        <v>0</v>
      </c>
      <c r="U629" s="3">
        <v>3809</v>
      </c>
      <c r="V629" s="3">
        <v>0</v>
      </c>
      <c r="W629" s="3">
        <v>1870</v>
      </c>
      <c r="X629" s="3">
        <v>17.670000000000002</v>
      </c>
    </row>
    <row r="630" spans="1:24" hidden="1">
      <c r="A630" s="1">
        <v>45200</v>
      </c>
      <c r="B630" s="1" t="s">
        <v>890</v>
      </c>
      <c r="C630" s="2" t="s">
        <v>867</v>
      </c>
      <c r="D630" s="2" t="s">
        <v>279</v>
      </c>
      <c r="E630" s="2" t="s">
        <v>737</v>
      </c>
      <c r="F630" s="2" t="s">
        <v>837</v>
      </c>
      <c r="G630" s="2" t="s">
        <v>868</v>
      </c>
      <c r="H630" s="2" t="s">
        <v>869</v>
      </c>
      <c r="I630" t="s">
        <v>198</v>
      </c>
      <c r="J630" s="18">
        <v>19611.240000000002</v>
      </c>
      <c r="K630" s="18"/>
      <c r="L630" s="18">
        <v>19217.209337208598</v>
      </c>
      <c r="M630" s="18">
        <v>-8.3495628990723603</v>
      </c>
      <c r="N630" s="18"/>
      <c r="O630" s="18"/>
      <c r="P630" s="3">
        <v>0</v>
      </c>
      <c r="Q630" s="3">
        <v>0</v>
      </c>
      <c r="R630" s="3">
        <v>0</v>
      </c>
      <c r="S630" s="3"/>
      <c r="T630" s="3" t="b">
        <v>0</v>
      </c>
      <c r="U630" s="3">
        <v>3294</v>
      </c>
      <c r="V630" s="3">
        <v>0</v>
      </c>
      <c r="W630" s="3">
        <v>1089</v>
      </c>
      <c r="X630" s="3">
        <v>14.84</v>
      </c>
    </row>
    <row r="631" spans="1:24" hidden="1">
      <c r="A631" s="1">
        <v>45231</v>
      </c>
      <c r="B631" s="1" t="s">
        <v>891</v>
      </c>
      <c r="C631" s="2" t="s">
        <v>867</v>
      </c>
      <c r="D631" s="2" t="s">
        <v>279</v>
      </c>
      <c r="E631" s="2" t="s">
        <v>737</v>
      </c>
      <c r="F631" s="2" t="s">
        <v>837</v>
      </c>
      <c r="G631" s="2" t="s">
        <v>868</v>
      </c>
      <c r="H631" s="2" t="s">
        <v>869</v>
      </c>
      <c r="I631" t="s">
        <v>198</v>
      </c>
      <c r="J631" s="18">
        <v>19745.97</v>
      </c>
      <c r="K631" s="18"/>
      <c r="L631" s="18">
        <v>19441.060609371401</v>
      </c>
      <c r="M631" s="18">
        <v>357.75997463394702</v>
      </c>
      <c r="N631" s="18"/>
      <c r="O631" s="18"/>
      <c r="P631" s="3">
        <v>0</v>
      </c>
      <c r="Q631" s="3">
        <v>0</v>
      </c>
      <c r="R631" s="3">
        <v>0</v>
      </c>
      <c r="S631" s="3"/>
      <c r="T631" s="3" t="b">
        <v>0</v>
      </c>
      <c r="U631" s="3">
        <v>4539</v>
      </c>
      <c r="V631" s="3">
        <v>2</v>
      </c>
      <c r="W631" s="3">
        <v>2709</v>
      </c>
      <c r="X631" s="3">
        <v>40</v>
      </c>
    </row>
    <row r="632" spans="1:24" hidden="1">
      <c r="A632" s="1">
        <v>45261</v>
      </c>
      <c r="B632" s="1" t="s">
        <v>892</v>
      </c>
      <c r="C632" s="2" t="s">
        <v>867</v>
      </c>
      <c r="D632" s="2" t="s">
        <v>279</v>
      </c>
      <c r="E632" s="2" t="s">
        <v>737</v>
      </c>
      <c r="F632" s="2" t="s">
        <v>837</v>
      </c>
      <c r="G632" s="2" t="s">
        <v>868</v>
      </c>
      <c r="H632" s="2" t="s">
        <v>869</v>
      </c>
      <c r="I632" t="s">
        <v>198</v>
      </c>
      <c r="J632" s="18">
        <v>20175.07</v>
      </c>
      <c r="K632" s="18"/>
      <c r="L632" s="18">
        <v>19657.690879467598</v>
      </c>
      <c r="M632" s="18">
        <v>-92.994395202884107</v>
      </c>
      <c r="N632" s="18"/>
      <c r="O632" s="18"/>
      <c r="P632" s="3">
        <v>0</v>
      </c>
      <c r="Q632" s="3">
        <v>0</v>
      </c>
      <c r="R632" s="3">
        <v>0</v>
      </c>
      <c r="S632" s="3"/>
      <c r="T632" s="3" t="b">
        <v>0</v>
      </c>
      <c r="U632" s="3">
        <v>4255</v>
      </c>
      <c r="V632" s="3">
        <v>0</v>
      </c>
      <c r="W632" s="3">
        <v>1121</v>
      </c>
      <c r="X632" s="3">
        <v>15.91</v>
      </c>
    </row>
    <row r="633" spans="1:24" hidden="1">
      <c r="A633" s="1">
        <v>45292</v>
      </c>
      <c r="B633" s="1" t="s">
        <v>893</v>
      </c>
      <c r="C633" s="2" t="s">
        <v>867</v>
      </c>
      <c r="D633" s="2" t="s">
        <v>279</v>
      </c>
      <c r="E633" s="2" t="s">
        <v>737</v>
      </c>
      <c r="F633" s="2" t="s">
        <v>837</v>
      </c>
      <c r="G633" s="2" t="s">
        <v>868</v>
      </c>
      <c r="H633" s="2" t="s">
        <v>869</v>
      </c>
      <c r="I633" t="s">
        <v>198</v>
      </c>
      <c r="J633" s="18">
        <v>19929.59</v>
      </c>
      <c r="K633" s="18"/>
      <c r="L633" s="18">
        <v>19881.542158726501</v>
      </c>
      <c r="M633" s="18">
        <v>215.07144275842799</v>
      </c>
      <c r="N633" s="18"/>
      <c r="O633" s="18"/>
      <c r="P633" s="3">
        <v>0</v>
      </c>
      <c r="Q633" s="3">
        <v>0</v>
      </c>
      <c r="R633" s="3">
        <v>0</v>
      </c>
      <c r="S633" s="3"/>
      <c r="T633" s="3" t="b">
        <v>0</v>
      </c>
      <c r="U633" s="3">
        <v>3607</v>
      </c>
      <c r="V633" s="3">
        <v>0</v>
      </c>
      <c r="W633" s="3">
        <v>1142</v>
      </c>
      <c r="X633" s="3">
        <v>16.39</v>
      </c>
    </row>
    <row r="634" spans="1:24" hidden="1">
      <c r="A634" s="1">
        <v>45323</v>
      </c>
      <c r="B634" s="1" t="s">
        <v>894</v>
      </c>
      <c r="C634" s="2" t="s">
        <v>867</v>
      </c>
      <c r="D634" s="2" t="s">
        <v>279</v>
      </c>
      <c r="E634" s="2" t="s">
        <v>737</v>
      </c>
      <c r="F634" s="2" t="s">
        <v>837</v>
      </c>
      <c r="G634" s="2" t="s">
        <v>868</v>
      </c>
      <c r="H634" s="2" t="s">
        <v>869</v>
      </c>
      <c r="I634" t="s">
        <v>198</v>
      </c>
      <c r="J634" s="18">
        <v>20005.240000000002</v>
      </c>
      <c r="K634" s="18"/>
      <c r="L634" s="18">
        <v>20105.393440809301</v>
      </c>
      <c r="M634" s="18">
        <v>-375.09393074913902</v>
      </c>
      <c r="N634" s="18"/>
      <c r="O634" s="18"/>
      <c r="P634" s="3">
        <v>0</v>
      </c>
      <c r="Q634" s="3">
        <v>0</v>
      </c>
      <c r="R634" s="3">
        <v>0</v>
      </c>
      <c r="S634" s="3"/>
      <c r="T634" s="3" t="b">
        <v>0</v>
      </c>
      <c r="U634" s="3">
        <v>3083</v>
      </c>
      <c r="V634" s="3">
        <v>1</v>
      </c>
      <c r="W634" s="3">
        <v>1993</v>
      </c>
      <c r="X634" s="3">
        <v>17.02</v>
      </c>
    </row>
    <row r="635" spans="1:24" hidden="1">
      <c r="A635" s="1">
        <v>45352</v>
      </c>
      <c r="B635" s="1" t="s">
        <v>895</v>
      </c>
      <c r="C635" s="2" t="s">
        <v>867</v>
      </c>
      <c r="D635" s="2" t="s">
        <v>279</v>
      </c>
      <c r="E635" s="2" t="s">
        <v>737</v>
      </c>
      <c r="F635" s="2" t="s">
        <v>837</v>
      </c>
      <c r="G635" s="2" t="s">
        <v>868</v>
      </c>
      <c r="H635" s="2" t="s">
        <v>869</v>
      </c>
      <c r="I635" t="s">
        <v>198</v>
      </c>
      <c r="J635" s="18">
        <v>20100.240000000002</v>
      </c>
      <c r="K635" s="18"/>
      <c r="L635" s="18">
        <v>20314.802887347101</v>
      </c>
      <c r="M635" s="18">
        <v>-624.059238130361</v>
      </c>
      <c r="N635" s="18"/>
      <c r="O635" s="18"/>
      <c r="P635" s="3">
        <v>0</v>
      </c>
      <c r="Q635" s="3">
        <v>0</v>
      </c>
      <c r="R635" s="3">
        <v>0</v>
      </c>
      <c r="S635" s="3"/>
      <c r="T635" s="3" t="b">
        <v>0</v>
      </c>
      <c r="U635" s="3">
        <v>4477</v>
      </c>
      <c r="V635" s="3">
        <v>1</v>
      </c>
      <c r="W635" s="3">
        <v>1105</v>
      </c>
      <c r="X635" s="3">
        <v>16.489999999999998</v>
      </c>
    </row>
    <row r="636" spans="1:24" hidden="1">
      <c r="A636" s="1">
        <v>45383</v>
      </c>
      <c r="B636" s="1" t="s">
        <v>896</v>
      </c>
      <c r="C636" s="2" t="s">
        <v>867</v>
      </c>
      <c r="D636" s="2" t="s">
        <v>279</v>
      </c>
      <c r="E636" s="2" t="s">
        <v>737</v>
      </c>
      <c r="F636" s="2" t="s">
        <v>837</v>
      </c>
      <c r="G636" s="2" t="s">
        <v>868</v>
      </c>
      <c r="H636" s="2" t="s">
        <v>869</v>
      </c>
      <c r="I636" t="s">
        <v>198</v>
      </c>
      <c r="J636" s="18">
        <v>19889.18</v>
      </c>
      <c r="K636" s="18"/>
      <c r="L636" s="18">
        <v>20538.6543646807</v>
      </c>
      <c r="M636" s="18">
        <v>476.52137615861102</v>
      </c>
      <c r="N636" s="18"/>
      <c r="O636" s="18"/>
      <c r="P636" s="3">
        <v>0</v>
      </c>
      <c r="Q636" s="3">
        <v>0</v>
      </c>
      <c r="R636" s="3">
        <v>0</v>
      </c>
      <c r="S636" s="3"/>
      <c r="T636" s="3" t="b">
        <v>0</v>
      </c>
      <c r="U636" s="3">
        <v>2984</v>
      </c>
      <c r="V636" s="3">
        <v>1</v>
      </c>
      <c r="W636" s="3">
        <v>1886</v>
      </c>
      <c r="X636" s="3">
        <v>17.14</v>
      </c>
    </row>
    <row r="637" spans="1:24" hidden="1">
      <c r="A637" s="1">
        <v>45413</v>
      </c>
      <c r="B637" s="1" t="s">
        <v>897</v>
      </c>
      <c r="C637" s="2" t="s">
        <v>867</v>
      </c>
      <c r="D637" s="2" t="s">
        <v>279</v>
      </c>
      <c r="E637" s="2" t="s">
        <v>737</v>
      </c>
      <c r="F637" s="2" t="s">
        <v>837</v>
      </c>
      <c r="G637" s="2" t="s">
        <v>868</v>
      </c>
      <c r="H637" s="2" t="s">
        <v>869</v>
      </c>
      <c r="I637" t="s">
        <v>198</v>
      </c>
      <c r="J637" s="18">
        <v>19762.400000000001</v>
      </c>
      <c r="K637" s="18"/>
      <c r="L637" s="18">
        <v>20755.2848266164</v>
      </c>
      <c r="M637" s="18">
        <v>-870.25995359622198</v>
      </c>
      <c r="N637" s="18"/>
      <c r="O637" s="18"/>
      <c r="P637" s="3">
        <v>0</v>
      </c>
      <c r="Q637" s="3">
        <v>0</v>
      </c>
      <c r="R637" s="3">
        <v>0</v>
      </c>
      <c r="S637" s="3"/>
      <c r="T637" s="3" t="b">
        <v>0</v>
      </c>
      <c r="U637" s="3">
        <v>3680</v>
      </c>
      <c r="V637" s="3">
        <v>0</v>
      </c>
      <c r="W637" s="3">
        <v>1427</v>
      </c>
      <c r="X637" s="3">
        <v>14.75</v>
      </c>
    </row>
    <row r="638" spans="1:24" hidden="1">
      <c r="A638" s="1">
        <v>45444</v>
      </c>
      <c r="B638" s="1" t="s">
        <v>898</v>
      </c>
      <c r="C638" s="2" t="s">
        <v>867</v>
      </c>
      <c r="D638" s="2" t="s">
        <v>279</v>
      </c>
      <c r="E638" s="2" t="s">
        <v>737</v>
      </c>
      <c r="F638" s="2" t="s">
        <v>837</v>
      </c>
      <c r="G638" s="2" t="s">
        <v>868</v>
      </c>
      <c r="H638" s="2" t="s">
        <v>869</v>
      </c>
      <c r="I638" t="s">
        <v>198</v>
      </c>
      <c r="J638" s="18">
        <v>19846.14</v>
      </c>
      <c r="K638" s="18"/>
      <c r="L638" s="18">
        <v>20979.136303949999</v>
      </c>
      <c r="M638" s="18">
        <v>466.70691961427298</v>
      </c>
      <c r="N638" s="18"/>
      <c r="O638" s="18"/>
      <c r="P638" s="3">
        <v>0</v>
      </c>
      <c r="Q638" s="3">
        <v>0</v>
      </c>
      <c r="R638" s="3">
        <v>0</v>
      </c>
      <c r="S638" s="3"/>
      <c r="T638" s="3" t="b">
        <v>0</v>
      </c>
      <c r="U638" s="3">
        <v>2519</v>
      </c>
      <c r="V638" s="3">
        <v>1</v>
      </c>
      <c r="W638" s="3">
        <v>2328</v>
      </c>
      <c r="X638" s="3">
        <v>14.48</v>
      </c>
    </row>
    <row r="639" spans="1:24" hidden="1">
      <c r="A639" s="1">
        <v>45474</v>
      </c>
      <c r="B639" s="1" t="s">
        <v>899</v>
      </c>
      <c r="C639" s="2" t="s">
        <v>867</v>
      </c>
      <c r="D639" s="2" t="s">
        <v>279</v>
      </c>
      <c r="E639" s="2" t="s">
        <v>737</v>
      </c>
      <c r="F639" s="2" t="s">
        <v>837</v>
      </c>
      <c r="G639" s="2" t="s">
        <v>868</v>
      </c>
      <c r="H639" s="2" t="s">
        <v>869</v>
      </c>
      <c r="I639" t="s">
        <v>198</v>
      </c>
      <c r="J639" s="18">
        <v>19952.27</v>
      </c>
      <c r="K639" s="18">
        <v>20065.939999999999</v>
      </c>
      <c r="L639" s="18">
        <v>21195.766765885699</v>
      </c>
      <c r="M639" s="18">
        <v>-1034.21071950688</v>
      </c>
      <c r="N639" s="18">
        <v>20265.939999999999</v>
      </c>
      <c r="O639" s="18">
        <v>19865.939999999999</v>
      </c>
      <c r="P639" s="3">
        <v>0</v>
      </c>
      <c r="Q639" s="3">
        <v>0</v>
      </c>
      <c r="R639" s="3">
        <v>0</v>
      </c>
      <c r="S639" s="3"/>
      <c r="T639" s="3" t="b">
        <v>1</v>
      </c>
      <c r="U639" s="3">
        <v>2590</v>
      </c>
      <c r="V639" s="3">
        <v>0</v>
      </c>
      <c r="W639" s="3">
        <v>2895</v>
      </c>
      <c r="X639" s="3">
        <v>16.97</v>
      </c>
    </row>
    <row r="640" spans="1:24" hidden="1">
      <c r="A640" s="1">
        <v>45505</v>
      </c>
      <c r="B640" s="1" t="s">
        <v>900</v>
      </c>
      <c r="C640" s="2" t="s">
        <v>867</v>
      </c>
      <c r="D640" s="2" t="s">
        <v>279</v>
      </c>
      <c r="E640" s="2" t="s">
        <v>737</v>
      </c>
      <c r="F640" s="2" t="s">
        <v>837</v>
      </c>
      <c r="G640" s="2" t="s">
        <v>868</v>
      </c>
      <c r="H640" s="2" t="s">
        <v>869</v>
      </c>
      <c r="I640" t="s">
        <v>198</v>
      </c>
      <c r="J640" s="18">
        <v>28188.98</v>
      </c>
      <c r="K640" s="18">
        <v>19975.79</v>
      </c>
      <c r="L640" s="18">
        <v>21419.618243219302</v>
      </c>
      <c r="M640" s="18">
        <v>3107.9885628850502</v>
      </c>
      <c r="N640" s="18">
        <v>20175.79</v>
      </c>
      <c r="O640" s="18">
        <v>19775.79</v>
      </c>
      <c r="P640" s="3">
        <v>0</v>
      </c>
      <c r="Q640" s="3">
        <v>0</v>
      </c>
      <c r="R640" s="3">
        <v>1</v>
      </c>
      <c r="S640" s="3"/>
      <c r="T640" s="3" t="b">
        <v>0</v>
      </c>
      <c r="U640" s="3">
        <v>3050</v>
      </c>
      <c r="V640" s="3">
        <v>0</v>
      </c>
      <c r="W640" s="3">
        <v>2994</v>
      </c>
      <c r="X640" s="3">
        <v>16.010000000000002</v>
      </c>
    </row>
    <row r="641" spans="1:24" hidden="1">
      <c r="A641" s="1">
        <v>45536</v>
      </c>
      <c r="B641" s="1" t="s">
        <v>901</v>
      </c>
      <c r="C641" s="2" t="s">
        <v>867</v>
      </c>
      <c r="D641" s="2" t="s">
        <v>279</v>
      </c>
      <c r="E641" s="2" t="s">
        <v>737</v>
      </c>
      <c r="F641" s="2" t="s">
        <v>837</v>
      </c>
      <c r="G641" s="2" t="s">
        <v>868</v>
      </c>
      <c r="H641" s="2" t="s">
        <v>869</v>
      </c>
      <c r="I641" t="s">
        <v>198</v>
      </c>
      <c r="J641" s="18">
        <v>20504.68</v>
      </c>
      <c r="K641" s="18">
        <v>20493.38</v>
      </c>
      <c r="L641" s="18">
        <v>21643.469720552799</v>
      </c>
      <c r="M641" s="18">
        <v>-952.55782602802196</v>
      </c>
      <c r="N641" s="18">
        <v>20693.38</v>
      </c>
      <c r="O641" s="18">
        <v>20293.38</v>
      </c>
      <c r="P641" s="3">
        <v>0</v>
      </c>
      <c r="Q641" s="3">
        <v>0</v>
      </c>
      <c r="R641" s="3">
        <v>0</v>
      </c>
      <c r="S641" s="3"/>
      <c r="T641" s="3" t="b">
        <v>0</v>
      </c>
      <c r="U641" s="3">
        <v>3709</v>
      </c>
      <c r="V641" s="3">
        <v>0</v>
      </c>
      <c r="W641" s="3">
        <v>1316</v>
      </c>
      <c r="X641" s="3">
        <v>17.61</v>
      </c>
    </row>
    <row r="642" spans="1:24" hidden="1">
      <c r="A642" s="1">
        <v>45566</v>
      </c>
      <c r="B642" s="1" t="s">
        <v>902</v>
      </c>
      <c r="C642" s="2" t="s">
        <v>867</v>
      </c>
      <c r="D642" s="2" t="s">
        <v>279</v>
      </c>
      <c r="E642" s="2" t="s">
        <v>737</v>
      </c>
      <c r="F642" s="2" t="s">
        <v>837</v>
      </c>
      <c r="G642" s="2" t="s">
        <v>868</v>
      </c>
      <c r="H642" s="2" t="s">
        <v>869</v>
      </c>
      <c r="I642" t="s">
        <v>224</v>
      </c>
      <c r="J642" s="18"/>
      <c r="K642" s="18">
        <v>20478.439999999999</v>
      </c>
      <c r="L642" s="18">
        <v>21860.100182488499</v>
      </c>
      <c r="M642" s="18">
        <v>1209.15972698063</v>
      </c>
      <c r="N642" s="18">
        <v>20678.439999999999</v>
      </c>
      <c r="O642" s="18">
        <v>20278.439999999999</v>
      </c>
      <c r="P642" s="3"/>
      <c r="Q642" s="3"/>
      <c r="R642" s="3"/>
      <c r="S642" s="3"/>
      <c r="T642" s="3"/>
      <c r="U642" s="3"/>
      <c r="V642" s="3"/>
      <c r="W642" s="3">
        <v>2986</v>
      </c>
      <c r="X642" s="3">
        <v>15.21</v>
      </c>
    </row>
    <row r="643" spans="1:24" hidden="1">
      <c r="A643" s="1">
        <v>45597</v>
      </c>
      <c r="B643" s="1" t="s">
        <v>903</v>
      </c>
      <c r="C643" s="2" t="s">
        <v>867</v>
      </c>
      <c r="D643" s="2" t="s">
        <v>279</v>
      </c>
      <c r="E643" s="2" t="s">
        <v>737</v>
      </c>
      <c r="F643" s="2" t="s">
        <v>837</v>
      </c>
      <c r="G643" s="2" t="s">
        <v>868</v>
      </c>
      <c r="H643" s="2" t="s">
        <v>869</v>
      </c>
      <c r="I643" t="s">
        <v>224</v>
      </c>
      <c r="J643" s="18"/>
      <c r="K643" s="18">
        <v>21102.37</v>
      </c>
      <c r="L643" s="18">
        <v>22083.951659822102</v>
      </c>
      <c r="M643" s="18">
        <v>-841.60147429078904</v>
      </c>
      <c r="N643" s="18">
        <v>21302.37</v>
      </c>
      <c r="O643" s="18">
        <v>20902.37</v>
      </c>
      <c r="P643" s="3"/>
      <c r="Q643" s="3"/>
      <c r="R643" s="3"/>
      <c r="S643" s="3"/>
      <c r="T643" s="3"/>
      <c r="U643" s="3"/>
      <c r="V643" s="3"/>
      <c r="W643" s="3">
        <v>1634</v>
      </c>
      <c r="X643" s="3">
        <v>15.24</v>
      </c>
    </row>
    <row r="644" spans="1:24" hidden="1">
      <c r="A644" s="1">
        <v>45627</v>
      </c>
      <c r="B644" s="1" t="s">
        <v>904</v>
      </c>
      <c r="C644" s="2" t="s">
        <v>867</v>
      </c>
      <c r="D644" s="2" t="s">
        <v>279</v>
      </c>
      <c r="E644" s="2" t="s">
        <v>737</v>
      </c>
      <c r="F644" s="2" t="s">
        <v>837</v>
      </c>
      <c r="G644" s="2" t="s">
        <v>868</v>
      </c>
      <c r="H644" s="2" t="s">
        <v>869</v>
      </c>
      <c r="I644" t="s">
        <v>224</v>
      </c>
      <c r="J644" s="18"/>
      <c r="K644" s="18">
        <v>21489.439999999999</v>
      </c>
      <c r="L644" s="18">
        <v>22300.582121757801</v>
      </c>
      <c r="M644" s="18">
        <v>1092.6194156174399</v>
      </c>
      <c r="N644" s="18">
        <v>21689.439999999999</v>
      </c>
      <c r="O644" s="18">
        <v>21289.439999999999</v>
      </c>
      <c r="P644" s="3"/>
      <c r="Q644" s="3"/>
      <c r="R644" s="3"/>
      <c r="S644" s="3"/>
      <c r="T644" s="3"/>
      <c r="U644" s="3"/>
      <c r="V644" s="3"/>
      <c r="W644" s="3">
        <v>2925</v>
      </c>
      <c r="X644" s="3">
        <v>16.579999999999998</v>
      </c>
    </row>
    <row r="645" spans="1:24" hidden="1">
      <c r="A645" s="1">
        <v>44562</v>
      </c>
      <c r="B645" s="1" t="s">
        <v>905</v>
      </c>
      <c r="C645" s="2" t="s">
        <v>906</v>
      </c>
      <c r="D645" s="2" t="s">
        <v>279</v>
      </c>
      <c r="E645" s="2" t="s">
        <v>737</v>
      </c>
      <c r="F645" s="2" t="s">
        <v>837</v>
      </c>
      <c r="G645" s="2" t="s">
        <v>141</v>
      </c>
      <c r="H645" s="2" t="s">
        <v>776</v>
      </c>
      <c r="I645" t="s">
        <v>198</v>
      </c>
      <c r="J645" s="18">
        <v>9844.0400000000009</v>
      </c>
      <c r="K645" s="18"/>
      <c r="L645" s="18">
        <v>9935.2724450099995</v>
      </c>
      <c r="M645" s="18">
        <v>48.138585148788898</v>
      </c>
      <c r="N645" s="18"/>
      <c r="O645" s="18"/>
      <c r="P645" s="3">
        <v>0</v>
      </c>
      <c r="Q645" s="3">
        <v>0</v>
      </c>
      <c r="R645" s="3">
        <v>0</v>
      </c>
      <c r="S645" s="3"/>
      <c r="T645" s="3" t="b">
        <v>0</v>
      </c>
      <c r="U645" s="3">
        <v>3724</v>
      </c>
      <c r="V645" s="3">
        <v>1</v>
      </c>
      <c r="W645" s="3">
        <v>2152</v>
      </c>
      <c r="X645" s="3">
        <v>19.25</v>
      </c>
    </row>
    <row r="646" spans="1:24" hidden="1">
      <c r="A646" s="1">
        <v>44593</v>
      </c>
      <c r="B646" s="1" t="s">
        <v>907</v>
      </c>
      <c r="C646" s="2" t="s">
        <v>906</v>
      </c>
      <c r="D646" s="2" t="s">
        <v>279</v>
      </c>
      <c r="E646" s="2" t="s">
        <v>737</v>
      </c>
      <c r="F646" s="2" t="s">
        <v>837</v>
      </c>
      <c r="G646" s="2" t="s">
        <v>141</v>
      </c>
      <c r="H646" s="2" t="s">
        <v>776</v>
      </c>
      <c r="I646" t="s">
        <v>198</v>
      </c>
      <c r="J646" s="18">
        <v>10193.98</v>
      </c>
      <c r="K646" s="18"/>
      <c r="L646" s="18">
        <v>10003.8843416131</v>
      </c>
      <c r="M646" s="18">
        <v>-548.50060916659595</v>
      </c>
      <c r="N646" s="18"/>
      <c r="O646" s="18"/>
      <c r="P646" s="3">
        <v>0</v>
      </c>
      <c r="Q646" s="3">
        <v>0</v>
      </c>
      <c r="R646" s="3">
        <v>0</v>
      </c>
      <c r="S646" s="3"/>
      <c r="T646" s="3" t="b">
        <v>0</v>
      </c>
      <c r="U646" s="3">
        <v>4004</v>
      </c>
      <c r="V646" s="3">
        <v>1</v>
      </c>
      <c r="W646" s="3">
        <v>2622</v>
      </c>
      <c r="X646" s="3">
        <v>18.309999999999999</v>
      </c>
    </row>
    <row r="647" spans="1:24" hidden="1">
      <c r="A647" s="1">
        <v>44621</v>
      </c>
      <c r="B647" s="1" t="s">
        <v>908</v>
      </c>
      <c r="C647" s="2" t="s">
        <v>906</v>
      </c>
      <c r="D647" s="2" t="s">
        <v>279</v>
      </c>
      <c r="E647" s="2" t="s">
        <v>737</v>
      </c>
      <c r="F647" s="2" t="s">
        <v>837</v>
      </c>
      <c r="G647" s="2" t="s">
        <v>141</v>
      </c>
      <c r="H647" s="2" t="s">
        <v>776</v>
      </c>
      <c r="I647" t="s">
        <v>198</v>
      </c>
      <c r="J647" s="18">
        <v>10758.66</v>
      </c>
      <c r="K647" s="18"/>
      <c r="L647" s="18">
        <v>10065.856377551199</v>
      </c>
      <c r="M647" s="18">
        <v>140.923733031539</v>
      </c>
      <c r="N647" s="18"/>
      <c r="O647" s="18"/>
      <c r="P647" s="3">
        <v>0</v>
      </c>
      <c r="Q647" s="3">
        <v>0</v>
      </c>
      <c r="R647" s="3">
        <v>0</v>
      </c>
      <c r="S647" s="3"/>
      <c r="T647" s="3" t="b">
        <v>0</v>
      </c>
      <c r="U647" s="3">
        <v>4302</v>
      </c>
      <c r="V647" s="3">
        <v>0</v>
      </c>
      <c r="W647" s="3">
        <v>1841</v>
      </c>
      <c r="X647" s="3">
        <v>19.03</v>
      </c>
    </row>
    <row r="648" spans="1:24" hidden="1">
      <c r="A648" s="1">
        <v>44652</v>
      </c>
      <c r="B648" s="1" t="s">
        <v>909</v>
      </c>
      <c r="C648" s="2" t="s">
        <v>906</v>
      </c>
      <c r="D648" s="2" t="s">
        <v>279</v>
      </c>
      <c r="E648" s="2" t="s">
        <v>737</v>
      </c>
      <c r="F648" s="2" t="s">
        <v>837</v>
      </c>
      <c r="G648" s="2" t="s">
        <v>141</v>
      </c>
      <c r="H648" s="2" t="s">
        <v>776</v>
      </c>
      <c r="I648" t="s">
        <v>198</v>
      </c>
      <c r="J648" s="18">
        <v>10147.81</v>
      </c>
      <c r="K648" s="18"/>
      <c r="L648" s="18">
        <v>10134.468274136099</v>
      </c>
      <c r="M648" s="18">
        <v>-393.169151529739</v>
      </c>
      <c r="N648" s="18"/>
      <c r="O648" s="18"/>
      <c r="P648" s="3">
        <v>0</v>
      </c>
      <c r="Q648" s="3">
        <v>0</v>
      </c>
      <c r="R648" s="3">
        <v>0</v>
      </c>
      <c r="S648" s="3"/>
      <c r="T648" s="3" t="b">
        <v>0</v>
      </c>
      <c r="U648" s="3">
        <v>4283</v>
      </c>
      <c r="V648" s="3">
        <v>1</v>
      </c>
      <c r="W648" s="3">
        <v>2449</v>
      </c>
      <c r="X648" s="3">
        <v>18.89</v>
      </c>
    </row>
    <row r="649" spans="1:24" hidden="1">
      <c r="A649" s="1">
        <v>44682</v>
      </c>
      <c r="B649" s="1" t="s">
        <v>910</v>
      </c>
      <c r="C649" s="2" t="s">
        <v>906</v>
      </c>
      <c r="D649" s="2" t="s">
        <v>279</v>
      </c>
      <c r="E649" s="2" t="s">
        <v>737</v>
      </c>
      <c r="F649" s="2" t="s">
        <v>837</v>
      </c>
      <c r="G649" s="2" t="s">
        <v>141</v>
      </c>
      <c r="H649" s="2" t="s">
        <v>776</v>
      </c>
      <c r="I649" t="s">
        <v>198</v>
      </c>
      <c r="J649" s="18">
        <v>10562.44</v>
      </c>
      <c r="K649" s="18"/>
      <c r="L649" s="18">
        <v>10200.866883935099</v>
      </c>
      <c r="M649" s="18">
        <v>1083.2573711073101</v>
      </c>
      <c r="N649" s="18"/>
      <c r="O649" s="18"/>
      <c r="P649" s="3">
        <v>0</v>
      </c>
      <c r="Q649" s="3">
        <v>0</v>
      </c>
      <c r="R649" s="3">
        <v>0</v>
      </c>
      <c r="S649" s="3"/>
      <c r="T649" s="3" t="b">
        <v>0</v>
      </c>
      <c r="U649" s="3">
        <v>3607</v>
      </c>
      <c r="V649" s="3">
        <v>0</v>
      </c>
      <c r="W649" s="3">
        <v>1947</v>
      </c>
      <c r="X649" s="3">
        <v>18.72</v>
      </c>
    </row>
    <row r="650" spans="1:24" hidden="1">
      <c r="A650" s="1">
        <v>44713</v>
      </c>
      <c r="B650" s="1" t="s">
        <v>911</v>
      </c>
      <c r="C650" s="2" t="s">
        <v>906</v>
      </c>
      <c r="D650" s="2" t="s">
        <v>279</v>
      </c>
      <c r="E650" s="2" t="s">
        <v>737</v>
      </c>
      <c r="F650" s="2" t="s">
        <v>837</v>
      </c>
      <c r="G650" s="2" t="s">
        <v>141</v>
      </c>
      <c r="H650" s="2" t="s">
        <v>776</v>
      </c>
      <c r="I650" t="s">
        <v>198</v>
      </c>
      <c r="J650" s="18">
        <v>10322.89</v>
      </c>
      <c r="K650" s="18"/>
      <c r="L650" s="18">
        <v>10269.4787809547</v>
      </c>
      <c r="M650" s="18">
        <v>-203.71151364915599</v>
      </c>
      <c r="N650" s="18"/>
      <c r="O650" s="18"/>
      <c r="P650" s="3">
        <v>0</v>
      </c>
      <c r="Q650" s="3">
        <v>0</v>
      </c>
      <c r="R650" s="3">
        <v>0</v>
      </c>
      <c r="S650" s="3"/>
      <c r="T650" s="3" t="b">
        <v>0</v>
      </c>
      <c r="U650" s="3">
        <v>3789</v>
      </c>
      <c r="V650" s="3">
        <v>0</v>
      </c>
      <c r="W650" s="3">
        <v>1664</v>
      </c>
      <c r="X650" s="3">
        <v>19.3</v>
      </c>
    </row>
    <row r="651" spans="1:24" hidden="1">
      <c r="A651" s="1">
        <v>44743</v>
      </c>
      <c r="B651" s="1" t="s">
        <v>912</v>
      </c>
      <c r="C651" s="2" t="s">
        <v>906</v>
      </c>
      <c r="D651" s="2" t="s">
        <v>279</v>
      </c>
      <c r="E651" s="2" t="s">
        <v>737</v>
      </c>
      <c r="F651" s="2" t="s">
        <v>837</v>
      </c>
      <c r="G651" s="2" t="s">
        <v>141</v>
      </c>
      <c r="H651" s="2" t="s">
        <v>776</v>
      </c>
      <c r="I651" t="s">
        <v>198</v>
      </c>
      <c r="J651" s="18">
        <v>10572.36</v>
      </c>
      <c r="K651" s="18"/>
      <c r="L651" s="18">
        <v>10335.8773912534</v>
      </c>
      <c r="M651" s="18">
        <v>-351.70058075573502</v>
      </c>
      <c r="N651" s="18"/>
      <c r="O651" s="18"/>
      <c r="P651" s="3">
        <v>0</v>
      </c>
      <c r="Q651" s="3">
        <v>0</v>
      </c>
      <c r="R651" s="3">
        <v>0</v>
      </c>
      <c r="S651" s="3"/>
      <c r="T651" s="3" t="b">
        <v>1</v>
      </c>
      <c r="U651" s="3">
        <v>2270</v>
      </c>
      <c r="V651" s="3">
        <v>0</v>
      </c>
      <c r="W651" s="3">
        <v>2717</v>
      </c>
      <c r="X651" s="3">
        <v>19.12</v>
      </c>
    </row>
    <row r="652" spans="1:24" hidden="1">
      <c r="A652" s="1">
        <v>44774</v>
      </c>
      <c r="B652" s="1" t="s">
        <v>913</v>
      </c>
      <c r="C652" s="2" t="s">
        <v>906</v>
      </c>
      <c r="D652" s="2" t="s">
        <v>279</v>
      </c>
      <c r="E652" s="2" t="s">
        <v>737</v>
      </c>
      <c r="F652" s="2" t="s">
        <v>837</v>
      </c>
      <c r="G652" s="2" t="s">
        <v>141</v>
      </c>
      <c r="H652" s="2" t="s">
        <v>776</v>
      </c>
      <c r="I652" t="s">
        <v>198</v>
      </c>
      <c r="J652" s="18">
        <v>10430.35</v>
      </c>
      <c r="K652" s="18"/>
      <c r="L652" s="18">
        <v>10404.4892888549</v>
      </c>
      <c r="M652" s="18">
        <v>-199.29200039762</v>
      </c>
      <c r="N652" s="18"/>
      <c r="O652" s="18"/>
      <c r="P652" s="3">
        <v>0</v>
      </c>
      <c r="Q652" s="3">
        <v>0</v>
      </c>
      <c r="R652" s="3">
        <v>0</v>
      </c>
      <c r="S652" s="3"/>
      <c r="T652" s="3" t="b">
        <v>1</v>
      </c>
      <c r="U652" s="3">
        <v>2122</v>
      </c>
      <c r="V652" s="3">
        <v>0</v>
      </c>
      <c r="W652" s="3">
        <v>2148</v>
      </c>
      <c r="X652" s="3">
        <v>19.09</v>
      </c>
    </row>
    <row r="653" spans="1:24" hidden="1">
      <c r="A653" s="1">
        <v>44805</v>
      </c>
      <c r="B653" s="1" t="s">
        <v>914</v>
      </c>
      <c r="C653" s="2" t="s">
        <v>906</v>
      </c>
      <c r="D653" s="2" t="s">
        <v>279</v>
      </c>
      <c r="E653" s="2" t="s">
        <v>737</v>
      </c>
      <c r="F653" s="2" t="s">
        <v>837</v>
      </c>
      <c r="G653" s="2" t="s">
        <v>141</v>
      </c>
      <c r="H653" s="2" t="s">
        <v>776</v>
      </c>
      <c r="I653" t="s">
        <v>198</v>
      </c>
      <c r="J653" s="18">
        <v>10197.15</v>
      </c>
      <c r="K653" s="18"/>
      <c r="L653" s="18">
        <v>10473.1011862255</v>
      </c>
      <c r="M653" s="18">
        <v>-550.49591922932404</v>
      </c>
      <c r="N653" s="18"/>
      <c r="O653" s="18"/>
      <c r="P653" s="3">
        <v>0</v>
      </c>
      <c r="Q653" s="3">
        <v>0</v>
      </c>
      <c r="R653" s="3">
        <v>0</v>
      </c>
      <c r="S653" s="3"/>
      <c r="T653" s="3" t="b">
        <v>0</v>
      </c>
      <c r="U653" s="3">
        <v>4703</v>
      </c>
      <c r="V653" s="3">
        <v>1</v>
      </c>
      <c r="W653" s="3">
        <v>1066</v>
      </c>
      <c r="X653" s="3">
        <v>17.98</v>
      </c>
    </row>
    <row r="654" spans="1:24" hidden="1">
      <c r="A654" s="1">
        <v>44835</v>
      </c>
      <c r="B654" s="1" t="s">
        <v>915</v>
      </c>
      <c r="C654" s="2" t="s">
        <v>906</v>
      </c>
      <c r="D654" s="2" t="s">
        <v>279</v>
      </c>
      <c r="E654" s="2" t="s">
        <v>737</v>
      </c>
      <c r="F654" s="2" t="s">
        <v>837</v>
      </c>
      <c r="G654" s="2" t="s">
        <v>141</v>
      </c>
      <c r="H654" s="2" t="s">
        <v>776</v>
      </c>
      <c r="I654" t="s">
        <v>198</v>
      </c>
      <c r="J654" s="18">
        <v>10554.42</v>
      </c>
      <c r="K654" s="18"/>
      <c r="L654" s="18">
        <v>10539.499796432699</v>
      </c>
      <c r="M654" s="18">
        <v>-58.9845753758378</v>
      </c>
      <c r="N654" s="18"/>
      <c r="O654" s="18"/>
      <c r="P654" s="3">
        <v>0</v>
      </c>
      <c r="Q654" s="3">
        <v>0</v>
      </c>
      <c r="R654" s="3">
        <v>0</v>
      </c>
      <c r="S654" s="3"/>
      <c r="T654" s="3" t="b">
        <v>0</v>
      </c>
      <c r="U654" s="3">
        <v>3280</v>
      </c>
      <c r="V654" s="3">
        <v>0</v>
      </c>
      <c r="W654" s="3">
        <v>1005</v>
      </c>
      <c r="X654" s="3">
        <v>21.17</v>
      </c>
    </row>
    <row r="655" spans="1:24" hidden="1">
      <c r="A655" s="1">
        <v>44866</v>
      </c>
      <c r="B655" s="1" t="s">
        <v>916</v>
      </c>
      <c r="C655" s="2" t="s">
        <v>906</v>
      </c>
      <c r="D655" s="2" t="s">
        <v>279</v>
      </c>
      <c r="E655" s="2" t="s">
        <v>737</v>
      </c>
      <c r="F655" s="2" t="s">
        <v>837</v>
      </c>
      <c r="G655" s="2" t="s">
        <v>141</v>
      </c>
      <c r="H655" s="2" t="s">
        <v>776</v>
      </c>
      <c r="I655" t="s">
        <v>198</v>
      </c>
      <c r="J655" s="18">
        <v>10304.43</v>
      </c>
      <c r="K655" s="18"/>
      <c r="L655" s="18">
        <v>10608.111693433701</v>
      </c>
      <c r="M655" s="18">
        <v>52.486270905367199</v>
      </c>
      <c r="N655" s="18"/>
      <c r="O655" s="18"/>
      <c r="P655" s="3">
        <v>0</v>
      </c>
      <c r="Q655" s="3">
        <v>0</v>
      </c>
      <c r="R655" s="3">
        <v>0</v>
      </c>
      <c r="S655" s="3"/>
      <c r="T655" s="3" t="b">
        <v>0</v>
      </c>
      <c r="U655" s="3">
        <v>3444</v>
      </c>
      <c r="V655" s="3">
        <v>0</v>
      </c>
      <c r="W655" s="3">
        <v>1636</v>
      </c>
      <c r="X655" s="3">
        <v>18.63</v>
      </c>
    </row>
    <row r="656" spans="1:24" hidden="1">
      <c r="A656" s="1">
        <v>44896</v>
      </c>
      <c r="B656" s="1" t="s">
        <v>917</v>
      </c>
      <c r="C656" s="2" t="s">
        <v>906</v>
      </c>
      <c r="D656" s="2" t="s">
        <v>279</v>
      </c>
      <c r="E656" s="2" t="s">
        <v>737</v>
      </c>
      <c r="F656" s="2" t="s">
        <v>837</v>
      </c>
      <c r="G656" s="2" t="s">
        <v>141</v>
      </c>
      <c r="H656" s="2" t="s">
        <v>776</v>
      </c>
      <c r="I656" t="s">
        <v>198</v>
      </c>
      <c r="J656" s="18">
        <v>10321.65</v>
      </c>
      <c r="K656" s="18"/>
      <c r="L656" s="18">
        <v>10674.510303707701</v>
      </c>
      <c r="M656" s="18">
        <v>-419.70570184674801</v>
      </c>
      <c r="N656" s="18"/>
      <c r="O656" s="18"/>
      <c r="P656" s="3">
        <v>0</v>
      </c>
      <c r="Q656" s="3">
        <v>0</v>
      </c>
      <c r="R656" s="3">
        <v>0</v>
      </c>
      <c r="S656" s="3"/>
      <c r="T656" s="3" t="b">
        <v>0</v>
      </c>
      <c r="U656" s="3">
        <v>2258</v>
      </c>
      <c r="V656" s="3">
        <v>0</v>
      </c>
      <c r="W656" s="3">
        <v>1313</v>
      </c>
      <c r="X656" s="3">
        <v>19.489999999999998</v>
      </c>
    </row>
    <row r="657" spans="1:24" hidden="1">
      <c r="A657" s="1">
        <v>44927</v>
      </c>
      <c r="B657" s="1" t="s">
        <v>918</v>
      </c>
      <c r="C657" s="2" t="s">
        <v>906</v>
      </c>
      <c r="D657" s="2" t="s">
        <v>279</v>
      </c>
      <c r="E657" s="2" t="s">
        <v>737</v>
      </c>
      <c r="F657" s="2" t="s">
        <v>837</v>
      </c>
      <c r="G657" s="2" t="s">
        <v>141</v>
      </c>
      <c r="H657" s="2" t="s">
        <v>776</v>
      </c>
      <c r="I657" t="s">
        <v>198</v>
      </c>
      <c r="J657" s="18">
        <v>10011.4</v>
      </c>
      <c r="K657" s="18"/>
      <c r="L657" s="18">
        <v>10743.1222011471</v>
      </c>
      <c r="M657" s="18">
        <v>-249.19637902427701</v>
      </c>
      <c r="N657" s="18"/>
      <c r="O657" s="18"/>
      <c r="P657" s="3">
        <v>0</v>
      </c>
      <c r="Q657" s="3">
        <v>0</v>
      </c>
      <c r="R657" s="3">
        <v>0</v>
      </c>
      <c r="S657" s="3"/>
      <c r="T657" s="3" t="b">
        <v>0</v>
      </c>
      <c r="U657" s="3">
        <v>2947</v>
      </c>
      <c r="V657" s="3">
        <v>0</v>
      </c>
      <c r="W657" s="3">
        <v>2349</v>
      </c>
      <c r="X657" s="3">
        <v>19.45</v>
      </c>
    </row>
    <row r="658" spans="1:24" hidden="1">
      <c r="A658" s="1">
        <v>44958</v>
      </c>
      <c r="B658" s="1" t="s">
        <v>919</v>
      </c>
      <c r="C658" s="2" t="s">
        <v>906</v>
      </c>
      <c r="D658" s="2" t="s">
        <v>279</v>
      </c>
      <c r="E658" s="2" t="s">
        <v>737</v>
      </c>
      <c r="F658" s="2" t="s">
        <v>837</v>
      </c>
      <c r="G658" s="2" t="s">
        <v>141</v>
      </c>
      <c r="H658" s="2" t="s">
        <v>776</v>
      </c>
      <c r="I658" t="s">
        <v>198</v>
      </c>
      <c r="J658" s="18">
        <v>10117.48</v>
      </c>
      <c r="K658" s="18"/>
      <c r="L658" s="18">
        <v>10811.734120651699</v>
      </c>
      <c r="M658" s="18">
        <v>-278.75495058449701</v>
      </c>
      <c r="N658" s="18"/>
      <c r="O658" s="18"/>
      <c r="P658" s="3">
        <v>0</v>
      </c>
      <c r="Q658" s="3">
        <v>0</v>
      </c>
      <c r="R658" s="3">
        <v>0</v>
      </c>
      <c r="S658" s="3"/>
      <c r="T658" s="3" t="b">
        <v>0</v>
      </c>
      <c r="U658" s="3">
        <v>4094</v>
      </c>
      <c r="V658" s="3">
        <v>0</v>
      </c>
      <c r="W658" s="3">
        <v>1564</v>
      </c>
      <c r="X658" s="3">
        <v>18.93</v>
      </c>
    </row>
    <row r="659" spans="1:24" hidden="1">
      <c r="A659" s="1">
        <v>44986</v>
      </c>
      <c r="B659" s="1" t="s">
        <v>920</v>
      </c>
      <c r="C659" s="2" t="s">
        <v>906</v>
      </c>
      <c r="D659" s="2" t="s">
        <v>279</v>
      </c>
      <c r="E659" s="2" t="s">
        <v>737</v>
      </c>
      <c r="F659" s="2" t="s">
        <v>837</v>
      </c>
      <c r="G659" s="2" t="s">
        <v>141</v>
      </c>
      <c r="H659" s="2" t="s">
        <v>776</v>
      </c>
      <c r="I659" t="s">
        <v>198</v>
      </c>
      <c r="J659" s="18">
        <v>10528.15</v>
      </c>
      <c r="K659" s="18"/>
      <c r="L659" s="18">
        <v>10873.7062247905</v>
      </c>
      <c r="M659" s="18">
        <v>-128.38603592093099</v>
      </c>
      <c r="N659" s="18"/>
      <c r="O659" s="18"/>
      <c r="P659" s="3">
        <v>0</v>
      </c>
      <c r="Q659" s="3">
        <v>0</v>
      </c>
      <c r="R659" s="3">
        <v>0</v>
      </c>
      <c r="S659" s="3"/>
      <c r="T659" s="3" t="b">
        <v>0</v>
      </c>
      <c r="U659" s="3">
        <v>2862</v>
      </c>
      <c r="V659" s="3">
        <v>0</v>
      </c>
      <c r="W659" s="3">
        <v>2601</v>
      </c>
      <c r="X659" s="3">
        <v>18.41</v>
      </c>
    </row>
    <row r="660" spans="1:24" hidden="1">
      <c r="A660" s="1">
        <v>45017</v>
      </c>
      <c r="B660" s="1" t="s">
        <v>921</v>
      </c>
      <c r="C660" s="2" t="s">
        <v>906</v>
      </c>
      <c r="D660" s="2" t="s">
        <v>279</v>
      </c>
      <c r="E660" s="2" t="s">
        <v>737</v>
      </c>
      <c r="F660" s="2" t="s">
        <v>837</v>
      </c>
      <c r="G660" s="2" t="s">
        <v>141</v>
      </c>
      <c r="H660" s="2" t="s">
        <v>776</v>
      </c>
      <c r="I660" t="s">
        <v>198</v>
      </c>
      <c r="J660" s="18">
        <v>10346.91</v>
      </c>
      <c r="K660" s="18"/>
      <c r="L660" s="18">
        <v>10942.3181975445</v>
      </c>
      <c r="M660" s="18">
        <v>-110.015751444014</v>
      </c>
      <c r="N660" s="18"/>
      <c r="O660" s="18"/>
      <c r="P660" s="3">
        <v>0</v>
      </c>
      <c r="Q660" s="3">
        <v>0</v>
      </c>
      <c r="R660" s="3">
        <v>0</v>
      </c>
      <c r="S660" s="3"/>
      <c r="T660" s="3" t="b">
        <v>0</v>
      </c>
      <c r="U660" s="3">
        <v>2524</v>
      </c>
      <c r="V660" s="3">
        <v>1</v>
      </c>
      <c r="W660" s="3">
        <v>1825</v>
      </c>
      <c r="X660" s="3">
        <v>18.61</v>
      </c>
    </row>
    <row r="661" spans="1:24" hidden="1">
      <c r="A661" s="1">
        <v>45047</v>
      </c>
      <c r="B661" s="1" t="s">
        <v>922</v>
      </c>
      <c r="C661" s="2" t="s">
        <v>906</v>
      </c>
      <c r="D661" s="2" t="s">
        <v>279</v>
      </c>
      <c r="E661" s="2" t="s">
        <v>737</v>
      </c>
      <c r="F661" s="2" t="s">
        <v>837</v>
      </c>
      <c r="G661" s="2" t="s">
        <v>141</v>
      </c>
      <c r="H661" s="2" t="s">
        <v>776</v>
      </c>
      <c r="I661" t="s">
        <v>198</v>
      </c>
      <c r="J661" s="18">
        <v>8839.48</v>
      </c>
      <c r="K661" s="18"/>
      <c r="L661" s="18">
        <v>11008.716891345501</v>
      </c>
      <c r="M661" s="18">
        <v>781.47349781338596</v>
      </c>
      <c r="N661" s="18"/>
      <c r="O661" s="18"/>
      <c r="P661" s="3">
        <v>0</v>
      </c>
      <c r="Q661" s="3">
        <v>0</v>
      </c>
      <c r="R661" s="3">
        <v>1</v>
      </c>
      <c r="S661" s="3"/>
      <c r="T661" s="3" t="b">
        <v>0</v>
      </c>
      <c r="U661" s="3">
        <v>2887</v>
      </c>
      <c r="V661" s="3">
        <v>0</v>
      </c>
      <c r="W661" s="3">
        <v>1505</v>
      </c>
      <c r="X661" s="3">
        <v>19.46</v>
      </c>
    </row>
    <row r="662" spans="1:24" hidden="1">
      <c r="A662" s="1">
        <v>45078</v>
      </c>
      <c r="B662" s="1" t="s">
        <v>923</v>
      </c>
      <c r="C662" s="2" t="s">
        <v>906</v>
      </c>
      <c r="D662" s="2" t="s">
        <v>279</v>
      </c>
      <c r="E662" s="2" t="s">
        <v>737</v>
      </c>
      <c r="F662" s="2" t="s">
        <v>837</v>
      </c>
      <c r="G662" s="2" t="s">
        <v>141</v>
      </c>
      <c r="H662" s="2" t="s">
        <v>776</v>
      </c>
      <c r="I662" t="s">
        <v>198</v>
      </c>
      <c r="J662" s="18">
        <v>10632.85</v>
      </c>
      <c r="K662" s="18"/>
      <c r="L662" s="18">
        <v>11077.3325760144</v>
      </c>
      <c r="M662" s="18">
        <v>112.93972526250801</v>
      </c>
      <c r="N662" s="18"/>
      <c r="O662" s="18"/>
      <c r="P662" s="3">
        <v>0</v>
      </c>
      <c r="Q662" s="3">
        <v>0</v>
      </c>
      <c r="R662" s="3">
        <v>0</v>
      </c>
      <c r="S662" s="3"/>
      <c r="T662" s="3" t="b">
        <v>0</v>
      </c>
      <c r="U662" s="3">
        <v>2207</v>
      </c>
      <c r="V662" s="3">
        <v>0</v>
      </c>
      <c r="W662" s="3">
        <v>2105</v>
      </c>
      <c r="X662" s="3">
        <v>17.68</v>
      </c>
    </row>
    <row r="663" spans="1:24" hidden="1">
      <c r="A663" s="1">
        <v>45108</v>
      </c>
      <c r="B663" s="1" t="s">
        <v>924</v>
      </c>
      <c r="C663" s="2" t="s">
        <v>906</v>
      </c>
      <c r="D663" s="2" t="s">
        <v>279</v>
      </c>
      <c r="E663" s="2" t="s">
        <v>737</v>
      </c>
      <c r="F663" s="2" t="s">
        <v>837</v>
      </c>
      <c r="G663" s="2" t="s">
        <v>141</v>
      </c>
      <c r="H663" s="2" t="s">
        <v>776</v>
      </c>
      <c r="I663" t="s">
        <v>198</v>
      </c>
      <c r="J663" s="18">
        <v>11131.73</v>
      </c>
      <c r="K663" s="18"/>
      <c r="L663" s="18">
        <v>11143.734852818299</v>
      </c>
      <c r="M663" s="18">
        <v>-666.46313540565802</v>
      </c>
      <c r="N663" s="18"/>
      <c r="O663" s="18"/>
      <c r="P663" s="3">
        <v>0</v>
      </c>
      <c r="Q663" s="3">
        <v>0</v>
      </c>
      <c r="R663" s="3">
        <v>0</v>
      </c>
      <c r="S663" s="3"/>
      <c r="T663" s="3" t="b">
        <v>0</v>
      </c>
      <c r="U663" s="3">
        <v>4794</v>
      </c>
      <c r="V663" s="3">
        <v>0</v>
      </c>
      <c r="W663" s="3">
        <v>2622</v>
      </c>
      <c r="X663" s="3">
        <v>19.3</v>
      </c>
    </row>
    <row r="664" spans="1:24" hidden="1">
      <c r="A664" s="1">
        <v>45139</v>
      </c>
      <c r="B664" s="1" t="s">
        <v>925</v>
      </c>
      <c r="C664" s="2" t="s">
        <v>906</v>
      </c>
      <c r="D664" s="2" t="s">
        <v>279</v>
      </c>
      <c r="E664" s="2" t="s">
        <v>737</v>
      </c>
      <c r="F664" s="2" t="s">
        <v>837</v>
      </c>
      <c r="G664" s="2" t="s">
        <v>141</v>
      </c>
      <c r="H664" s="2" t="s">
        <v>776</v>
      </c>
      <c r="I664" t="s">
        <v>198</v>
      </c>
      <c r="J664" s="18">
        <v>11099.54</v>
      </c>
      <c r="K664" s="18"/>
      <c r="L664" s="18">
        <v>11212.350539212899</v>
      </c>
      <c r="M664" s="18">
        <v>121.875793869327</v>
      </c>
      <c r="N664" s="18"/>
      <c r="O664" s="18"/>
      <c r="P664" s="3">
        <v>0</v>
      </c>
      <c r="Q664" s="3">
        <v>0</v>
      </c>
      <c r="R664" s="3">
        <v>0</v>
      </c>
      <c r="S664" s="3"/>
      <c r="T664" s="3" t="b">
        <v>0</v>
      </c>
      <c r="U664" s="3">
        <v>2148</v>
      </c>
      <c r="V664" s="3">
        <v>1</v>
      </c>
      <c r="W664" s="3">
        <v>2025</v>
      </c>
      <c r="X664" s="3">
        <v>19.13</v>
      </c>
    </row>
    <row r="665" spans="1:24" hidden="1">
      <c r="A665" s="1">
        <v>45170</v>
      </c>
      <c r="B665" s="1" t="s">
        <v>926</v>
      </c>
      <c r="C665" s="2" t="s">
        <v>906</v>
      </c>
      <c r="D665" s="2" t="s">
        <v>279</v>
      </c>
      <c r="E665" s="2" t="s">
        <v>737</v>
      </c>
      <c r="F665" s="2" t="s">
        <v>837</v>
      </c>
      <c r="G665" s="2" t="s">
        <v>141</v>
      </c>
      <c r="H665" s="2" t="s">
        <v>776</v>
      </c>
      <c r="I665" t="s">
        <v>198</v>
      </c>
      <c r="J665" s="18">
        <v>11018.13</v>
      </c>
      <c r="K665" s="18"/>
      <c r="L665" s="18">
        <v>11280.9662258177</v>
      </c>
      <c r="M665" s="18">
        <v>-861.54726028897699</v>
      </c>
      <c r="N665" s="18"/>
      <c r="O665" s="18"/>
      <c r="P665" s="3">
        <v>0</v>
      </c>
      <c r="Q665" s="3">
        <v>0</v>
      </c>
      <c r="R665" s="3">
        <v>0</v>
      </c>
      <c r="S665" s="3"/>
      <c r="T665" s="3" t="b">
        <v>0</v>
      </c>
      <c r="U665" s="3">
        <v>2437</v>
      </c>
      <c r="V665" s="3">
        <v>0</v>
      </c>
      <c r="W665" s="3">
        <v>1203</v>
      </c>
      <c r="X665" s="3">
        <v>18.12</v>
      </c>
    </row>
    <row r="666" spans="1:24" hidden="1">
      <c r="A666" s="1">
        <v>45200</v>
      </c>
      <c r="B666" s="1" t="s">
        <v>927</v>
      </c>
      <c r="C666" s="2" t="s">
        <v>906</v>
      </c>
      <c r="D666" s="2" t="s">
        <v>279</v>
      </c>
      <c r="E666" s="2" t="s">
        <v>737</v>
      </c>
      <c r="F666" s="2" t="s">
        <v>837</v>
      </c>
      <c r="G666" s="2" t="s">
        <v>141</v>
      </c>
      <c r="H666" s="2" t="s">
        <v>776</v>
      </c>
      <c r="I666" t="s">
        <v>198</v>
      </c>
      <c r="J666" s="18">
        <v>11534.13</v>
      </c>
      <c r="K666" s="18"/>
      <c r="L666" s="18">
        <v>11347.368503458199</v>
      </c>
      <c r="M666" s="18">
        <v>242.19733496367499</v>
      </c>
      <c r="N666" s="18"/>
      <c r="O666" s="18"/>
      <c r="P666" s="3">
        <v>0</v>
      </c>
      <c r="Q666" s="3">
        <v>0</v>
      </c>
      <c r="R666" s="3">
        <v>0</v>
      </c>
      <c r="S666" s="3"/>
      <c r="T666" s="3" t="b">
        <v>0</v>
      </c>
      <c r="U666" s="3">
        <v>4202</v>
      </c>
      <c r="V666" s="3">
        <v>0</v>
      </c>
      <c r="W666" s="3">
        <v>1661</v>
      </c>
      <c r="X666" s="3">
        <v>3</v>
      </c>
    </row>
    <row r="667" spans="1:24" hidden="1">
      <c r="A667" s="1">
        <v>45231</v>
      </c>
      <c r="B667" s="1" t="s">
        <v>928</v>
      </c>
      <c r="C667" s="2" t="s">
        <v>906</v>
      </c>
      <c r="D667" s="2" t="s">
        <v>279</v>
      </c>
      <c r="E667" s="2" t="s">
        <v>737</v>
      </c>
      <c r="F667" s="2" t="s">
        <v>837</v>
      </c>
      <c r="G667" s="2" t="s">
        <v>141</v>
      </c>
      <c r="H667" s="2" t="s">
        <v>776</v>
      </c>
      <c r="I667" t="s">
        <v>198</v>
      </c>
      <c r="J667" s="18">
        <v>11519.18</v>
      </c>
      <c r="K667" s="18"/>
      <c r="L667" s="18">
        <v>11415.984190343001</v>
      </c>
      <c r="M667" s="18">
        <v>-246.63466190069099</v>
      </c>
      <c r="N667" s="18"/>
      <c r="O667" s="18"/>
      <c r="P667" s="3">
        <v>0</v>
      </c>
      <c r="Q667" s="3">
        <v>0</v>
      </c>
      <c r="R667" s="3">
        <v>0</v>
      </c>
      <c r="S667" s="3"/>
      <c r="T667" s="3" t="b">
        <v>0</v>
      </c>
      <c r="U667" s="3">
        <v>3721</v>
      </c>
      <c r="V667" s="3">
        <v>0</v>
      </c>
      <c r="W667" s="3">
        <v>1804</v>
      </c>
      <c r="X667" s="3">
        <v>19.010000000000002</v>
      </c>
    </row>
    <row r="668" spans="1:24" hidden="1">
      <c r="A668" s="1">
        <v>45261</v>
      </c>
      <c r="B668" s="1" t="s">
        <v>929</v>
      </c>
      <c r="C668" s="2" t="s">
        <v>906</v>
      </c>
      <c r="D668" s="2" t="s">
        <v>279</v>
      </c>
      <c r="E668" s="2" t="s">
        <v>737</v>
      </c>
      <c r="F668" s="2" t="s">
        <v>837</v>
      </c>
      <c r="G668" s="2" t="s">
        <v>141</v>
      </c>
      <c r="H668" s="2" t="s">
        <v>776</v>
      </c>
      <c r="I668" t="s">
        <v>198</v>
      </c>
      <c r="J668" s="18">
        <v>11302.18</v>
      </c>
      <c r="K668" s="18"/>
      <c r="L668" s="18">
        <v>11482.3864682855</v>
      </c>
      <c r="M668" s="18">
        <v>-119.324618872188</v>
      </c>
      <c r="N668" s="18"/>
      <c r="O668" s="18"/>
      <c r="P668" s="3">
        <v>0</v>
      </c>
      <c r="Q668" s="3">
        <v>0</v>
      </c>
      <c r="R668" s="3">
        <v>0</v>
      </c>
      <c r="S668" s="3"/>
      <c r="T668" s="3" t="b">
        <v>0</v>
      </c>
      <c r="U668" s="3">
        <v>2357</v>
      </c>
      <c r="V668" s="3">
        <v>0</v>
      </c>
      <c r="W668" s="3">
        <v>1403</v>
      </c>
      <c r="X668" s="3">
        <v>21.34</v>
      </c>
    </row>
    <row r="669" spans="1:24" hidden="1">
      <c r="A669" s="1">
        <v>45292</v>
      </c>
      <c r="B669" s="1" t="s">
        <v>930</v>
      </c>
      <c r="C669" s="2" t="s">
        <v>906</v>
      </c>
      <c r="D669" s="2" t="s">
        <v>279</v>
      </c>
      <c r="E669" s="2" t="s">
        <v>737</v>
      </c>
      <c r="F669" s="2" t="s">
        <v>837</v>
      </c>
      <c r="G669" s="2" t="s">
        <v>141</v>
      </c>
      <c r="H669" s="2" t="s">
        <v>776</v>
      </c>
      <c r="I669" t="s">
        <v>198</v>
      </c>
      <c r="J669" s="18">
        <v>11620.69</v>
      </c>
      <c r="K669" s="18"/>
      <c r="L669" s="18">
        <v>11551.0021552174</v>
      </c>
      <c r="M669" s="18">
        <v>-546.775626840629</v>
      </c>
      <c r="N669" s="18"/>
      <c r="O669" s="18"/>
      <c r="P669" s="3">
        <v>0</v>
      </c>
      <c r="Q669" s="3">
        <v>0</v>
      </c>
      <c r="R669" s="3">
        <v>0</v>
      </c>
      <c r="S669" s="3"/>
      <c r="T669" s="3" t="b">
        <v>0</v>
      </c>
      <c r="U669" s="3">
        <v>3240</v>
      </c>
      <c r="V669" s="3">
        <v>0</v>
      </c>
      <c r="W669" s="3">
        <v>2126</v>
      </c>
      <c r="X669" s="3">
        <v>19.29</v>
      </c>
    </row>
    <row r="670" spans="1:24" hidden="1">
      <c r="A670" s="1">
        <v>45323</v>
      </c>
      <c r="B670" s="1" t="s">
        <v>931</v>
      </c>
      <c r="C670" s="2" t="s">
        <v>906</v>
      </c>
      <c r="D670" s="2" t="s">
        <v>279</v>
      </c>
      <c r="E670" s="2" t="s">
        <v>737</v>
      </c>
      <c r="F670" s="2" t="s">
        <v>837</v>
      </c>
      <c r="G670" s="2" t="s">
        <v>141</v>
      </c>
      <c r="H670" s="2" t="s">
        <v>776</v>
      </c>
      <c r="I670" t="s">
        <v>198</v>
      </c>
      <c r="J670" s="18">
        <v>11312.85</v>
      </c>
      <c r="K670" s="18"/>
      <c r="L670" s="18">
        <v>11619.6178419076</v>
      </c>
      <c r="M670" s="18">
        <v>-8.2265543895571405</v>
      </c>
      <c r="N670" s="18"/>
      <c r="O670" s="18"/>
      <c r="P670" s="3">
        <v>0</v>
      </c>
      <c r="Q670" s="3">
        <v>0</v>
      </c>
      <c r="R670" s="3">
        <v>0</v>
      </c>
      <c r="S670" s="3"/>
      <c r="T670" s="3" t="b">
        <v>0</v>
      </c>
      <c r="U670" s="3">
        <v>3930</v>
      </c>
      <c r="V670" s="3">
        <v>1</v>
      </c>
      <c r="W670" s="3">
        <v>1535</v>
      </c>
      <c r="X670" s="3">
        <v>18.239999999999998</v>
      </c>
    </row>
    <row r="671" spans="1:24" hidden="1">
      <c r="A671" s="1">
        <v>45352</v>
      </c>
      <c r="B671" s="1" t="s">
        <v>932</v>
      </c>
      <c r="C671" s="2" t="s">
        <v>906</v>
      </c>
      <c r="D671" s="2" t="s">
        <v>279</v>
      </c>
      <c r="E671" s="2" t="s">
        <v>737</v>
      </c>
      <c r="F671" s="2" t="s">
        <v>837</v>
      </c>
      <c r="G671" s="2" t="s">
        <v>141</v>
      </c>
      <c r="H671" s="2" t="s">
        <v>776</v>
      </c>
      <c r="I671" t="s">
        <v>198</v>
      </c>
      <c r="J671" s="18">
        <v>11991.59</v>
      </c>
      <c r="K671" s="18"/>
      <c r="L671" s="18">
        <v>11683.8067101016</v>
      </c>
      <c r="M671" s="18">
        <v>680.66055472189396</v>
      </c>
      <c r="N671" s="18"/>
      <c r="O671" s="18"/>
      <c r="P671" s="3">
        <v>0</v>
      </c>
      <c r="Q671" s="3">
        <v>0</v>
      </c>
      <c r="R671" s="3">
        <v>0</v>
      </c>
      <c r="S671" s="3"/>
      <c r="T671" s="3" t="b">
        <v>0</v>
      </c>
      <c r="U671" s="3">
        <v>2455</v>
      </c>
      <c r="V671" s="3">
        <v>0</v>
      </c>
      <c r="W671" s="3">
        <v>2391</v>
      </c>
      <c r="X671" s="3">
        <v>17.71</v>
      </c>
    </row>
    <row r="672" spans="1:24" hidden="1">
      <c r="A672" s="1">
        <v>45383</v>
      </c>
      <c r="B672" s="1" t="s">
        <v>933</v>
      </c>
      <c r="C672" s="2" t="s">
        <v>906</v>
      </c>
      <c r="D672" s="2" t="s">
        <v>279</v>
      </c>
      <c r="E672" s="2" t="s">
        <v>737</v>
      </c>
      <c r="F672" s="2" t="s">
        <v>837</v>
      </c>
      <c r="G672" s="2" t="s">
        <v>141</v>
      </c>
      <c r="H672" s="2" t="s">
        <v>776</v>
      </c>
      <c r="I672" t="s">
        <v>198</v>
      </c>
      <c r="J672" s="18">
        <v>10955.96</v>
      </c>
      <c r="K672" s="18"/>
      <c r="L672" s="18">
        <v>11752.422396791801</v>
      </c>
      <c r="M672" s="18">
        <v>-958.38305430215598</v>
      </c>
      <c r="N672" s="18"/>
      <c r="O672" s="18"/>
      <c r="P672" s="3">
        <v>0</v>
      </c>
      <c r="Q672" s="3">
        <v>0</v>
      </c>
      <c r="R672" s="3">
        <v>0</v>
      </c>
      <c r="S672" s="3"/>
      <c r="T672" s="3" t="b">
        <v>0</v>
      </c>
      <c r="U672" s="3">
        <v>4823</v>
      </c>
      <c r="V672" s="3">
        <v>0</v>
      </c>
      <c r="W672" s="3">
        <v>2235</v>
      </c>
      <c r="X672" s="3">
        <v>18.48</v>
      </c>
    </row>
    <row r="673" spans="1:24" hidden="1">
      <c r="A673" s="1">
        <v>45413</v>
      </c>
      <c r="B673" s="1" t="s">
        <v>934</v>
      </c>
      <c r="C673" s="2" t="s">
        <v>906</v>
      </c>
      <c r="D673" s="2" t="s">
        <v>279</v>
      </c>
      <c r="E673" s="2" t="s">
        <v>737</v>
      </c>
      <c r="F673" s="2" t="s">
        <v>837</v>
      </c>
      <c r="G673" s="2" t="s">
        <v>141</v>
      </c>
      <c r="H673" s="2" t="s">
        <v>776</v>
      </c>
      <c r="I673" t="s">
        <v>198</v>
      </c>
      <c r="J673" s="18">
        <v>17190.509999999998</v>
      </c>
      <c r="K673" s="18"/>
      <c r="L673" s="18">
        <v>11818.8246742339</v>
      </c>
      <c r="M673" s="18">
        <v>1686.56539051871</v>
      </c>
      <c r="N673" s="18"/>
      <c r="O673" s="18"/>
      <c r="P673" s="3">
        <v>0</v>
      </c>
      <c r="Q673" s="3">
        <v>0</v>
      </c>
      <c r="R673" s="3">
        <v>1</v>
      </c>
      <c r="S673" s="3"/>
      <c r="T673" s="3" t="b">
        <v>0</v>
      </c>
      <c r="U673" s="3">
        <v>3632</v>
      </c>
      <c r="V673" s="3">
        <v>1</v>
      </c>
      <c r="W673" s="3">
        <v>1576</v>
      </c>
      <c r="X673" s="3">
        <v>18.88</v>
      </c>
    </row>
    <row r="674" spans="1:24" hidden="1">
      <c r="A674" s="1">
        <v>45444</v>
      </c>
      <c r="B674" s="1" t="s">
        <v>935</v>
      </c>
      <c r="C674" s="2" t="s">
        <v>906</v>
      </c>
      <c r="D674" s="2" t="s">
        <v>279</v>
      </c>
      <c r="E674" s="2" t="s">
        <v>737</v>
      </c>
      <c r="F674" s="2" t="s">
        <v>837</v>
      </c>
      <c r="G674" s="2" t="s">
        <v>141</v>
      </c>
      <c r="H674" s="2" t="s">
        <v>776</v>
      </c>
      <c r="I674" t="s">
        <v>198</v>
      </c>
      <c r="J674" s="18">
        <v>11245.74</v>
      </c>
      <c r="K674" s="18"/>
      <c r="L674" s="18">
        <v>11887.440360924</v>
      </c>
      <c r="M674" s="18">
        <v>-835.95207930154004</v>
      </c>
      <c r="N674" s="18"/>
      <c r="O674" s="18"/>
      <c r="P674" s="3">
        <v>0</v>
      </c>
      <c r="Q674" s="3">
        <v>0</v>
      </c>
      <c r="R674" s="3">
        <v>0</v>
      </c>
      <c r="S674" s="3"/>
      <c r="T674" s="3" t="b">
        <v>1</v>
      </c>
      <c r="U674" s="3">
        <v>2628</v>
      </c>
      <c r="V674" s="3">
        <v>0</v>
      </c>
      <c r="W674" s="3">
        <v>2984</v>
      </c>
      <c r="X674" s="3">
        <v>16.11</v>
      </c>
    </row>
    <row r="675" spans="1:24" hidden="1">
      <c r="A675" s="1">
        <v>45474</v>
      </c>
      <c r="B675" s="1" t="s">
        <v>936</v>
      </c>
      <c r="C675" s="2" t="s">
        <v>906</v>
      </c>
      <c r="D675" s="2" t="s">
        <v>279</v>
      </c>
      <c r="E675" s="2" t="s">
        <v>737</v>
      </c>
      <c r="F675" s="2" t="s">
        <v>837</v>
      </c>
      <c r="G675" s="2" t="s">
        <v>141</v>
      </c>
      <c r="H675" s="2" t="s">
        <v>776</v>
      </c>
      <c r="I675" t="s">
        <v>198</v>
      </c>
      <c r="J675" s="18">
        <v>11028.67</v>
      </c>
      <c r="K675" s="18">
        <v>11055.57</v>
      </c>
      <c r="L675" s="18">
        <v>11953.842638366101</v>
      </c>
      <c r="M675" s="18">
        <v>278.49683636761301</v>
      </c>
      <c r="N675" s="18">
        <v>11255.57</v>
      </c>
      <c r="O675" s="18">
        <v>10855.57</v>
      </c>
      <c r="P675" s="3">
        <v>0</v>
      </c>
      <c r="Q675" s="3">
        <v>0</v>
      </c>
      <c r="R675" s="3">
        <v>0</v>
      </c>
      <c r="S675" s="3"/>
      <c r="T675" s="3" t="b">
        <v>0</v>
      </c>
      <c r="U675" s="3">
        <v>4879</v>
      </c>
      <c r="V675" s="3">
        <v>0</v>
      </c>
      <c r="W675" s="3">
        <v>2232</v>
      </c>
      <c r="X675" s="3">
        <v>18.77</v>
      </c>
    </row>
    <row r="676" spans="1:24" hidden="1">
      <c r="A676" s="1">
        <v>45536</v>
      </c>
      <c r="B676" s="1" t="s">
        <v>937</v>
      </c>
      <c r="C676" s="2" t="s">
        <v>906</v>
      </c>
      <c r="D676" s="2" t="s">
        <v>279</v>
      </c>
      <c r="E676" s="2" t="s">
        <v>737</v>
      </c>
      <c r="F676" s="2" t="s">
        <v>837</v>
      </c>
      <c r="G676" s="2" t="s">
        <v>141</v>
      </c>
      <c r="H676" s="2" t="s">
        <v>776</v>
      </c>
      <c r="I676" t="s">
        <v>198</v>
      </c>
      <c r="J676" s="18">
        <v>11285.77</v>
      </c>
      <c r="K676" s="18">
        <v>11433.77</v>
      </c>
      <c r="L676" s="18">
        <v>12091.074011746499</v>
      </c>
      <c r="M676" s="18">
        <v>70.7960054633743</v>
      </c>
      <c r="N676" s="18">
        <v>11633.77</v>
      </c>
      <c r="O676" s="18">
        <v>11233.77</v>
      </c>
      <c r="P676" s="3">
        <v>0</v>
      </c>
      <c r="Q676" s="3">
        <v>0</v>
      </c>
      <c r="R676" s="3">
        <v>0</v>
      </c>
      <c r="S676" s="3"/>
      <c r="T676" s="3" t="b">
        <v>0</v>
      </c>
      <c r="U676" s="3">
        <v>4580</v>
      </c>
      <c r="V676" s="3">
        <v>0</v>
      </c>
      <c r="W676" s="3">
        <v>2920</v>
      </c>
      <c r="X676" s="3">
        <v>19.739999999999998</v>
      </c>
    </row>
    <row r="677" spans="1:24" hidden="1">
      <c r="A677" s="1">
        <v>45566</v>
      </c>
      <c r="B677" s="1" t="s">
        <v>938</v>
      </c>
      <c r="C677" s="2" t="s">
        <v>906</v>
      </c>
      <c r="D677" s="2" t="s">
        <v>279</v>
      </c>
      <c r="E677" s="2" t="s">
        <v>737</v>
      </c>
      <c r="F677" s="2" t="s">
        <v>837</v>
      </c>
      <c r="G677" s="2" t="s">
        <v>141</v>
      </c>
      <c r="H677" s="2" t="s">
        <v>776</v>
      </c>
      <c r="I677" t="s">
        <v>224</v>
      </c>
      <c r="J677" s="18"/>
      <c r="K677" s="18">
        <v>11239.25</v>
      </c>
      <c r="L677" s="18">
        <v>12157.4762891886</v>
      </c>
      <c r="M677" s="18">
        <v>-661.68032498131595</v>
      </c>
      <c r="N677" s="18">
        <v>11439.25</v>
      </c>
      <c r="O677" s="18">
        <v>11039.25</v>
      </c>
      <c r="P677" s="3"/>
      <c r="Q677" s="3"/>
      <c r="R677" s="3"/>
      <c r="S677" s="3"/>
      <c r="T677" s="3"/>
      <c r="U677" s="3"/>
      <c r="V677" s="3"/>
      <c r="W677" s="3">
        <v>1116</v>
      </c>
      <c r="X677" s="3">
        <v>19.489999999999998</v>
      </c>
    </row>
    <row r="678" spans="1:24" hidden="1">
      <c r="A678" s="1">
        <v>45597</v>
      </c>
      <c r="B678" s="1" t="s">
        <v>939</v>
      </c>
      <c r="C678" s="2" t="s">
        <v>906</v>
      </c>
      <c r="D678" s="2" t="s">
        <v>279</v>
      </c>
      <c r="E678" s="2" t="s">
        <v>737</v>
      </c>
      <c r="F678" s="2" t="s">
        <v>837</v>
      </c>
      <c r="G678" s="2" t="s">
        <v>141</v>
      </c>
      <c r="H678" s="2" t="s">
        <v>776</v>
      </c>
      <c r="I678" t="s">
        <v>224</v>
      </c>
      <c r="J678" s="18"/>
      <c r="K678" s="18">
        <v>11373.21</v>
      </c>
      <c r="L678" s="18">
        <v>12226.0919758788</v>
      </c>
      <c r="M678" s="18">
        <v>649.58442662866196</v>
      </c>
      <c r="N678" s="18">
        <v>11573.21</v>
      </c>
      <c r="O678" s="18">
        <v>11173.21</v>
      </c>
      <c r="P678" s="3"/>
      <c r="Q678" s="3"/>
      <c r="R678" s="3"/>
      <c r="S678" s="3"/>
      <c r="T678" s="3"/>
      <c r="U678" s="3"/>
      <c r="V678" s="3"/>
      <c r="W678" s="3">
        <v>1627</v>
      </c>
      <c r="X678" s="3">
        <v>17.75</v>
      </c>
    </row>
    <row r="679" spans="1:24" hidden="1">
      <c r="A679" s="1">
        <v>45627</v>
      </c>
      <c r="B679" s="1" t="s">
        <v>940</v>
      </c>
      <c r="C679" s="2" t="s">
        <v>906</v>
      </c>
      <c r="D679" s="2" t="s">
        <v>279</v>
      </c>
      <c r="E679" s="2" t="s">
        <v>737</v>
      </c>
      <c r="F679" s="2" t="s">
        <v>837</v>
      </c>
      <c r="G679" s="2" t="s">
        <v>141</v>
      </c>
      <c r="H679" s="2" t="s">
        <v>776</v>
      </c>
      <c r="I679" t="s">
        <v>224</v>
      </c>
      <c r="J679" s="18"/>
      <c r="K679" s="18">
        <v>12009.13</v>
      </c>
      <c r="L679" s="18">
        <v>12292.4942533209</v>
      </c>
      <c r="M679" s="18">
        <v>-1020.46438462181</v>
      </c>
      <c r="N679" s="18">
        <v>12209.13</v>
      </c>
      <c r="O679" s="18">
        <v>11809.13</v>
      </c>
      <c r="P679" s="3"/>
      <c r="Q679" s="3"/>
      <c r="R679" s="3"/>
      <c r="S679" s="3"/>
      <c r="T679" s="3"/>
      <c r="U679" s="3"/>
      <c r="V679" s="3"/>
      <c r="W679" s="3">
        <v>1748</v>
      </c>
      <c r="X679" s="3">
        <v>17.36</v>
      </c>
    </row>
    <row r="680" spans="1:24" hidden="1">
      <c r="A680" s="1">
        <v>45017</v>
      </c>
      <c r="B680" s="1" t="s">
        <v>941</v>
      </c>
      <c r="C680" s="2" t="s">
        <v>942</v>
      </c>
      <c r="D680" s="2" t="s">
        <v>279</v>
      </c>
      <c r="E680" s="2" t="s">
        <v>737</v>
      </c>
      <c r="F680" s="2" t="s">
        <v>837</v>
      </c>
      <c r="G680" s="2" t="s">
        <v>141</v>
      </c>
      <c r="H680" s="2" t="s">
        <v>597</v>
      </c>
      <c r="I680" t="s">
        <v>198</v>
      </c>
      <c r="J680" s="18">
        <v>19097.64</v>
      </c>
      <c r="K680" s="18"/>
      <c r="L680" s="18">
        <v>18635.550712140001</v>
      </c>
      <c r="M680" s="18">
        <v>462.08434387389599</v>
      </c>
      <c r="N680" s="18"/>
      <c r="O680" s="18"/>
      <c r="P680" s="3">
        <v>0</v>
      </c>
      <c r="Q680" s="3">
        <v>0</v>
      </c>
      <c r="R680" s="3">
        <v>0</v>
      </c>
      <c r="S680" s="3"/>
      <c r="T680" s="3" t="b">
        <v>0</v>
      </c>
      <c r="U680" s="3">
        <v>2084</v>
      </c>
      <c r="V680" s="3">
        <v>0</v>
      </c>
      <c r="W680" s="3">
        <v>1912</v>
      </c>
      <c r="X680" s="3">
        <v>12.93</v>
      </c>
    </row>
    <row r="681" spans="1:24" hidden="1">
      <c r="A681" s="1">
        <v>45047</v>
      </c>
      <c r="B681" s="1" t="s">
        <v>943</v>
      </c>
      <c r="C681" s="2" t="s">
        <v>942</v>
      </c>
      <c r="D681" s="2" t="s">
        <v>279</v>
      </c>
      <c r="E681" s="2" t="s">
        <v>737</v>
      </c>
      <c r="F681" s="2" t="s">
        <v>837</v>
      </c>
      <c r="G681" s="2" t="s">
        <v>141</v>
      </c>
      <c r="H681" s="2" t="s">
        <v>597</v>
      </c>
      <c r="I681" t="s">
        <v>198</v>
      </c>
      <c r="J681" s="18">
        <v>19259.98</v>
      </c>
      <c r="K681" s="18"/>
      <c r="L681" s="18">
        <v>19459.086904128399</v>
      </c>
      <c r="M681" s="18">
        <v>-199.11302693186499</v>
      </c>
      <c r="N681" s="18"/>
      <c r="O681" s="18"/>
      <c r="P681" s="3">
        <v>0</v>
      </c>
      <c r="Q681" s="3">
        <v>0</v>
      </c>
      <c r="R681" s="3">
        <v>0</v>
      </c>
      <c r="S681" s="3"/>
      <c r="T681" s="3" t="b">
        <v>0</v>
      </c>
      <c r="U681" s="3">
        <v>3855</v>
      </c>
      <c r="V681" s="3">
        <v>0</v>
      </c>
      <c r="W681" s="3">
        <v>2075</v>
      </c>
      <c r="X681" s="3">
        <v>15.95</v>
      </c>
    </row>
    <row r="682" spans="1:24" hidden="1">
      <c r="A682" s="1">
        <v>45078</v>
      </c>
      <c r="B682" s="1" t="s">
        <v>944</v>
      </c>
      <c r="C682" s="2" t="s">
        <v>942</v>
      </c>
      <c r="D682" s="2" t="s">
        <v>279</v>
      </c>
      <c r="E682" s="2" t="s">
        <v>737</v>
      </c>
      <c r="F682" s="2" t="s">
        <v>837</v>
      </c>
      <c r="G682" s="2" t="s">
        <v>141</v>
      </c>
      <c r="H682" s="2" t="s">
        <v>597</v>
      </c>
      <c r="I682" t="s">
        <v>198</v>
      </c>
      <c r="J682" s="18">
        <v>19787.43</v>
      </c>
      <c r="K682" s="18"/>
      <c r="L682" s="18">
        <v>20310.088078206201</v>
      </c>
      <c r="M682" s="18">
        <v>-522.66327674003696</v>
      </c>
      <c r="N682" s="18"/>
      <c r="O682" s="18"/>
      <c r="P682" s="3">
        <v>0</v>
      </c>
      <c r="Q682" s="3">
        <v>0</v>
      </c>
      <c r="R682" s="3">
        <v>0</v>
      </c>
      <c r="S682" s="3"/>
      <c r="T682" s="3" t="b">
        <v>0</v>
      </c>
      <c r="U682" s="3">
        <v>4513</v>
      </c>
      <c r="V682" s="3">
        <v>0</v>
      </c>
      <c r="W682" s="3">
        <v>2068</v>
      </c>
      <c r="X682" s="3">
        <v>11.98</v>
      </c>
    </row>
    <row r="683" spans="1:24" hidden="1">
      <c r="A683" s="1">
        <v>45108</v>
      </c>
      <c r="B683" s="1" t="s">
        <v>945</v>
      </c>
      <c r="C683" s="2" t="s">
        <v>942</v>
      </c>
      <c r="D683" s="2" t="s">
        <v>279</v>
      </c>
      <c r="E683" s="2" t="s">
        <v>737</v>
      </c>
      <c r="F683" s="2" t="s">
        <v>837</v>
      </c>
      <c r="G683" s="2" t="s">
        <v>141</v>
      </c>
      <c r="H683" s="2" t="s">
        <v>597</v>
      </c>
      <c r="I683" t="s">
        <v>198</v>
      </c>
      <c r="J683" s="18">
        <v>20360.150000000001</v>
      </c>
      <c r="K683" s="18"/>
      <c r="L683" s="18">
        <v>21133.642488162001</v>
      </c>
      <c r="M683" s="18">
        <v>-773.49396143652996</v>
      </c>
      <c r="N683" s="18"/>
      <c r="O683" s="18"/>
      <c r="P683" s="3">
        <v>0</v>
      </c>
      <c r="Q683" s="3">
        <v>0</v>
      </c>
      <c r="R683" s="3">
        <v>0</v>
      </c>
      <c r="S683" s="3"/>
      <c r="T683" s="3" t="b">
        <v>0</v>
      </c>
      <c r="U683" s="3">
        <v>3122</v>
      </c>
      <c r="V683" s="3">
        <v>0</v>
      </c>
      <c r="W683" s="3">
        <v>1292</v>
      </c>
      <c r="X683" s="3">
        <v>14.8</v>
      </c>
    </row>
    <row r="684" spans="1:24" hidden="1">
      <c r="A684" s="1">
        <v>45139</v>
      </c>
      <c r="B684" s="1" t="s">
        <v>946</v>
      </c>
      <c r="C684" s="2" t="s">
        <v>942</v>
      </c>
      <c r="D684" s="2" t="s">
        <v>279</v>
      </c>
      <c r="E684" s="2" t="s">
        <v>737</v>
      </c>
      <c r="F684" s="2" t="s">
        <v>837</v>
      </c>
      <c r="G684" s="2" t="s">
        <v>141</v>
      </c>
      <c r="H684" s="2" t="s">
        <v>597</v>
      </c>
      <c r="I684" t="s">
        <v>198</v>
      </c>
      <c r="J684" s="18">
        <v>20540.91</v>
      </c>
      <c r="K684" s="18"/>
      <c r="L684" s="18">
        <v>21521.098469254801</v>
      </c>
      <c r="M684" s="18">
        <v>-980.18840866628705</v>
      </c>
      <c r="N684" s="18"/>
      <c r="O684" s="18"/>
      <c r="P684" s="3">
        <v>0</v>
      </c>
      <c r="Q684" s="3">
        <v>0</v>
      </c>
      <c r="R684" s="3">
        <v>0</v>
      </c>
      <c r="S684" s="3"/>
      <c r="T684" s="3" t="b">
        <v>0</v>
      </c>
      <c r="U684" s="3">
        <v>3213</v>
      </c>
      <c r="V684" s="3">
        <v>0</v>
      </c>
      <c r="W684" s="3">
        <v>1937</v>
      </c>
      <c r="X684" s="3">
        <v>11.1</v>
      </c>
    </row>
    <row r="685" spans="1:24" hidden="1">
      <c r="A685" s="1">
        <v>45170</v>
      </c>
      <c r="B685" s="1" t="s">
        <v>947</v>
      </c>
      <c r="C685" s="2" t="s">
        <v>942</v>
      </c>
      <c r="D685" s="2" t="s">
        <v>279</v>
      </c>
      <c r="E685" s="2" t="s">
        <v>737</v>
      </c>
      <c r="F685" s="2" t="s">
        <v>837</v>
      </c>
      <c r="G685" s="2" t="s">
        <v>141</v>
      </c>
      <c r="H685" s="2" t="s">
        <v>597</v>
      </c>
      <c r="I685" t="s">
        <v>198</v>
      </c>
      <c r="J685" s="18">
        <v>20767.68</v>
      </c>
      <c r="K685" s="18"/>
      <c r="L685" s="18">
        <v>21375.684657192902</v>
      </c>
      <c r="M685" s="18">
        <v>-608.00547057947006</v>
      </c>
      <c r="N685" s="18"/>
      <c r="O685" s="18"/>
      <c r="P685" s="3">
        <v>0</v>
      </c>
      <c r="Q685" s="3">
        <v>0</v>
      </c>
      <c r="R685" s="3">
        <v>0</v>
      </c>
      <c r="S685" s="3"/>
      <c r="T685" s="3" t="b">
        <v>0</v>
      </c>
      <c r="U685" s="3">
        <v>2011</v>
      </c>
      <c r="V685" s="3">
        <v>0</v>
      </c>
      <c r="W685" s="3">
        <v>1811</v>
      </c>
      <c r="X685" s="3">
        <v>11.52</v>
      </c>
    </row>
    <row r="686" spans="1:24" hidden="1">
      <c r="A686" s="1">
        <v>45200</v>
      </c>
      <c r="B686" s="1" t="s">
        <v>948</v>
      </c>
      <c r="C686" s="2" t="s">
        <v>942</v>
      </c>
      <c r="D686" s="2" t="s">
        <v>279</v>
      </c>
      <c r="E686" s="2" t="s">
        <v>737</v>
      </c>
      <c r="F686" s="2" t="s">
        <v>837</v>
      </c>
      <c r="G686" s="2" t="s">
        <v>141</v>
      </c>
      <c r="H686" s="2" t="s">
        <v>597</v>
      </c>
      <c r="I686" t="s">
        <v>198</v>
      </c>
      <c r="J686" s="18">
        <v>20539.21</v>
      </c>
      <c r="K686" s="18"/>
      <c r="L686" s="18">
        <v>21238.1840730816</v>
      </c>
      <c r="M686" s="18">
        <v>-698.97279227986701</v>
      </c>
      <c r="N686" s="18"/>
      <c r="O686" s="18"/>
      <c r="P686" s="3">
        <v>0</v>
      </c>
      <c r="Q686" s="3">
        <v>0</v>
      </c>
      <c r="R686" s="3">
        <v>0</v>
      </c>
      <c r="S686" s="3"/>
      <c r="T686" s="3" t="b">
        <v>0</v>
      </c>
      <c r="U686" s="3">
        <v>3012</v>
      </c>
      <c r="V686" s="3">
        <v>0</v>
      </c>
      <c r="W686" s="3">
        <v>2488</v>
      </c>
      <c r="X686" s="3">
        <v>14.97</v>
      </c>
    </row>
    <row r="687" spans="1:24" hidden="1">
      <c r="A687" s="1">
        <v>45231</v>
      </c>
      <c r="B687" s="1" t="s">
        <v>949</v>
      </c>
      <c r="C687" s="2" t="s">
        <v>942</v>
      </c>
      <c r="D687" s="2" t="s">
        <v>279</v>
      </c>
      <c r="E687" s="2" t="s">
        <v>737</v>
      </c>
      <c r="F687" s="2" t="s">
        <v>837</v>
      </c>
      <c r="G687" s="2" t="s">
        <v>141</v>
      </c>
      <c r="H687" s="2" t="s">
        <v>597</v>
      </c>
      <c r="I687" t="s">
        <v>198</v>
      </c>
      <c r="J687" s="18">
        <v>21150.91</v>
      </c>
      <c r="K687" s="18"/>
      <c r="L687" s="18">
        <v>21096.884334939499</v>
      </c>
      <c r="M687" s="18">
        <v>54.025353497049998</v>
      </c>
      <c r="N687" s="18"/>
      <c r="O687" s="18"/>
      <c r="P687" s="3">
        <v>0</v>
      </c>
      <c r="Q687" s="3">
        <v>0</v>
      </c>
      <c r="R687" s="3">
        <v>0</v>
      </c>
      <c r="S687" s="3"/>
      <c r="T687" s="3" t="b">
        <v>0</v>
      </c>
      <c r="U687" s="3">
        <v>3748</v>
      </c>
      <c r="V687" s="3">
        <v>0</v>
      </c>
      <c r="W687" s="3">
        <v>2908</v>
      </c>
      <c r="X687" s="3">
        <v>12.82</v>
      </c>
    </row>
    <row r="688" spans="1:24" hidden="1">
      <c r="A688" s="1">
        <v>45261</v>
      </c>
      <c r="B688" s="1" t="s">
        <v>950</v>
      </c>
      <c r="C688" s="2" t="s">
        <v>942</v>
      </c>
      <c r="D688" s="2" t="s">
        <v>279</v>
      </c>
      <c r="E688" s="2" t="s">
        <v>737</v>
      </c>
      <c r="F688" s="2" t="s">
        <v>837</v>
      </c>
      <c r="G688" s="2" t="s">
        <v>141</v>
      </c>
      <c r="H688" s="2" t="s">
        <v>597</v>
      </c>
      <c r="I688" t="s">
        <v>198</v>
      </c>
      <c r="J688" s="18">
        <v>20662.169999999998</v>
      </c>
      <c r="K688" s="18"/>
      <c r="L688" s="18">
        <v>20975.571030476302</v>
      </c>
      <c r="M688" s="18">
        <v>-313.39882484973498</v>
      </c>
      <c r="N688" s="18"/>
      <c r="O688" s="18"/>
      <c r="P688" s="3">
        <v>0</v>
      </c>
      <c r="Q688" s="3">
        <v>0</v>
      </c>
      <c r="R688" s="3">
        <v>0</v>
      </c>
      <c r="S688" s="3"/>
      <c r="T688" s="3" t="b">
        <v>0</v>
      </c>
      <c r="U688" s="3">
        <v>3876</v>
      </c>
      <c r="V688" s="3">
        <v>1</v>
      </c>
      <c r="W688" s="3">
        <v>2573</v>
      </c>
      <c r="X688" s="3">
        <v>14.66</v>
      </c>
    </row>
    <row r="689" spans="1:24" hidden="1">
      <c r="A689" s="1">
        <v>45292</v>
      </c>
      <c r="B689" s="1" t="s">
        <v>951</v>
      </c>
      <c r="C689" s="2" t="s">
        <v>942</v>
      </c>
      <c r="D689" s="2" t="s">
        <v>279</v>
      </c>
      <c r="E689" s="2" t="s">
        <v>737</v>
      </c>
      <c r="F689" s="2" t="s">
        <v>837</v>
      </c>
      <c r="G689" s="2" t="s">
        <v>141</v>
      </c>
      <c r="H689" s="2" t="s">
        <v>597</v>
      </c>
      <c r="I689" t="s">
        <v>198</v>
      </c>
      <c r="J689" s="18">
        <v>20866.5</v>
      </c>
      <c r="K689" s="18"/>
      <c r="L689" s="18">
        <v>20853.338164954101</v>
      </c>
      <c r="M689" s="18">
        <v>13.164659306654499</v>
      </c>
      <c r="N689" s="18"/>
      <c r="O689" s="18"/>
      <c r="P689" s="3">
        <v>0</v>
      </c>
      <c r="Q689" s="3">
        <v>0</v>
      </c>
      <c r="R689" s="3">
        <v>0</v>
      </c>
      <c r="S689" s="3"/>
      <c r="T689" s="3" t="b">
        <v>0</v>
      </c>
      <c r="U689" s="3">
        <v>4619</v>
      </c>
      <c r="V689" s="3">
        <v>0</v>
      </c>
      <c r="W689" s="3">
        <v>1866</v>
      </c>
      <c r="X689" s="3">
        <v>14.28</v>
      </c>
    </row>
    <row r="690" spans="1:24" hidden="1">
      <c r="A690" s="1">
        <v>45323</v>
      </c>
      <c r="B690" s="1" t="s">
        <v>952</v>
      </c>
      <c r="C690" s="2" t="s">
        <v>942</v>
      </c>
      <c r="D690" s="2" t="s">
        <v>279</v>
      </c>
      <c r="E690" s="2" t="s">
        <v>737</v>
      </c>
      <c r="F690" s="2" t="s">
        <v>837</v>
      </c>
      <c r="G690" s="2" t="s">
        <v>141</v>
      </c>
      <c r="H690" s="2" t="s">
        <v>597</v>
      </c>
      <c r="I690" t="s">
        <v>198</v>
      </c>
      <c r="J690" s="18">
        <v>20744.55</v>
      </c>
      <c r="K690" s="18"/>
      <c r="L690" s="18">
        <v>20731.1159510652</v>
      </c>
      <c r="M690" s="18">
        <v>13.439332063418</v>
      </c>
      <c r="N690" s="18"/>
      <c r="O690" s="18"/>
      <c r="P690" s="3">
        <v>0</v>
      </c>
      <c r="Q690" s="3">
        <v>0</v>
      </c>
      <c r="R690" s="3">
        <v>0</v>
      </c>
      <c r="S690" s="3"/>
      <c r="T690" s="3" t="b">
        <v>0</v>
      </c>
      <c r="U690" s="3">
        <v>3317</v>
      </c>
      <c r="V690" s="3">
        <v>2</v>
      </c>
      <c r="W690" s="3">
        <v>1379</v>
      </c>
      <c r="X690" s="3">
        <v>14.26</v>
      </c>
    </row>
    <row r="691" spans="1:24" hidden="1">
      <c r="A691" s="1">
        <v>45352</v>
      </c>
      <c r="B691" s="1" t="s">
        <v>953</v>
      </c>
      <c r="C691" s="2" t="s">
        <v>942</v>
      </c>
      <c r="D691" s="2" t="s">
        <v>279</v>
      </c>
      <c r="E691" s="2" t="s">
        <v>737</v>
      </c>
      <c r="F691" s="2" t="s">
        <v>837</v>
      </c>
      <c r="G691" s="2" t="s">
        <v>141</v>
      </c>
      <c r="H691" s="2" t="s">
        <v>597</v>
      </c>
      <c r="I691" t="s">
        <v>198</v>
      </c>
      <c r="J691" s="18">
        <v>24240.61</v>
      </c>
      <c r="K691" s="18"/>
      <c r="L691" s="18">
        <v>20619.520424026701</v>
      </c>
      <c r="M691" s="18">
        <v>3621.09194257949</v>
      </c>
      <c r="N691" s="18"/>
      <c r="O691" s="18"/>
      <c r="P691" s="3">
        <v>0</v>
      </c>
      <c r="Q691" s="3">
        <v>0</v>
      </c>
      <c r="R691" s="3">
        <v>1</v>
      </c>
      <c r="S691" s="3"/>
      <c r="T691" s="3" t="b">
        <v>0</v>
      </c>
      <c r="U691" s="3">
        <v>3383</v>
      </c>
      <c r="V691" s="3">
        <v>0</v>
      </c>
      <c r="W691" s="3">
        <v>2006</v>
      </c>
      <c r="X691" s="3">
        <v>13.19</v>
      </c>
    </row>
    <row r="692" spans="1:24" hidden="1">
      <c r="A692" s="1">
        <v>45383</v>
      </c>
      <c r="B692" s="1" t="s">
        <v>954</v>
      </c>
      <c r="C692" s="2" t="s">
        <v>942</v>
      </c>
      <c r="D692" s="2" t="s">
        <v>279</v>
      </c>
      <c r="E692" s="2" t="s">
        <v>737</v>
      </c>
      <c r="F692" s="2" t="s">
        <v>837</v>
      </c>
      <c r="G692" s="2" t="s">
        <v>141</v>
      </c>
      <c r="H692" s="2" t="s">
        <v>597</v>
      </c>
      <c r="I692" t="s">
        <v>198</v>
      </c>
      <c r="J692" s="18">
        <v>20798.68</v>
      </c>
      <c r="K692" s="18"/>
      <c r="L692" s="18">
        <v>20503.489290422702</v>
      </c>
      <c r="M692" s="18">
        <v>295.19420073710199</v>
      </c>
      <c r="N692" s="18"/>
      <c r="O692" s="18"/>
      <c r="P692" s="3">
        <v>0</v>
      </c>
      <c r="Q692" s="3">
        <v>0</v>
      </c>
      <c r="R692" s="3">
        <v>0</v>
      </c>
      <c r="S692" s="3"/>
      <c r="T692" s="3" t="b">
        <v>0</v>
      </c>
      <c r="U692" s="3">
        <v>3678</v>
      </c>
      <c r="V692" s="3">
        <v>0</v>
      </c>
      <c r="W692" s="3">
        <v>2766</v>
      </c>
      <c r="X692" s="3">
        <v>13.32</v>
      </c>
    </row>
    <row r="693" spans="1:24" hidden="1">
      <c r="A693" s="1">
        <v>45413</v>
      </c>
      <c r="B693" s="1" t="s">
        <v>955</v>
      </c>
      <c r="C693" s="2" t="s">
        <v>942</v>
      </c>
      <c r="D693" s="2" t="s">
        <v>279</v>
      </c>
      <c r="E693" s="2" t="s">
        <v>737</v>
      </c>
      <c r="F693" s="2" t="s">
        <v>837</v>
      </c>
      <c r="G693" s="2" t="s">
        <v>141</v>
      </c>
      <c r="H693" s="2" t="s">
        <v>597</v>
      </c>
      <c r="I693" t="s">
        <v>198</v>
      </c>
      <c r="J693" s="18">
        <v>20296.21</v>
      </c>
      <c r="K693" s="18"/>
      <c r="L693" s="18">
        <v>20393.068029927901</v>
      </c>
      <c r="M693" s="18">
        <v>-96.855881399319301</v>
      </c>
      <c r="N693" s="18"/>
      <c r="O693" s="18"/>
      <c r="P693" s="3">
        <v>0</v>
      </c>
      <c r="Q693" s="3">
        <v>0</v>
      </c>
      <c r="R693" s="3">
        <v>0</v>
      </c>
      <c r="S693" s="3"/>
      <c r="T693" s="3" t="b">
        <v>0</v>
      </c>
      <c r="U693" s="3">
        <v>4961</v>
      </c>
      <c r="V693" s="3">
        <v>0</v>
      </c>
      <c r="W693" s="3">
        <v>2501</v>
      </c>
      <c r="X693" s="3">
        <v>14.84</v>
      </c>
    </row>
    <row r="694" spans="1:24" hidden="1">
      <c r="A694" s="1">
        <v>45444</v>
      </c>
      <c r="B694" s="1" t="s">
        <v>956</v>
      </c>
      <c r="C694" s="2" t="s">
        <v>942</v>
      </c>
      <c r="D694" s="2" t="s">
        <v>279</v>
      </c>
      <c r="E694" s="2" t="s">
        <v>737</v>
      </c>
      <c r="F694" s="2" t="s">
        <v>837</v>
      </c>
      <c r="G694" s="2" t="s">
        <v>141</v>
      </c>
      <c r="H694" s="2" t="s">
        <v>597</v>
      </c>
      <c r="I694" t="s">
        <v>198</v>
      </c>
      <c r="J694" s="18">
        <v>20111.060000000001</v>
      </c>
      <c r="K694" s="18"/>
      <c r="L694" s="18">
        <v>20738.469429186702</v>
      </c>
      <c r="M694" s="18">
        <v>-627.40609822474198</v>
      </c>
      <c r="N694" s="18"/>
      <c r="O694" s="18"/>
      <c r="P694" s="3">
        <v>0</v>
      </c>
      <c r="Q694" s="3">
        <v>0</v>
      </c>
      <c r="R694" s="3">
        <v>0</v>
      </c>
      <c r="S694" s="3"/>
      <c r="T694" s="3" t="b">
        <v>0</v>
      </c>
      <c r="U694" s="3">
        <v>2179</v>
      </c>
      <c r="V694" s="3">
        <v>0</v>
      </c>
      <c r="W694" s="3">
        <v>1261</v>
      </c>
      <c r="X694" s="3">
        <v>13.2</v>
      </c>
    </row>
    <row r="695" spans="1:24" hidden="1">
      <c r="A695" s="1">
        <v>45474</v>
      </c>
      <c r="B695" s="1" t="s">
        <v>957</v>
      </c>
      <c r="C695" s="2" t="s">
        <v>942</v>
      </c>
      <c r="D695" s="2" t="s">
        <v>279</v>
      </c>
      <c r="E695" s="2" t="s">
        <v>737</v>
      </c>
      <c r="F695" s="2" t="s">
        <v>837</v>
      </c>
      <c r="G695" s="2" t="s">
        <v>141</v>
      </c>
      <c r="H695" s="2" t="s">
        <v>597</v>
      </c>
      <c r="I695" t="s">
        <v>198</v>
      </c>
      <c r="J695" s="18">
        <v>20381.95</v>
      </c>
      <c r="K695" s="18">
        <v>20462.62</v>
      </c>
      <c r="L695" s="18">
        <v>21072.728847824201</v>
      </c>
      <c r="M695" s="18">
        <v>-690.77181079614002</v>
      </c>
      <c r="N695" s="18">
        <v>20662.62</v>
      </c>
      <c r="O695" s="18">
        <v>20262.62</v>
      </c>
      <c r="P695" s="3">
        <v>0</v>
      </c>
      <c r="Q695" s="3">
        <v>0</v>
      </c>
      <c r="R695" s="3">
        <v>0</v>
      </c>
      <c r="S695" s="3"/>
      <c r="T695" s="3" t="b">
        <v>0</v>
      </c>
      <c r="U695" s="3">
        <v>2796</v>
      </c>
      <c r="V695" s="3">
        <v>0</v>
      </c>
      <c r="W695" s="3">
        <v>1579</v>
      </c>
      <c r="X695" s="3">
        <v>13.84</v>
      </c>
    </row>
    <row r="696" spans="1:24" hidden="1">
      <c r="A696" s="1">
        <v>45505</v>
      </c>
      <c r="B696" s="1" t="s">
        <v>958</v>
      </c>
      <c r="C696" s="2" t="s">
        <v>942</v>
      </c>
      <c r="D696" s="2" t="s">
        <v>279</v>
      </c>
      <c r="E696" s="2" t="s">
        <v>737</v>
      </c>
      <c r="F696" s="2" t="s">
        <v>837</v>
      </c>
      <c r="G696" s="2" t="s">
        <v>141</v>
      </c>
      <c r="H696" s="2" t="s">
        <v>597</v>
      </c>
      <c r="I696" t="s">
        <v>198</v>
      </c>
      <c r="J696" s="18">
        <v>20357.12</v>
      </c>
      <c r="K696" s="18">
        <v>20062.810000000001</v>
      </c>
      <c r="L696" s="18">
        <v>21418.130247083001</v>
      </c>
      <c r="M696" s="18">
        <v>-1061.0019313180901</v>
      </c>
      <c r="N696" s="18">
        <v>20262.810000000001</v>
      </c>
      <c r="O696" s="18">
        <v>19862.810000000001</v>
      </c>
      <c r="P696" s="3">
        <v>0</v>
      </c>
      <c r="Q696" s="3">
        <v>0</v>
      </c>
      <c r="R696" s="3">
        <v>0</v>
      </c>
      <c r="S696" s="3"/>
      <c r="T696" s="3" t="b">
        <v>0</v>
      </c>
      <c r="U696" s="3">
        <v>3467</v>
      </c>
      <c r="V696" s="3">
        <v>0</v>
      </c>
      <c r="W696" s="3">
        <v>2202</v>
      </c>
      <c r="X696" s="3">
        <v>15.46</v>
      </c>
    </row>
    <row r="697" spans="1:24" hidden="1">
      <c r="A697" s="1">
        <v>45536</v>
      </c>
      <c r="B697" s="1" t="s">
        <v>959</v>
      </c>
      <c r="C697" s="2" t="s">
        <v>942</v>
      </c>
      <c r="D697" s="2" t="s">
        <v>279</v>
      </c>
      <c r="E697" s="2" t="s">
        <v>737</v>
      </c>
      <c r="F697" s="2" t="s">
        <v>837</v>
      </c>
      <c r="G697" s="2" t="s">
        <v>141</v>
      </c>
      <c r="H697" s="2" t="s">
        <v>597</v>
      </c>
      <c r="I697" t="s">
        <v>198</v>
      </c>
      <c r="J697" s="18">
        <v>21234.89</v>
      </c>
      <c r="K697" s="18">
        <v>21134.48</v>
      </c>
      <c r="L697" s="18">
        <v>21763.5316463417</v>
      </c>
      <c r="M697" s="18">
        <v>-528.63411863011504</v>
      </c>
      <c r="N697" s="18">
        <v>21334.48</v>
      </c>
      <c r="O697" s="18">
        <v>20934.48</v>
      </c>
      <c r="P697" s="3">
        <v>0</v>
      </c>
      <c r="Q697" s="3">
        <v>0</v>
      </c>
      <c r="R697" s="3">
        <v>0</v>
      </c>
      <c r="S697" s="3"/>
      <c r="T697" s="3" t="b">
        <v>0</v>
      </c>
      <c r="U697" s="3">
        <v>4024</v>
      </c>
      <c r="V697" s="3">
        <v>0</v>
      </c>
      <c r="W697" s="3">
        <v>1356</v>
      </c>
      <c r="X697" s="3">
        <v>14.07</v>
      </c>
    </row>
    <row r="698" spans="1:24" hidden="1">
      <c r="A698" s="1">
        <v>45566</v>
      </c>
      <c r="B698" s="1" t="s">
        <v>960</v>
      </c>
      <c r="C698" s="2" t="s">
        <v>942</v>
      </c>
      <c r="D698" s="2" t="s">
        <v>279</v>
      </c>
      <c r="E698" s="2" t="s">
        <v>737</v>
      </c>
      <c r="F698" s="2" t="s">
        <v>837</v>
      </c>
      <c r="G698" s="2" t="s">
        <v>141</v>
      </c>
      <c r="H698" s="2" t="s">
        <v>597</v>
      </c>
      <c r="I698" t="s">
        <v>224</v>
      </c>
      <c r="J698" s="18"/>
      <c r="K698" s="18">
        <v>20967.63</v>
      </c>
      <c r="L698" s="18">
        <v>22097.791064979199</v>
      </c>
      <c r="M698" s="18">
        <v>-762.20551458713805</v>
      </c>
      <c r="N698" s="18">
        <v>21167.63</v>
      </c>
      <c r="O698" s="18">
        <v>20767.63</v>
      </c>
      <c r="P698" s="3"/>
      <c r="Q698" s="3"/>
      <c r="R698" s="3"/>
      <c r="S698" s="3"/>
      <c r="T698" s="3"/>
      <c r="U698" s="3"/>
      <c r="V698" s="3"/>
      <c r="W698" s="3">
        <v>2442</v>
      </c>
      <c r="X698" s="3">
        <v>11.98</v>
      </c>
    </row>
    <row r="699" spans="1:24" hidden="1">
      <c r="A699" s="1">
        <v>45597</v>
      </c>
      <c r="B699" s="1" t="s">
        <v>961</v>
      </c>
      <c r="C699" s="2" t="s">
        <v>942</v>
      </c>
      <c r="D699" s="2" t="s">
        <v>279</v>
      </c>
      <c r="E699" s="2" t="s">
        <v>737</v>
      </c>
      <c r="F699" s="2" t="s">
        <v>837</v>
      </c>
      <c r="G699" s="2" t="s">
        <v>141</v>
      </c>
      <c r="H699" s="2" t="s">
        <v>597</v>
      </c>
      <c r="I699" t="s">
        <v>224</v>
      </c>
      <c r="J699" s="18"/>
      <c r="K699" s="18">
        <v>20891.62</v>
      </c>
      <c r="L699" s="18">
        <v>22443.192464238</v>
      </c>
      <c r="M699" s="18">
        <v>126.871834918164</v>
      </c>
      <c r="N699" s="18">
        <v>21091.62</v>
      </c>
      <c r="O699" s="18">
        <v>20691.62</v>
      </c>
      <c r="P699" s="3"/>
      <c r="Q699" s="3"/>
      <c r="R699" s="3"/>
      <c r="S699" s="3"/>
      <c r="T699" s="3"/>
      <c r="U699" s="3"/>
      <c r="V699" s="3"/>
      <c r="W699" s="3">
        <v>1697</v>
      </c>
      <c r="X699" s="3">
        <v>40</v>
      </c>
    </row>
    <row r="700" spans="1:24" hidden="1">
      <c r="A700" s="1">
        <v>45627</v>
      </c>
      <c r="B700" s="1" t="s">
        <v>962</v>
      </c>
      <c r="C700" s="2" t="s">
        <v>942</v>
      </c>
      <c r="D700" s="2" t="s">
        <v>279</v>
      </c>
      <c r="E700" s="2" t="s">
        <v>737</v>
      </c>
      <c r="F700" s="2" t="s">
        <v>837</v>
      </c>
      <c r="G700" s="2" t="s">
        <v>141</v>
      </c>
      <c r="H700" s="2" t="s">
        <v>597</v>
      </c>
      <c r="I700" t="s">
        <v>224</v>
      </c>
      <c r="J700" s="18"/>
      <c r="K700" s="18">
        <v>20887.560000000001</v>
      </c>
      <c r="L700" s="18">
        <v>22777.451882875499</v>
      </c>
      <c r="M700" s="18">
        <v>-377.97139268917101</v>
      </c>
      <c r="N700" s="18">
        <v>21087.56</v>
      </c>
      <c r="O700" s="18">
        <v>20687.560000000001</v>
      </c>
      <c r="P700" s="3"/>
      <c r="Q700" s="3"/>
      <c r="R700" s="3"/>
      <c r="S700" s="3"/>
      <c r="T700" s="3"/>
      <c r="U700" s="3"/>
      <c r="V700" s="3"/>
      <c r="W700" s="3">
        <v>2976</v>
      </c>
      <c r="X700" s="3">
        <v>15.48</v>
      </c>
    </row>
    <row r="701" spans="1:24" hidden="1">
      <c r="A701" s="1">
        <v>44562</v>
      </c>
      <c r="B701" s="1" t="s">
        <v>963</v>
      </c>
      <c r="C701" s="2" t="s">
        <v>964</v>
      </c>
      <c r="D701" s="2" t="s">
        <v>279</v>
      </c>
      <c r="E701" s="2" t="s">
        <v>737</v>
      </c>
      <c r="F701" s="2" t="s">
        <v>358</v>
      </c>
      <c r="G701" s="2" t="s">
        <v>146</v>
      </c>
      <c r="H701" s="2" t="s">
        <v>700</v>
      </c>
      <c r="I701" t="s">
        <v>198</v>
      </c>
      <c r="J701" s="18">
        <v>5399.79</v>
      </c>
      <c r="K701" s="18"/>
      <c r="L701" s="18">
        <v>5378.3495462399997</v>
      </c>
      <c r="M701" s="18">
        <v>-12.5841359967119</v>
      </c>
      <c r="N701" s="18"/>
      <c r="O701" s="18"/>
      <c r="P701" s="3">
        <v>0</v>
      </c>
      <c r="Q701" s="3">
        <v>0</v>
      </c>
      <c r="R701" s="3">
        <v>0</v>
      </c>
      <c r="S701" s="3"/>
      <c r="T701" s="3" t="b">
        <v>0</v>
      </c>
      <c r="U701" s="3">
        <v>4316</v>
      </c>
      <c r="V701" s="3">
        <v>0</v>
      </c>
      <c r="W701" s="3">
        <v>1355</v>
      </c>
      <c r="X701" s="3">
        <v>18.11</v>
      </c>
    </row>
    <row r="702" spans="1:24" hidden="1">
      <c r="A702" s="1">
        <v>44593</v>
      </c>
      <c r="B702" s="1" t="s">
        <v>965</v>
      </c>
      <c r="C702" s="2" t="s">
        <v>964</v>
      </c>
      <c r="D702" s="2" t="s">
        <v>279</v>
      </c>
      <c r="E702" s="2" t="s">
        <v>737</v>
      </c>
      <c r="F702" s="2" t="s">
        <v>358</v>
      </c>
      <c r="G702" s="2" t="s">
        <v>146</v>
      </c>
      <c r="H702" s="2" t="s">
        <v>700</v>
      </c>
      <c r="I702" t="s">
        <v>198</v>
      </c>
      <c r="J702" s="18">
        <v>4970.97</v>
      </c>
      <c r="K702" s="18"/>
      <c r="L702" s="18">
        <v>5400.7868548933002</v>
      </c>
      <c r="M702" s="18">
        <v>-432.85518806783</v>
      </c>
      <c r="N702" s="18"/>
      <c r="O702" s="18"/>
      <c r="P702" s="3">
        <v>0</v>
      </c>
      <c r="Q702" s="3">
        <v>0</v>
      </c>
      <c r="R702" s="3">
        <v>0</v>
      </c>
      <c r="S702" s="3"/>
      <c r="T702" s="3" t="b">
        <v>0</v>
      </c>
      <c r="U702" s="3">
        <v>4720</v>
      </c>
      <c r="V702" s="3">
        <v>0</v>
      </c>
      <c r="W702" s="3">
        <v>1138</v>
      </c>
      <c r="X702" s="3">
        <v>19.91</v>
      </c>
    </row>
    <row r="703" spans="1:24" hidden="1">
      <c r="A703" s="1">
        <v>44621</v>
      </c>
      <c r="B703" s="1" t="s">
        <v>966</v>
      </c>
      <c r="C703" s="2" t="s">
        <v>964</v>
      </c>
      <c r="D703" s="2" t="s">
        <v>279</v>
      </c>
      <c r="E703" s="2" t="s">
        <v>737</v>
      </c>
      <c r="F703" s="2" t="s">
        <v>358</v>
      </c>
      <c r="G703" s="2" t="s">
        <v>146</v>
      </c>
      <c r="H703" s="2" t="s">
        <v>700</v>
      </c>
      <c r="I703" t="s">
        <v>198</v>
      </c>
      <c r="J703" s="18">
        <v>5439.84</v>
      </c>
      <c r="K703" s="18"/>
      <c r="L703" s="18">
        <v>5421.0528111339499</v>
      </c>
      <c r="M703" s="18">
        <v>-152.52403784377199</v>
      </c>
      <c r="N703" s="18"/>
      <c r="O703" s="18"/>
      <c r="P703" s="3">
        <v>0</v>
      </c>
      <c r="Q703" s="3">
        <v>0</v>
      </c>
      <c r="R703" s="3">
        <v>0</v>
      </c>
      <c r="S703" s="3"/>
      <c r="T703" s="3" t="b">
        <v>0</v>
      </c>
      <c r="U703" s="3">
        <v>3642</v>
      </c>
      <c r="V703" s="3">
        <v>0</v>
      </c>
      <c r="W703" s="3">
        <v>2526</v>
      </c>
      <c r="X703" s="3">
        <v>18.37</v>
      </c>
    </row>
    <row r="704" spans="1:24" hidden="1">
      <c r="A704" s="1">
        <v>44652</v>
      </c>
      <c r="B704" s="1" t="s">
        <v>967</v>
      </c>
      <c r="C704" s="2" t="s">
        <v>964</v>
      </c>
      <c r="D704" s="2" t="s">
        <v>279</v>
      </c>
      <c r="E704" s="2" t="s">
        <v>737</v>
      </c>
      <c r="F704" s="2" t="s">
        <v>358</v>
      </c>
      <c r="G704" s="2" t="s">
        <v>146</v>
      </c>
      <c r="H704" s="2" t="s">
        <v>700</v>
      </c>
      <c r="I704" t="s">
        <v>198</v>
      </c>
      <c r="J704" s="18">
        <v>5729.75</v>
      </c>
      <c r="K704" s="18"/>
      <c r="L704" s="18">
        <v>5443.4901198919897</v>
      </c>
      <c r="M704" s="18">
        <v>-61.652474632910597</v>
      </c>
      <c r="N704" s="18"/>
      <c r="O704" s="18"/>
      <c r="P704" s="3">
        <v>0</v>
      </c>
      <c r="Q704" s="3">
        <v>0</v>
      </c>
      <c r="R704" s="3">
        <v>0</v>
      </c>
      <c r="S704" s="3"/>
      <c r="T704" s="3" t="b">
        <v>0</v>
      </c>
      <c r="U704" s="3">
        <v>4838</v>
      </c>
      <c r="V704" s="3">
        <v>0</v>
      </c>
      <c r="W704" s="3">
        <v>2849</v>
      </c>
      <c r="X704" s="3">
        <v>19.27</v>
      </c>
    </row>
    <row r="705" spans="1:24" hidden="1">
      <c r="A705" s="1">
        <v>44682</v>
      </c>
      <c r="B705" s="1" t="s">
        <v>968</v>
      </c>
      <c r="C705" s="2" t="s">
        <v>964</v>
      </c>
      <c r="D705" s="2" t="s">
        <v>279</v>
      </c>
      <c r="E705" s="2" t="s">
        <v>737</v>
      </c>
      <c r="F705" s="2" t="s">
        <v>358</v>
      </c>
      <c r="G705" s="2" t="s">
        <v>146</v>
      </c>
      <c r="H705" s="2" t="s">
        <v>700</v>
      </c>
      <c r="I705" t="s">
        <v>198</v>
      </c>
      <c r="J705" s="18">
        <v>5603.67</v>
      </c>
      <c r="K705" s="18"/>
      <c r="L705" s="18">
        <v>5465.2036444515898</v>
      </c>
      <c r="M705" s="18">
        <v>-623.45084760527402</v>
      </c>
      <c r="N705" s="18"/>
      <c r="O705" s="18"/>
      <c r="P705" s="3">
        <v>0</v>
      </c>
      <c r="Q705" s="3">
        <v>0</v>
      </c>
      <c r="R705" s="3">
        <v>0</v>
      </c>
      <c r="S705" s="3"/>
      <c r="T705" s="3" t="b">
        <v>0</v>
      </c>
      <c r="U705" s="3">
        <v>3888</v>
      </c>
      <c r="V705" s="3">
        <v>0</v>
      </c>
      <c r="W705" s="3">
        <v>2197</v>
      </c>
      <c r="X705" s="3">
        <v>18.12</v>
      </c>
    </row>
    <row r="706" spans="1:24" hidden="1">
      <c r="A706" s="1">
        <v>44713</v>
      </c>
      <c r="B706" s="1" t="s">
        <v>969</v>
      </c>
      <c r="C706" s="2" t="s">
        <v>964</v>
      </c>
      <c r="D706" s="2" t="s">
        <v>279</v>
      </c>
      <c r="E706" s="2" t="s">
        <v>737</v>
      </c>
      <c r="F706" s="2" t="s">
        <v>358</v>
      </c>
      <c r="G706" s="2" t="s">
        <v>146</v>
      </c>
      <c r="H706" s="2" t="s">
        <v>700</v>
      </c>
      <c r="I706" t="s">
        <v>198</v>
      </c>
      <c r="J706" s="18">
        <v>5607.11</v>
      </c>
      <c r="K706" s="18"/>
      <c r="L706" s="18">
        <v>5487.6409531474601</v>
      </c>
      <c r="M706" s="18">
        <v>29.483420676926201</v>
      </c>
      <c r="N706" s="18"/>
      <c r="O706" s="18"/>
      <c r="P706" s="3">
        <v>0</v>
      </c>
      <c r="Q706" s="3">
        <v>0</v>
      </c>
      <c r="R706" s="3">
        <v>0</v>
      </c>
      <c r="S706" s="3"/>
      <c r="T706" s="3" t="b">
        <v>0</v>
      </c>
      <c r="U706" s="3">
        <v>3770</v>
      </c>
      <c r="V706" s="3">
        <v>0</v>
      </c>
      <c r="W706" s="3">
        <v>1028</v>
      </c>
      <c r="X706" s="3">
        <v>17.13</v>
      </c>
    </row>
    <row r="707" spans="1:24" hidden="1">
      <c r="A707" s="1">
        <v>44743</v>
      </c>
      <c r="B707" s="1" t="s">
        <v>970</v>
      </c>
      <c r="C707" s="2" t="s">
        <v>964</v>
      </c>
      <c r="D707" s="2" t="s">
        <v>279</v>
      </c>
      <c r="E707" s="2" t="s">
        <v>737</v>
      </c>
      <c r="F707" s="2" t="s">
        <v>358</v>
      </c>
      <c r="G707" s="2" t="s">
        <v>146</v>
      </c>
      <c r="H707" s="2" t="s">
        <v>700</v>
      </c>
      <c r="I707" t="s">
        <v>198</v>
      </c>
      <c r="J707" s="18">
        <v>5792.93</v>
      </c>
      <c r="K707" s="18"/>
      <c r="L707" s="18">
        <v>5509.3544776773197</v>
      </c>
      <c r="M707" s="18">
        <v>70.091155525230306</v>
      </c>
      <c r="N707" s="18"/>
      <c r="O707" s="18"/>
      <c r="P707" s="3">
        <v>0</v>
      </c>
      <c r="Q707" s="3">
        <v>0</v>
      </c>
      <c r="R707" s="3">
        <v>0</v>
      </c>
      <c r="S707" s="3"/>
      <c r="T707" s="3" t="b">
        <v>0</v>
      </c>
      <c r="U707" s="3">
        <v>2017</v>
      </c>
      <c r="V707" s="3">
        <v>0</v>
      </c>
      <c r="W707" s="3">
        <v>1930</v>
      </c>
      <c r="X707" s="3">
        <v>18.309999999999999</v>
      </c>
    </row>
    <row r="708" spans="1:24" hidden="1">
      <c r="A708" s="1">
        <v>44805</v>
      </c>
      <c r="B708" s="1" t="s">
        <v>971</v>
      </c>
      <c r="C708" s="2" t="s">
        <v>964</v>
      </c>
      <c r="D708" s="2" t="s">
        <v>279</v>
      </c>
      <c r="E708" s="2" t="s">
        <v>737</v>
      </c>
      <c r="F708" s="2" t="s">
        <v>358</v>
      </c>
      <c r="G708" s="2" t="s">
        <v>146</v>
      </c>
      <c r="H708" s="2" t="s">
        <v>700</v>
      </c>
      <c r="I708" t="s">
        <v>198</v>
      </c>
      <c r="J708" s="18">
        <v>5551.13</v>
      </c>
      <c r="K708" s="18"/>
      <c r="L708" s="18">
        <v>5554.2290951944997</v>
      </c>
      <c r="M708" s="18">
        <v>-25.986833845030201</v>
      </c>
      <c r="N708" s="18"/>
      <c r="O708" s="18"/>
      <c r="P708" s="3">
        <v>0</v>
      </c>
      <c r="Q708" s="3">
        <v>0</v>
      </c>
      <c r="R708" s="3">
        <v>0</v>
      </c>
      <c r="S708" s="3"/>
      <c r="T708" s="3" t="b">
        <v>0</v>
      </c>
      <c r="U708" s="3">
        <v>2116</v>
      </c>
      <c r="V708" s="3">
        <v>1</v>
      </c>
      <c r="W708" s="3">
        <v>2013</v>
      </c>
      <c r="X708" s="3">
        <v>17.97</v>
      </c>
    </row>
    <row r="709" spans="1:24" hidden="1">
      <c r="A709" s="1">
        <v>44835</v>
      </c>
      <c r="B709" s="1" t="s">
        <v>972</v>
      </c>
      <c r="C709" s="2" t="s">
        <v>964</v>
      </c>
      <c r="D709" s="2" t="s">
        <v>279</v>
      </c>
      <c r="E709" s="2" t="s">
        <v>737</v>
      </c>
      <c r="F709" s="2" t="s">
        <v>358</v>
      </c>
      <c r="G709" s="2" t="s">
        <v>146</v>
      </c>
      <c r="H709" s="2" t="s">
        <v>700</v>
      </c>
      <c r="I709" t="s">
        <v>198</v>
      </c>
      <c r="J709" s="18">
        <v>5586.71</v>
      </c>
      <c r="K709" s="18"/>
      <c r="L709" s="18">
        <v>5575.9426198224201</v>
      </c>
      <c r="M709" s="18">
        <v>255.99666479660999</v>
      </c>
      <c r="N709" s="18"/>
      <c r="O709" s="18"/>
      <c r="P709" s="3">
        <v>0</v>
      </c>
      <c r="Q709" s="3">
        <v>0</v>
      </c>
      <c r="R709" s="3">
        <v>0</v>
      </c>
      <c r="S709" s="3"/>
      <c r="T709" s="3" t="b">
        <v>0</v>
      </c>
      <c r="U709" s="3">
        <v>2797</v>
      </c>
      <c r="V709" s="3">
        <v>0</v>
      </c>
      <c r="W709" s="3">
        <v>1654</v>
      </c>
      <c r="X709" s="3">
        <v>18.2</v>
      </c>
    </row>
    <row r="710" spans="1:24" hidden="1">
      <c r="A710" s="1">
        <v>44866</v>
      </c>
      <c r="B710" s="1" t="s">
        <v>973</v>
      </c>
      <c r="C710" s="2" t="s">
        <v>964</v>
      </c>
      <c r="D710" s="2" t="s">
        <v>279</v>
      </c>
      <c r="E710" s="2" t="s">
        <v>737</v>
      </c>
      <c r="F710" s="2" t="s">
        <v>358</v>
      </c>
      <c r="G710" s="2" t="s">
        <v>146</v>
      </c>
      <c r="H710" s="2" t="s">
        <v>700</v>
      </c>
      <c r="I710" t="s">
        <v>198</v>
      </c>
      <c r="J710" s="18">
        <v>5206.82</v>
      </c>
      <c r="K710" s="18"/>
      <c r="L710" s="18">
        <v>5598.3799304006598</v>
      </c>
      <c r="M710" s="18">
        <v>74.510886433445293</v>
      </c>
      <c r="N710" s="18"/>
      <c r="O710" s="18"/>
      <c r="P710" s="3">
        <v>0</v>
      </c>
      <c r="Q710" s="3">
        <v>0</v>
      </c>
      <c r="R710" s="3">
        <v>0</v>
      </c>
      <c r="S710" s="3"/>
      <c r="T710" s="3" t="b">
        <v>0</v>
      </c>
      <c r="U710" s="3">
        <v>4598</v>
      </c>
      <c r="V710" s="3">
        <v>0</v>
      </c>
      <c r="W710" s="3">
        <v>1827</v>
      </c>
      <c r="X710" s="3">
        <v>16.54</v>
      </c>
    </row>
    <row r="711" spans="1:24" hidden="1">
      <c r="A711" s="1">
        <v>44896</v>
      </c>
      <c r="B711" s="1" t="s">
        <v>974</v>
      </c>
      <c r="C711" s="2" t="s">
        <v>964</v>
      </c>
      <c r="D711" s="2" t="s">
        <v>279</v>
      </c>
      <c r="E711" s="2" t="s">
        <v>737</v>
      </c>
      <c r="F711" s="2" t="s">
        <v>358</v>
      </c>
      <c r="G711" s="2" t="s">
        <v>146</v>
      </c>
      <c r="H711" s="2" t="s">
        <v>700</v>
      </c>
      <c r="I711" t="s">
        <v>198</v>
      </c>
      <c r="J711" s="18">
        <v>5248.04</v>
      </c>
      <c r="K711" s="18"/>
      <c r="L711" s="18">
        <v>5620.1488027327496</v>
      </c>
      <c r="M711" s="18">
        <v>410.11416899244398</v>
      </c>
      <c r="N711" s="18"/>
      <c r="O711" s="18"/>
      <c r="P711" s="3">
        <v>0</v>
      </c>
      <c r="Q711" s="3">
        <v>0</v>
      </c>
      <c r="R711" s="3">
        <v>0</v>
      </c>
      <c r="S711" s="3"/>
      <c r="T711" s="3" t="b">
        <v>0</v>
      </c>
      <c r="U711" s="3">
        <v>4976</v>
      </c>
      <c r="V711" s="3">
        <v>0</v>
      </c>
      <c r="W711" s="3">
        <v>1350</v>
      </c>
      <c r="X711" s="3">
        <v>18.350000000000001</v>
      </c>
    </row>
    <row r="712" spans="1:24" hidden="1">
      <c r="A712" s="1">
        <v>44927</v>
      </c>
      <c r="B712" s="1" t="s">
        <v>975</v>
      </c>
      <c r="C712" s="2" t="s">
        <v>964</v>
      </c>
      <c r="D712" s="2" t="s">
        <v>279</v>
      </c>
      <c r="E712" s="2" t="s">
        <v>737</v>
      </c>
      <c r="F712" s="2" t="s">
        <v>358</v>
      </c>
      <c r="G712" s="2" t="s">
        <v>146</v>
      </c>
      <c r="H712" s="2" t="s">
        <v>700</v>
      </c>
      <c r="I712" t="s">
        <v>198</v>
      </c>
      <c r="J712" s="18">
        <v>5027.3</v>
      </c>
      <c r="K712" s="18"/>
      <c r="L712" s="18">
        <v>5642.6639698280096</v>
      </c>
      <c r="M712" s="18">
        <v>-118.65426681889601</v>
      </c>
      <c r="N712" s="18"/>
      <c r="O712" s="18"/>
      <c r="P712" s="3">
        <v>0</v>
      </c>
      <c r="Q712" s="3">
        <v>0</v>
      </c>
      <c r="R712" s="3">
        <v>0</v>
      </c>
      <c r="S712" s="3"/>
      <c r="T712" s="3" t="b">
        <v>0</v>
      </c>
      <c r="U712" s="3">
        <v>3711</v>
      </c>
      <c r="V712" s="3">
        <v>1</v>
      </c>
      <c r="W712" s="3">
        <v>1553</v>
      </c>
      <c r="X712" s="3">
        <v>19.18</v>
      </c>
    </row>
    <row r="713" spans="1:24" hidden="1">
      <c r="A713" s="1">
        <v>44958</v>
      </c>
      <c r="B713" s="1" t="s">
        <v>976</v>
      </c>
      <c r="C713" s="2" t="s">
        <v>964</v>
      </c>
      <c r="D713" s="2" t="s">
        <v>279</v>
      </c>
      <c r="E713" s="2" t="s">
        <v>737</v>
      </c>
      <c r="F713" s="2" t="s">
        <v>358</v>
      </c>
      <c r="G713" s="2" t="s">
        <v>146</v>
      </c>
      <c r="H713" s="2" t="s">
        <v>700</v>
      </c>
      <c r="I713" t="s">
        <v>198</v>
      </c>
      <c r="J713" s="18">
        <v>4961.8900000000003</v>
      </c>
      <c r="K713" s="18"/>
      <c r="L713" s="18">
        <v>5665.1794121961202</v>
      </c>
      <c r="M713" s="18">
        <v>-331.16882733071202</v>
      </c>
      <c r="N713" s="18"/>
      <c r="O713" s="18"/>
      <c r="P713" s="3">
        <v>0</v>
      </c>
      <c r="Q713" s="3">
        <v>0</v>
      </c>
      <c r="R713" s="3">
        <v>0</v>
      </c>
      <c r="S713" s="3"/>
      <c r="T713" s="3" t="b">
        <v>0</v>
      </c>
      <c r="U713" s="3">
        <v>2752</v>
      </c>
      <c r="V713" s="3">
        <v>0</v>
      </c>
      <c r="W713" s="3">
        <v>1298</v>
      </c>
      <c r="X713" s="3">
        <v>17.829999999999998</v>
      </c>
    </row>
    <row r="714" spans="1:24" hidden="1">
      <c r="A714" s="1">
        <v>44986</v>
      </c>
      <c r="B714" s="1" t="s">
        <v>977</v>
      </c>
      <c r="C714" s="2" t="s">
        <v>964</v>
      </c>
      <c r="D714" s="2" t="s">
        <v>279</v>
      </c>
      <c r="E714" s="2" t="s">
        <v>737</v>
      </c>
      <c r="F714" s="2" t="s">
        <v>358</v>
      </c>
      <c r="G714" s="2" t="s">
        <v>146</v>
      </c>
      <c r="H714" s="2" t="s">
        <v>700</v>
      </c>
      <c r="I714" t="s">
        <v>198</v>
      </c>
      <c r="J714" s="18">
        <v>5141.6400000000003</v>
      </c>
      <c r="K714" s="18"/>
      <c r="L714" s="18">
        <v>5685.5159408059599</v>
      </c>
      <c r="M714" s="18">
        <v>-256.79690551643301</v>
      </c>
      <c r="N714" s="18"/>
      <c r="O714" s="18"/>
      <c r="P714" s="3">
        <v>0</v>
      </c>
      <c r="Q714" s="3">
        <v>0</v>
      </c>
      <c r="R714" s="3">
        <v>0</v>
      </c>
      <c r="S714" s="3"/>
      <c r="T714" s="3" t="b">
        <v>0</v>
      </c>
      <c r="U714" s="3">
        <v>4469</v>
      </c>
      <c r="V714" s="3">
        <v>0</v>
      </c>
      <c r="W714" s="3">
        <v>2743</v>
      </c>
      <c r="X714" s="3">
        <v>18.73</v>
      </c>
    </row>
    <row r="715" spans="1:24" hidden="1">
      <c r="A715" s="1">
        <v>45017</v>
      </c>
      <c r="B715" s="1" t="s">
        <v>978</v>
      </c>
      <c r="C715" s="2" t="s">
        <v>964</v>
      </c>
      <c r="D715" s="2" t="s">
        <v>279</v>
      </c>
      <c r="E715" s="2" t="s">
        <v>737</v>
      </c>
      <c r="F715" s="2" t="s">
        <v>358</v>
      </c>
      <c r="G715" s="2" t="s">
        <v>146</v>
      </c>
      <c r="H715" s="2" t="s">
        <v>700</v>
      </c>
      <c r="I715" t="s">
        <v>198</v>
      </c>
      <c r="J715" s="18">
        <v>5226.32</v>
      </c>
      <c r="K715" s="18"/>
      <c r="L715" s="18">
        <v>5708.04686656579</v>
      </c>
      <c r="M715" s="18">
        <v>49.665261202676199</v>
      </c>
      <c r="N715" s="18"/>
      <c r="O715" s="18"/>
      <c r="P715" s="3">
        <v>0</v>
      </c>
      <c r="Q715" s="3">
        <v>0</v>
      </c>
      <c r="R715" s="3">
        <v>0</v>
      </c>
      <c r="S715" s="3"/>
      <c r="T715" s="3" t="b">
        <v>0</v>
      </c>
      <c r="U715" s="3">
        <v>3392</v>
      </c>
      <c r="V715" s="3">
        <v>0</v>
      </c>
      <c r="W715" s="3">
        <v>2865</v>
      </c>
      <c r="X715" s="3">
        <v>18.52</v>
      </c>
    </row>
    <row r="716" spans="1:24" hidden="1">
      <c r="A716" s="1">
        <v>45047</v>
      </c>
      <c r="B716" s="1" t="s">
        <v>979</v>
      </c>
      <c r="C716" s="2" t="s">
        <v>964</v>
      </c>
      <c r="D716" s="2" t="s">
        <v>279</v>
      </c>
      <c r="E716" s="2" t="s">
        <v>737</v>
      </c>
      <c r="F716" s="2" t="s">
        <v>358</v>
      </c>
      <c r="G716" s="2" t="s">
        <v>146</v>
      </c>
      <c r="H716" s="2" t="s">
        <v>700</v>
      </c>
      <c r="I716" t="s">
        <v>198</v>
      </c>
      <c r="J716" s="18">
        <v>3843.47</v>
      </c>
      <c r="K716" s="18"/>
      <c r="L716" s="18">
        <v>5729.8510020969497</v>
      </c>
      <c r="M716" s="18">
        <v>-733.29485667889696</v>
      </c>
      <c r="N716" s="18"/>
      <c r="O716" s="18"/>
      <c r="P716" s="3">
        <v>0</v>
      </c>
      <c r="Q716" s="3">
        <v>0</v>
      </c>
      <c r="R716" s="3">
        <v>1</v>
      </c>
      <c r="S716" s="3"/>
      <c r="T716" s="3" t="b">
        <v>0</v>
      </c>
      <c r="U716" s="3">
        <v>4693</v>
      </c>
      <c r="V716" s="3">
        <v>0</v>
      </c>
      <c r="W716" s="3">
        <v>2968</v>
      </c>
      <c r="X716" s="3">
        <v>19.53</v>
      </c>
    </row>
    <row r="717" spans="1:24" hidden="1">
      <c r="A717" s="1">
        <v>45078</v>
      </c>
      <c r="B717" s="1" t="s">
        <v>980</v>
      </c>
      <c r="C717" s="2" t="s">
        <v>964</v>
      </c>
      <c r="D717" s="2" t="s">
        <v>279</v>
      </c>
      <c r="E717" s="2" t="s">
        <v>737</v>
      </c>
      <c r="F717" s="2" t="s">
        <v>358</v>
      </c>
      <c r="G717" s="2" t="s">
        <v>146</v>
      </c>
      <c r="H717" s="2" t="s">
        <v>700</v>
      </c>
      <c r="I717" t="s">
        <v>198</v>
      </c>
      <c r="J717" s="18">
        <v>5946.51</v>
      </c>
      <c r="K717" s="18"/>
      <c r="L717" s="18">
        <v>5752.3819437746397</v>
      </c>
      <c r="M717" s="18">
        <v>136.351236142071</v>
      </c>
      <c r="N717" s="18"/>
      <c r="O717" s="18"/>
      <c r="P717" s="3">
        <v>0</v>
      </c>
      <c r="Q717" s="3">
        <v>0</v>
      </c>
      <c r="R717" s="3">
        <v>0</v>
      </c>
      <c r="S717" s="3"/>
      <c r="T717" s="3" t="b">
        <v>0</v>
      </c>
      <c r="U717" s="3">
        <v>4605</v>
      </c>
      <c r="V717" s="3">
        <v>2</v>
      </c>
      <c r="W717" s="3">
        <v>2215</v>
      </c>
      <c r="X717" s="3">
        <v>18.72</v>
      </c>
    </row>
    <row r="718" spans="1:24" hidden="1">
      <c r="A718" s="1">
        <v>45108</v>
      </c>
      <c r="B718" s="1" t="s">
        <v>981</v>
      </c>
      <c r="C718" s="2" t="s">
        <v>964</v>
      </c>
      <c r="D718" s="2" t="s">
        <v>279</v>
      </c>
      <c r="E718" s="2" t="s">
        <v>737</v>
      </c>
      <c r="F718" s="2" t="s">
        <v>358</v>
      </c>
      <c r="G718" s="2" t="s">
        <v>146</v>
      </c>
      <c r="H718" s="2" t="s">
        <v>700</v>
      </c>
      <c r="I718" t="s">
        <v>198</v>
      </c>
      <c r="J718" s="18">
        <v>5884.04</v>
      </c>
      <c r="K718" s="18"/>
      <c r="L718" s="18">
        <v>5774.1860809393202</v>
      </c>
      <c r="M718" s="18">
        <v>-41.715494187058702</v>
      </c>
      <c r="N718" s="18"/>
      <c r="O718" s="18"/>
      <c r="P718" s="3">
        <v>0</v>
      </c>
      <c r="Q718" s="3">
        <v>0</v>
      </c>
      <c r="R718" s="3">
        <v>0</v>
      </c>
      <c r="S718" s="3"/>
      <c r="T718" s="3" t="b">
        <v>0</v>
      </c>
      <c r="U718" s="3">
        <v>4097</v>
      </c>
      <c r="V718" s="3">
        <v>0</v>
      </c>
      <c r="W718" s="3">
        <v>2695</v>
      </c>
      <c r="X718" s="3">
        <v>18.57</v>
      </c>
    </row>
    <row r="719" spans="1:24" hidden="1">
      <c r="A719" s="1">
        <v>45139</v>
      </c>
      <c r="B719" s="1" t="s">
        <v>982</v>
      </c>
      <c r="C719" s="2" t="s">
        <v>964</v>
      </c>
      <c r="D719" s="2" t="s">
        <v>279</v>
      </c>
      <c r="E719" s="2" t="s">
        <v>737</v>
      </c>
      <c r="F719" s="2" t="s">
        <v>358</v>
      </c>
      <c r="G719" s="2" t="s">
        <v>146</v>
      </c>
      <c r="H719" s="2" t="s">
        <v>700</v>
      </c>
      <c r="I719" t="s">
        <v>198</v>
      </c>
      <c r="J719" s="18">
        <v>6012.32</v>
      </c>
      <c r="K719" s="18"/>
      <c r="L719" s="18">
        <v>5796.71702266177</v>
      </c>
      <c r="M719" s="18">
        <v>51.840509837325101</v>
      </c>
      <c r="N719" s="18"/>
      <c r="O719" s="18"/>
      <c r="P719" s="3">
        <v>0</v>
      </c>
      <c r="Q719" s="3">
        <v>0</v>
      </c>
      <c r="R719" s="3">
        <v>0</v>
      </c>
      <c r="S719" s="3"/>
      <c r="T719" s="3" t="b">
        <v>0</v>
      </c>
      <c r="U719" s="3">
        <v>2677</v>
      </c>
      <c r="V719" s="3">
        <v>0</v>
      </c>
      <c r="W719" s="3">
        <v>1063</v>
      </c>
      <c r="X719" s="3">
        <v>18.73</v>
      </c>
    </row>
    <row r="720" spans="1:24" hidden="1">
      <c r="A720" s="1">
        <v>45170</v>
      </c>
      <c r="B720" s="1" t="s">
        <v>983</v>
      </c>
      <c r="C720" s="2" t="s">
        <v>964</v>
      </c>
      <c r="D720" s="2" t="s">
        <v>279</v>
      </c>
      <c r="E720" s="2" t="s">
        <v>737</v>
      </c>
      <c r="F720" s="2" t="s">
        <v>358</v>
      </c>
      <c r="G720" s="2" t="s">
        <v>146</v>
      </c>
      <c r="H720" s="2" t="s">
        <v>700</v>
      </c>
      <c r="I720" t="s">
        <v>198</v>
      </c>
      <c r="J720" s="18">
        <v>6327.85</v>
      </c>
      <c r="K720" s="18"/>
      <c r="L720" s="18">
        <v>5819.2479644100003</v>
      </c>
      <c r="M720" s="18">
        <v>-143.44901022361699</v>
      </c>
      <c r="N720" s="18"/>
      <c r="O720" s="18"/>
      <c r="P720" s="3">
        <v>0</v>
      </c>
      <c r="Q720" s="3">
        <v>0</v>
      </c>
      <c r="R720" s="3">
        <v>0</v>
      </c>
      <c r="S720" s="3"/>
      <c r="T720" s="3" t="b">
        <v>0</v>
      </c>
      <c r="U720" s="3">
        <v>2105</v>
      </c>
      <c r="V720" s="3">
        <v>0</v>
      </c>
      <c r="W720" s="3">
        <v>1754</v>
      </c>
      <c r="X720" s="3">
        <v>19.190000000000001</v>
      </c>
    </row>
    <row r="721" spans="1:24" hidden="1">
      <c r="A721" s="1">
        <v>45200</v>
      </c>
      <c r="B721" s="1" t="s">
        <v>984</v>
      </c>
      <c r="C721" s="2" t="s">
        <v>964</v>
      </c>
      <c r="D721" s="2" t="s">
        <v>279</v>
      </c>
      <c r="E721" s="2" t="s">
        <v>737</v>
      </c>
      <c r="F721" s="2" t="s">
        <v>358</v>
      </c>
      <c r="G721" s="2" t="s">
        <v>146</v>
      </c>
      <c r="H721" s="2" t="s">
        <v>700</v>
      </c>
      <c r="I721" t="s">
        <v>198</v>
      </c>
      <c r="J721" s="18">
        <v>6470.56</v>
      </c>
      <c r="K721" s="18"/>
      <c r="L721" s="18">
        <v>5841.0521016256998</v>
      </c>
      <c r="M721" s="18">
        <v>370.14952727935702</v>
      </c>
      <c r="N721" s="18"/>
      <c r="O721" s="18"/>
      <c r="P721" s="3">
        <v>0</v>
      </c>
      <c r="Q721" s="3">
        <v>0</v>
      </c>
      <c r="R721" s="3">
        <v>0</v>
      </c>
      <c r="S721" s="3"/>
      <c r="T721" s="3" t="b">
        <v>0</v>
      </c>
      <c r="U721" s="3">
        <v>2657</v>
      </c>
      <c r="V721" s="3">
        <v>0</v>
      </c>
      <c r="W721" s="3">
        <v>1769</v>
      </c>
      <c r="X721" s="3">
        <v>18.309999999999999</v>
      </c>
    </row>
    <row r="722" spans="1:24" hidden="1">
      <c r="A722" s="1">
        <v>45231</v>
      </c>
      <c r="B722" s="1" t="s">
        <v>985</v>
      </c>
      <c r="C722" s="2" t="s">
        <v>964</v>
      </c>
      <c r="D722" s="2" t="s">
        <v>279</v>
      </c>
      <c r="E722" s="2" t="s">
        <v>737</v>
      </c>
      <c r="F722" s="2" t="s">
        <v>358</v>
      </c>
      <c r="G722" s="2" t="s">
        <v>146</v>
      </c>
      <c r="H722" s="2" t="s">
        <v>700</v>
      </c>
      <c r="I722" t="s">
        <v>198</v>
      </c>
      <c r="J722" s="18">
        <v>6279.17</v>
      </c>
      <c r="K722" s="18"/>
      <c r="L722" s="18">
        <v>5863.5830434584504</v>
      </c>
      <c r="M722" s="18">
        <v>-39.440115968163298</v>
      </c>
      <c r="N722" s="18"/>
      <c r="O722" s="18"/>
      <c r="P722" s="3">
        <v>0</v>
      </c>
      <c r="Q722" s="3">
        <v>0</v>
      </c>
      <c r="R722" s="3">
        <v>0</v>
      </c>
      <c r="S722" s="3"/>
      <c r="T722" s="3" t="b">
        <v>0</v>
      </c>
      <c r="U722" s="3">
        <v>3946</v>
      </c>
      <c r="V722" s="3">
        <v>1</v>
      </c>
      <c r="W722" s="3">
        <v>2687</v>
      </c>
      <c r="X722" s="3">
        <v>19.52</v>
      </c>
    </row>
    <row r="723" spans="1:24" hidden="1">
      <c r="A723" s="1">
        <v>45261</v>
      </c>
      <c r="B723" s="1" t="s">
        <v>986</v>
      </c>
      <c r="C723" s="2" t="s">
        <v>964</v>
      </c>
      <c r="D723" s="2" t="s">
        <v>279</v>
      </c>
      <c r="E723" s="2" t="s">
        <v>737</v>
      </c>
      <c r="F723" s="2" t="s">
        <v>358</v>
      </c>
      <c r="G723" s="2" t="s">
        <v>146</v>
      </c>
      <c r="H723" s="2" t="s">
        <v>700</v>
      </c>
      <c r="I723" t="s">
        <v>198</v>
      </c>
      <c r="J723" s="18">
        <v>7195.54</v>
      </c>
      <c r="K723" s="18"/>
      <c r="L723" s="18">
        <v>5885.38718076245</v>
      </c>
      <c r="M723" s="18">
        <v>521.59320491236599</v>
      </c>
      <c r="N723" s="18"/>
      <c r="O723" s="18"/>
      <c r="P723" s="3">
        <v>1</v>
      </c>
      <c r="Q723" s="3">
        <v>0</v>
      </c>
      <c r="R723" s="3">
        <v>0</v>
      </c>
      <c r="S723" s="3"/>
      <c r="T723" s="3" t="b">
        <v>0</v>
      </c>
      <c r="U723" s="3">
        <v>3448</v>
      </c>
      <c r="V723" s="3">
        <v>0</v>
      </c>
      <c r="W723" s="3">
        <v>2238</v>
      </c>
      <c r="X723" s="3">
        <v>19.760000000000002</v>
      </c>
    </row>
    <row r="724" spans="1:24" hidden="1">
      <c r="A724" s="1">
        <v>45292</v>
      </c>
      <c r="B724" s="1" t="s">
        <v>987</v>
      </c>
      <c r="C724" s="2" t="s">
        <v>964</v>
      </c>
      <c r="D724" s="2" t="s">
        <v>279</v>
      </c>
      <c r="E724" s="2" t="s">
        <v>737</v>
      </c>
      <c r="F724" s="2" t="s">
        <v>358</v>
      </c>
      <c r="G724" s="2" t="s">
        <v>146</v>
      </c>
      <c r="H724" s="2" t="s">
        <v>700</v>
      </c>
      <c r="I724" t="s">
        <v>198</v>
      </c>
      <c r="J724" s="18">
        <v>6143.35</v>
      </c>
      <c r="K724" s="18"/>
      <c r="L724" s="18">
        <v>5907.9181225215698</v>
      </c>
      <c r="M724" s="18">
        <v>-224.74120162686501</v>
      </c>
      <c r="N724" s="18"/>
      <c r="O724" s="18"/>
      <c r="P724" s="3">
        <v>1</v>
      </c>
      <c r="Q724" s="3">
        <v>1</v>
      </c>
      <c r="R724" s="3">
        <v>0</v>
      </c>
      <c r="S724" s="3"/>
      <c r="T724" s="3" t="b">
        <v>0</v>
      </c>
      <c r="U724" s="3">
        <v>3095</v>
      </c>
      <c r="V724" s="3">
        <v>0</v>
      </c>
      <c r="W724" s="3">
        <v>1833</v>
      </c>
      <c r="X724" s="3">
        <v>17.89</v>
      </c>
    </row>
    <row r="725" spans="1:24" hidden="1">
      <c r="A725" s="1">
        <v>45323</v>
      </c>
      <c r="B725" s="1" t="s">
        <v>988</v>
      </c>
      <c r="C725" s="2" t="s">
        <v>964</v>
      </c>
      <c r="D725" s="2" t="s">
        <v>279</v>
      </c>
      <c r="E725" s="2" t="s">
        <v>737</v>
      </c>
      <c r="F725" s="2" t="s">
        <v>358</v>
      </c>
      <c r="G725" s="2" t="s">
        <v>146</v>
      </c>
      <c r="H725" s="2" t="s">
        <v>700</v>
      </c>
      <c r="I725" t="s">
        <v>198</v>
      </c>
      <c r="J725" s="18">
        <v>6077.77</v>
      </c>
      <c r="K725" s="18"/>
      <c r="L725" s="18">
        <v>5930.4490642028304</v>
      </c>
      <c r="M725" s="18">
        <v>-229.21054046175001</v>
      </c>
      <c r="N725" s="18"/>
      <c r="O725" s="18"/>
      <c r="P725" s="3">
        <v>1</v>
      </c>
      <c r="Q725" s="3">
        <v>1</v>
      </c>
      <c r="R725" s="3">
        <v>0</v>
      </c>
      <c r="S725" s="3"/>
      <c r="T725" s="3" t="b">
        <v>0</v>
      </c>
      <c r="U725" s="3">
        <v>2987</v>
      </c>
      <c r="V725" s="3">
        <v>0</v>
      </c>
      <c r="W725" s="3">
        <v>1165</v>
      </c>
      <c r="X725" s="3">
        <v>17.98</v>
      </c>
    </row>
    <row r="726" spans="1:24" hidden="1">
      <c r="A726" s="1">
        <v>45352</v>
      </c>
      <c r="B726" s="1" t="s">
        <v>989</v>
      </c>
      <c r="C726" s="2" t="s">
        <v>964</v>
      </c>
      <c r="D726" s="2" t="s">
        <v>279</v>
      </c>
      <c r="E726" s="2" t="s">
        <v>737</v>
      </c>
      <c r="F726" s="2" t="s">
        <v>358</v>
      </c>
      <c r="G726" s="2" t="s">
        <v>146</v>
      </c>
      <c r="H726" s="2" t="s">
        <v>700</v>
      </c>
      <c r="I726" t="s">
        <v>198</v>
      </c>
      <c r="J726" s="18">
        <v>6126.06</v>
      </c>
      <c r="K726" s="18"/>
      <c r="L726" s="18">
        <v>5951.5263967914798</v>
      </c>
      <c r="M726" s="18">
        <v>56.668475076186098</v>
      </c>
      <c r="N726" s="18"/>
      <c r="O726" s="18"/>
      <c r="P726" s="3">
        <v>1</v>
      </c>
      <c r="Q726" s="3">
        <v>1</v>
      </c>
      <c r="R726" s="3">
        <v>0</v>
      </c>
      <c r="S726" s="3"/>
      <c r="T726" s="3" t="b">
        <v>0</v>
      </c>
      <c r="U726" s="3">
        <v>4889</v>
      </c>
      <c r="V726" s="3">
        <v>0</v>
      </c>
      <c r="W726" s="3">
        <v>2566</v>
      </c>
      <c r="X726" s="3">
        <v>19.91</v>
      </c>
    </row>
    <row r="727" spans="1:24" hidden="1">
      <c r="A727" s="1">
        <v>45383</v>
      </c>
      <c r="B727" s="1" t="s">
        <v>990</v>
      </c>
      <c r="C727" s="2" t="s">
        <v>964</v>
      </c>
      <c r="D727" s="2" t="s">
        <v>279</v>
      </c>
      <c r="E727" s="2" t="s">
        <v>737</v>
      </c>
      <c r="F727" s="2" t="s">
        <v>358</v>
      </c>
      <c r="G727" s="2" t="s">
        <v>146</v>
      </c>
      <c r="H727" s="2" t="s">
        <v>700</v>
      </c>
      <c r="I727" t="s">
        <v>198</v>
      </c>
      <c r="J727" s="18">
        <v>5883.31</v>
      </c>
      <c r="K727" s="18"/>
      <c r="L727" s="18">
        <v>5974.0573385241896</v>
      </c>
      <c r="M727" s="18">
        <v>-284.44352499032601</v>
      </c>
      <c r="N727" s="18"/>
      <c r="O727" s="18"/>
      <c r="P727" s="3">
        <v>1</v>
      </c>
      <c r="Q727" s="3">
        <v>1</v>
      </c>
      <c r="R727" s="3">
        <v>0</v>
      </c>
      <c r="S727" s="3"/>
      <c r="T727" s="3" t="b">
        <v>0</v>
      </c>
      <c r="U727" s="3">
        <v>3808</v>
      </c>
      <c r="V727" s="3">
        <v>1</v>
      </c>
      <c r="W727" s="3">
        <v>2906</v>
      </c>
      <c r="X727" s="3">
        <v>20.43</v>
      </c>
    </row>
    <row r="728" spans="1:24" hidden="1">
      <c r="A728" s="1">
        <v>45413</v>
      </c>
      <c r="B728" s="1" t="s">
        <v>991</v>
      </c>
      <c r="C728" s="2" t="s">
        <v>964</v>
      </c>
      <c r="D728" s="2" t="s">
        <v>279</v>
      </c>
      <c r="E728" s="2" t="s">
        <v>737</v>
      </c>
      <c r="F728" s="2" t="s">
        <v>358</v>
      </c>
      <c r="G728" s="2" t="s">
        <v>146</v>
      </c>
      <c r="H728" s="2" t="s">
        <v>700</v>
      </c>
      <c r="I728" t="s">
        <v>198</v>
      </c>
      <c r="J728" s="18">
        <v>5979.59</v>
      </c>
      <c r="K728" s="18"/>
      <c r="L728" s="18">
        <v>5995.8614756848701</v>
      </c>
      <c r="M728" s="18">
        <v>-403.08686568859201</v>
      </c>
      <c r="N728" s="18"/>
      <c r="O728" s="18"/>
      <c r="P728" s="3">
        <v>1</v>
      </c>
      <c r="Q728" s="3">
        <v>1</v>
      </c>
      <c r="R728" s="3">
        <v>0</v>
      </c>
      <c r="S728" s="3"/>
      <c r="T728" s="3" t="b">
        <v>0</v>
      </c>
      <c r="U728" s="3">
        <v>3782</v>
      </c>
      <c r="V728" s="3">
        <v>0</v>
      </c>
      <c r="W728" s="3">
        <v>2255</v>
      </c>
      <c r="X728" s="3">
        <v>40</v>
      </c>
    </row>
    <row r="729" spans="1:24" hidden="1">
      <c r="A729" s="1">
        <v>45444</v>
      </c>
      <c r="B729" s="1" t="s">
        <v>992</v>
      </c>
      <c r="C729" s="2" t="s">
        <v>964</v>
      </c>
      <c r="D729" s="2" t="s">
        <v>279</v>
      </c>
      <c r="E729" s="2" t="s">
        <v>737</v>
      </c>
      <c r="F729" s="2" t="s">
        <v>358</v>
      </c>
      <c r="G729" s="2" t="s">
        <v>146</v>
      </c>
      <c r="H729" s="2" t="s">
        <v>700</v>
      </c>
      <c r="I729" t="s">
        <v>198</v>
      </c>
      <c r="J729" s="18">
        <v>5664.14</v>
      </c>
      <c r="K729" s="18"/>
      <c r="L729" s="18">
        <v>6018.39241741757</v>
      </c>
      <c r="M729" s="18">
        <v>-184.30656161316199</v>
      </c>
      <c r="N729" s="18"/>
      <c r="O729" s="18"/>
      <c r="P729" s="3">
        <v>1</v>
      </c>
      <c r="Q729" s="3">
        <v>1</v>
      </c>
      <c r="R729" s="3">
        <v>0</v>
      </c>
      <c r="S729" s="3"/>
      <c r="T729" s="3" t="b">
        <v>1</v>
      </c>
      <c r="U729" s="3">
        <v>2445</v>
      </c>
      <c r="V729" s="3">
        <v>0</v>
      </c>
      <c r="W729" s="3">
        <v>2817</v>
      </c>
      <c r="X729" s="3">
        <v>18.73</v>
      </c>
    </row>
    <row r="730" spans="1:24" hidden="1">
      <c r="A730" s="1">
        <v>45474</v>
      </c>
      <c r="B730" s="1" t="s">
        <v>993</v>
      </c>
      <c r="C730" s="2" t="s">
        <v>964</v>
      </c>
      <c r="D730" s="2" t="s">
        <v>279</v>
      </c>
      <c r="E730" s="2" t="s">
        <v>737</v>
      </c>
      <c r="F730" s="2" t="s">
        <v>358</v>
      </c>
      <c r="G730" s="2" t="s">
        <v>146</v>
      </c>
      <c r="H730" s="2" t="s">
        <v>700</v>
      </c>
      <c r="I730" t="s">
        <v>198</v>
      </c>
      <c r="J730" s="18">
        <v>5981.31</v>
      </c>
      <c r="K730" s="18">
        <v>6394.47</v>
      </c>
      <c r="L730" s="18">
        <v>6040.1965545782496</v>
      </c>
      <c r="M730" s="18">
        <v>293.991219149975</v>
      </c>
      <c r="N730" s="18">
        <v>6594.47</v>
      </c>
      <c r="O730" s="18">
        <v>6194.47</v>
      </c>
      <c r="P730" s="3">
        <v>1</v>
      </c>
      <c r="Q730" s="3">
        <v>1</v>
      </c>
      <c r="R730" s="3">
        <v>0</v>
      </c>
      <c r="S730" s="3"/>
      <c r="T730" s="3" t="b">
        <v>0</v>
      </c>
      <c r="U730" s="3">
        <v>3948</v>
      </c>
      <c r="V730" s="3">
        <v>1</v>
      </c>
      <c r="W730" s="3">
        <v>2564</v>
      </c>
      <c r="X730" s="3">
        <v>17.45</v>
      </c>
    </row>
    <row r="731" spans="1:24" hidden="1">
      <c r="A731" s="1">
        <v>45505</v>
      </c>
      <c r="B731" s="1" t="s">
        <v>994</v>
      </c>
      <c r="C731" s="2" t="s">
        <v>964</v>
      </c>
      <c r="D731" s="2" t="s">
        <v>279</v>
      </c>
      <c r="E731" s="2" t="s">
        <v>737</v>
      </c>
      <c r="F731" s="2" t="s">
        <v>358</v>
      </c>
      <c r="G731" s="2" t="s">
        <v>146</v>
      </c>
      <c r="H731" s="2" t="s">
        <v>700</v>
      </c>
      <c r="I731" t="s">
        <v>198</v>
      </c>
      <c r="J731" s="18">
        <v>5585.12</v>
      </c>
      <c r="K731" s="18">
        <v>5774.06</v>
      </c>
      <c r="L731" s="18">
        <v>6062.7274963109503</v>
      </c>
      <c r="M731" s="18">
        <v>-301.759862459788</v>
      </c>
      <c r="N731" s="18">
        <v>5974.06</v>
      </c>
      <c r="O731" s="18">
        <v>5574.06</v>
      </c>
      <c r="P731" s="3">
        <v>1</v>
      </c>
      <c r="Q731" s="3">
        <v>1</v>
      </c>
      <c r="R731" s="3">
        <v>0</v>
      </c>
      <c r="S731" s="3"/>
      <c r="T731" s="3" t="b">
        <v>0</v>
      </c>
      <c r="U731" s="3">
        <v>4117</v>
      </c>
      <c r="V731" s="3">
        <v>0</v>
      </c>
      <c r="W731" s="3">
        <v>2218</v>
      </c>
      <c r="X731" s="3">
        <v>18.75</v>
      </c>
    </row>
    <row r="732" spans="1:24" hidden="1">
      <c r="A732" s="1">
        <v>45536</v>
      </c>
      <c r="B732" s="1" t="s">
        <v>995</v>
      </c>
      <c r="C732" s="2" t="s">
        <v>964</v>
      </c>
      <c r="D732" s="2" t="s">
        <v>279</v>
      </c>
      <c r="E732" s="2" t="s">
        <v>737</v>
      </c>
      <c r="F732" s="2" t="s">
        <v>358</v>
      </c>
      <c r="G732" s="2" t="s">
        <v>146</v>
      </c>
      <c r="H732" s="2" t="s">
        <v>700</v>
      </c>
      <c r="I732" t="s">
        <v>198</v>
      </c>
      <c r="J732" s="18">
        <v>5619.96</v>
      </c>
      <c r="K732" s="18">
        <v>5918.66</v>
      </c>
      <c r="L732" s="18">
        <v>6085.2584380436601</v>
      </c>
      <c r="M732" s="18">
        <v>208.68591892083899</v>
      </c>
      <c r="N732" s="18">
        <v>6118.66</v>
      </c>
      <c r="O732" s="18">
        <v>5718.66</v>
      </c>
      <c r="P732" s="3">
        <v>1</v>
      </c>
      <c r="Q732" s="3">
        <v>1</v>
      </c>
      <c r="R732" s="3">
        <v>0</v>
      </c>
      <c r="S732" s="3"/>
      <c r="T732" s="3" t="b">
        <v>0</v>
      </c>
      <c r="U732" s="3">
        <v>3997</v>
      </c>
      <c r="V732" s="3">
        <v>0</v>
      </c>
      <c r="W732" s="3">
        <v>1505</v>
      </c>
      <c r="X732" s="3">
        <v>19.37</v>
      </c>
    </row>
    <row r="733" spans="1:24" hidden="1">
      <c r="A733" s="1">
        <v>45566</v>
      </c>
      <c r="B733" s="1" t="s">
        <v>996</v>
      </c>
      <c r="C733" s="2" t="s">
        <v>964</v>
      </c>
      <c r="D733" s="2" t="s">
        <v>279</v>
      </c>
      <c r="E733" s="2" t="s">
        <v>737</v>
      </c>
      <c r="F733" s="2" t="s">
        <v>358</v>
      </c>
      <c r="G733" s="2" t="s">
        <v>146</v>
      </c>
      <c r="H733" s="2" t="s">
        <v>700</v>
      </c>
      <c r="I733" t="s">
        <v>224</v>
      </c>
      <c r="J733" s="18"/>
      <c r="K733" s="18">
        <v>6211.79</v>
      </c>
      <c r="L733" s="18">
        <v>6107.0625752043397</v>
      </c>
      <c r="M733" s="18">
        <v>27.385057071715099</v>
      </c>
      <c r="N733" s="18">
        <v>6411.79</v>
      </c>
      <c r="O733" s="18">
        <v>6011.79</v>
      </c>
      <c r="P733" s="3"/>
      <c r="Q733" s="3"/>
      <c r="R733" s="3"/>
      <c r="S733" s="3"/>
      <c r="T733" s="3"/>
      <c r="U733" s="3"/>
      <c r="V733" s="3"/>
      <c r="W733" s="3">
        <v>2357</v>
      </c>
      <c r="X733" s="3">
        <v>18.45</v>
      </c>
    </row>
    <row r="734" spans="1:24" hidden="1">
      <c r="A734" s="1">
        <v>45597</v>
      </c>
      <c r="B734" s="1" t="s">
        <v>997</v>
      </c>
      <c r="C734" s="2" t="s">
        <v>964</v>
      </c>
      <c r="D734" s="2" t="s">
        <v>279</v>
      </c>
      <c r="E734" s="2" t="s">
        <v>737</v>
      </c>
      <c r="F734" s="2" t="s">
        <v>358</v>
      </c>
      <c r="G734" s="2" t="s">
        <v>146</v>
      </c>
      <c r="H734" s="2" t="s">
        <v>700</v>
      </c>
      <c r="I734" t="s">
        <v>224</v>
      </c>
      <c r="J734" s="18"/>
      <c r="K734" s="18">
        <v>6492.96</v>
      </c>
      <c r="L734" s="18">
        <v>6129.5935169370396</v>
      </c>
      <c r="M734" s="18">
        <v>302.30288706594001</v>
      </c>
      <c r="N734" s="18">
        <v>6692.96</v>
      </c>
      <c r="O734" s="18">
        <v>6292.96</v>
      </c>
      <c r="P734" s="3"/>
      <c r="Q734" s="3"/>
      <c r="R734" s="3"/>
      <c r="S734" s="3"/>
      <c r="T734" s="3"/>
      <c r="U734" s="3"/>
      <c r="V734" s="3"/>
      <c r="W734" s="3">
        <v>2791</v>
      </c>
      <c r="X734" s="3">
        <v>18.71</v>
      </c>
    </row>
    <row r="735" spans="1:24" hidden="1">
      <c r="A735" s="1">
        <v>45627</v>
      </c>
      <c r="B735" s="1" t="s">
        <v>998</v>
      </c>
      <c r="C735" s="2" t="s">
        <v>964</v>
      </c>
      <c r="D735" s="2" t="s">
        <v>279</v>
      </c>
      <c r="E735" s="2" t="s">
        <v>737</v>
      </c>
      <c r="F735" s="2" t="s">
        <v>358</v>
      </c>
      <c r="G735" s="2" t="s">
        <v>146</v>
      </c>
      <c r="H735" s="2" t="s">
        <v>700</v>
      </c>
      <c r="I735" t="s">
        <v>224</v>
      </c>
      <c r="J735" s="18"/>
      <c r="K735" s="18">
        <v>6340</v>
      </c>
      <c r="L735" s="18">
        <v>6151.3976540977201</v>
      </c>
      <c r="M735" s="18">
        <v>186.75109671114001</v>
      </c>
      <c r="N735" s="18">
        <v>6540</v>
      </c>
      <c r="O735" s="18">
        <v>6140</v>
      </c>
      <c r="P735" s="3"/>
      <c r="Q735" s="3"/>
      <c r="R735" s="3"/>
      <c r="S735" s="3"/>
      <c r="T735" s="3"/>
      <c r="U735" s="3"/>
      <c r="V735" s="3"/>
      <c r="W735" s="3">
        <v>1792</v>
      </c>
      <c r="X735" s="3">
        <v>19.98</v>
      </c>
    </row>
    <row r="736" spans="1:24" hidden="1">
      <c r="A736" s="1">
        <v>44562</v>
      </c>
      <c r="B736" s="1" t="s">
        <v>999</v>
      </c>
      <c r="C736" s="2" t="s">
        <v>1000</v>
      </c>
      <c r="D736" s="2" t="s">
        <v>279</v>
      </c>
      <c r="E736" s="2" t="s">
        <v>737</v>
      </c>
      <c r="F736" s="2" t="s">
        <v>667</v>
      </c>
      <c r="G736" s="2" t="s">
        <v>146</v>
      </c>
      <c r="H736" s="2" t="s">
        <v>668</v>
      </c>
      <c r="I736" t="s">
        <v>198</v>
      </c>
      <c r="J736" s="18">
        <v>15641.26</v>
      </c>
      <c r="K736" s="18"/>
      <c r="L736" s="18">
        <v>15602.854328949999</v>
      </c>
      <c r="M736" s="18">
        <v>503.85854466361701</v>
      </c>
      <c r="N736" s="18"/>
      <c r="O736" s="18"/>
      <c r="P736" s="3">
        <v>0</v>
      </c>
      <c r="Q736" s="3">
        <v>0</v>
      </c>
      <c r="R736" s="3">
        <v>0</v>
      </c>
      <c r="S736" s="3"/>
      <c r="T736" s="3" t="b">
        <v>0</v>
      </c>
      <c r="U736" s="3">
        <v>4482</v>
      </c>
      <c r="V736" s="3">
        <v>1</v>
      </c>
      <c r="W736" s="3">
        <v>2008</v>
      </c>
      <c r="X736" s="3">
        <v>14.74</v>
      </c>
    </row>
    <row r="737" spans="1:24" hidden="1">
      <c r="A737" s="1">
        <v>44593</v>
      </c>
      <c r="B737" s="1" t="s">
        <v>1001</v>
      </c>
      <c r="C737" s="2" t="s">
        <v>1000</v>
      </c>
      <c r="D737" s="2" t="s">
        <v>279</v>
      </c>
      <c r="E737" s="2" t="s">
        <v>737</v>
      </c>
      <c r="F737" s="2" t="s">
        <v>667</v>
      </c>
      <c r="G737" s="2" t="s">
        <v>146</v>
      </c>
      <c r="H737" s="2" t="s">
        <v>668</v>
      </c>
      <c r="I737" t="s">
        <v>198</v>
      </c>
      <c r="J737" s="18">
        <v>15680.7</v>
      </c>
      <c r="K737" s="18"/>
      <c r="L737" s="18">
        <v>15714.661192478001</v>
      </c>
      <c r="M737" s="18">
        <v>-837.18759541420798</v>
      </c>
      <c r="N737" s="18"/>
      <c r="O737" s="18"/>
      <c r="P737" s="3">
        <v>0</v>
      </c>
      <c r="Q737" s="3">
        <v>0</v>
      </c>
      <c r="R737" s="3">
        <v>0</v>
      </c>
      <c r="S737" s="3"/>
      <c r="T737" s="3" t="b">
        <v>0</v>
      </c>
      <c r="U737" s="3">
        <v>2779</v>
      </c>
      <c r="V737" s="3">
        <v>2</v>
      </c>
      <c r="W737" s="3">
        <v>2192</v>
      </c>
      <c r="X737" s="3">
        <v>16.440000000000001</v>
      </c>
    </row>
    <row r="738" spans="1:24" hidden="1">
      <c r="A738" s="1">
        <v>44621</v>
      </c>
      <c r="B738" s="1" t="s">
        <v>1002</v>
      </c>
      <c r="C738" s="2" t="s">
        <v>1000</v>
      </c>
      <c r="D738" s="2" t="s">
        <v>279</v>
      </c>
      <c r="E738" s="2" t="s">
        <v>737</v>
      </c>
      <c r="F738" s="2" t="s">
        <v>667</v>
      </c>
      <c r="G738" s="2" t="s">
        <v>146</v>
      </c>
      <c r="H738" s="2" t="s">
        <v>668</v>
      </c>
      <c r="I738" t="s">
        <v>198</v>
      </c>
      <c r="J738" s="18">
        <v>16125.05</v>
      </c>
      <c r="K738" s="18"/>
      <c r="L738" s="18">
        <v>15815.648036783499</v>
      </c>
      <c r="M738" s="18">
        <v>-389.08911901839798</v>
      </c>
      <c r="N738" s="18"/>
      <c r="O738" s="18"/>
      <c r="P738" s="3">
        <v>0</v>
      </c>
      <c r="Q738" s="3">
        <v>0</v>
      </c>
      <c r="R738" s="3">
        <v>0</v>
      </c>
      <c r="S738" s="3"/>
      <c r="T738" s="3" t="b">
        <v>0</v>
      </c>
      <c r="U738" s="3">
        <v>3230</v>
      </c>
      <c r="V738" s="3">
        <v>1</v>
      </c>
      <c r="W738" s="3">
        <v>1329</v>
      </c>
      <c r="X738" s="3">
        <v>14.61</v>
      </c>
    </row>
    <row r="739" spans="1:24" hidden="1">
      <c r="A739" s="1">
        <v>44652</v>
      </c>
      <c r="B739" s="1" t="s">
        <v>1003</v>
      </c>
      <c r="C739" s="2" t="s">
        <v>1000</v>
      </c>
      <c r="D739" s="2" t="s">
        <v>279</v>
      </c>
      <c r="E739" s="2" t="s">
        <v>737</v>
      </c>
      <c r="F739" s="2" t="s">
        <v>667</v>
      </c>
      <c r="G739" s="2" t="s">
        <v>146</v>
      </c>
      <c r="H739" s="2" t="s">
        <v>668</v>
      </c>
      <c r="I739" t="s">
        <v>198</v>
      </c>
      <c r="J739" s="18">
        <v>15917.64</v>
      </c>
      <c r="K739" s="18"/>
      <c r="L739" s="18">
        <v>15927.454900290701</v>
      </c>
      <c r="M739" s="18">
        <v>-119.797933374029</v>
      </c>
      <c r="N739" s="18"/>
      <c r="O739" s="18"/>
      <c r="P739" s="3">
        <v>0</v>
      </c>
      <c r="Q739" s="3">
        <v>0</v>
      </c>
      <c r="R739" s="3">
        <v>0</v>
      </c>
      <c r="S739" s="3"/>
      <c r="T739" s="3" t="b">
        <v>0</v>
      </c>
      <c r="U739" s="3">
        <v>4486</v>
      </c>
      <c r="V739" s="3">
        <v>0</v>
      </c>
      <c r="W739" s="3">
        <v>1649</v>
      </c>
      <c r="X739" s="3">
        <v>15.67</v>
      </c>
    </row>
    <row r="740" spans="1:24" hidden="1">
      <c r="A740" s="1">
        <v>44682</v>
      </c>
      <c r="B740" s="1" t="s">
        <v>1004</v>
      </c>
      <c r="C740" s="2" t="s">
        <v>1000</v>
      </c>
      <c r="D740" s="2" t="s">
        <v>279</v>
      </c>
      <c r="E740" s="2" t="s">
        <v>737</v>
      </c>
      <c r="F740" s="2" t="s">
        <v>667</v>
      </c>
      <c r="G740" s="2" t="s">
        <v>146</v>
      </c>
      <c r="H740" s="2" t="s">
        <v>668</v>
      </c>
      <c r="I740" t="s">
        <v>198</v>
      </c>
      <c r="J740" s="18">
        <v>16563.689999999999</v>
      </c>
      <c r="K740" s="18"/>
      <c r="L740" s="18">
        <v>16035.655090595101</v>
      </c>
      <c r="M740" s="18">
        <v>-528.41230326272603</v>
      </c>
      <c r="N740" s="18"/>
      <c r="O740" s="18"/>
      <c r="P740" s="3">
        <v>0</v>
      </c>
      <c r="Q740" s="3">
        <v>0</v>
      </c>
      <c r="R740" s="3">
        <v>0</v>
      </c>
      <c r="S740" s="3"/>
      <c r="T740" s="3" t="b">
        <v>0</v>
      </c>
      <c r="U740" s="3">
        <v>3802</v>
      </c>
      <c r="V740" s="3">
        <v>1</v>
      </c>
      <c r="W740" s="3">
        <v>2464</v>
      </c>
      <c r="X740" s="3">
        <v>14.64</v>
      </c>
    </row>
    <row r="741" spans="1:24" hidden="1">
      <c r="A741" s="1">
        <v>44713</v>
      </c>
      <c r="B741" s="1" t="s">
        <v>1005</v>
      </c>
      <c r="C741" s="2" t="s">
        <v>1000</v>
      </c>
      <c r="D741" s="2" t="s">
        <v>279</v>
      </c>
      <c r="E741" s="2" t="s">
        <v>737</v>
      </c>
      <c r="F741" s="2" t="s">
        <v>667</v>
      </c>
      <c r="G741" s="2" t="s">
        <v>146</v>
      </c>
      <c r="H741" s="2" t="s">
        <v>668</v>
      </c>
      <c r="I741" t="s">
        <v>198</v>
      </c>
      <c r="J741" s="18">
        <v>16593.3</v>
      </c>
      <c r="K741" s="18"/>
      <c r="L741" s="18">
        <v>16147.4619538078</v>
      </c>
      <c r="M741" s="18">
        <v>103.454708685138</v>
      </c>
      <c r="N741" s="18"/>
      <c r="O741" s="18"/>
      <c r="P741" s="3">
        <v>0</v>
      </c>
      <c r="Q741" s="3">
        <v>0</v>
      </c>
      <c r="R741" s="3">
        <v>0</v>
      </c>
      <c r="S741" s="3"/>
      <c r="T741" s="3" t="b">
        <v>0</v>
      </c>
      <c r="U741" s="3">
        <v>4713</v>
      </c>
      <c r="V741" s="3">
        <v>0</v>
      </c>
      <c r="W741" s="3">
        <v>1390</v>
      </c>
      <c r="X741" s="3">
        <v>15.31</v>
      </c>
    </row>
    <row r="742" spans="1:24" hidden="1">
      <c r="A742" s="1">
        <v>44743</v>
      </c>
      <c r="B742" s="1" t="s">
        <v>1006</v>
      </c>
      <c r="C742" s="2" t="s">
        <v>1000</v>
      </c>
      <c r="D742" s="2" t="s">
        <v>279</v>
      </c>
      <c r="E742" s="2" t="s">
        <v>737</v>
      </c>
      <c r="F742" s="2" t="s">
        <v>667</v>
      </c>
      <c r="G742" s="2" t="s">
        <v>146</v>
      </c>
      <c r="H742" s="2" t="s">
        <v>668</v>
      </c>
      <c r="I742" t="s">
        <v>198</v>
      </c>
      <c r="J742" s="18">
        <v>16689.86</v>
      </c>
      <c r="K742" s="18"/>
      <c r="L742" s="18">
        <v>16255.662143814099</v>
      </c>
      <c r="M742" s="18">
        <v>2131.1830378663699</v>
      </c>
      <c r="N742" s="18"/>
      <c r="O742" s="18"/>
      <c r="P742" s="3">
        <v>0</v>
      </c>
      <c r="Q742" s="3">
        <v>0</v>
      </c>
      <c r="R742" s="3">
        <v>0</v>
      </c>
      <c r="S742" s="3"/>
      <c r="T742" s="3" t="b">
        <v>0</v>
      </c>
      <c r="U742" s="3">
        <v>3065</v>
      </c>
      <c r="V742" s="3">
        <v>1</v>
      </c>
      <c r="W742" s="3">
        <v>2519</v>
      </c>
      <c r="X742" s="3">
        <v>17.399999999999999</v>
      </c>
    </row>
    <row r="743" spans="1:24" hidden="1">
      <c r="A743" s="1">
        <v>44774</v>
      </c>
      <c r="B743" s="1" t="s">
        <v>1007</v>
      </c>
      <c r="C743" s="2" t="s">
        <v>1000</v>
      </c>
      <c r="D743" s="2" t="s">
        <v>279</v>
      </c>
      <c r="E743" s="2" t="s">
        <v>737</v>
      </c>
      <c r="F743" s="2" t="s">
        <v>667</v>
      </c>
      <c r="G743" s="2" t="s">
        <v>146</v>
      </c>
      <c r="H743" s="2" t="s">
        <v>668</v>
      </c>
      <c r="I743" t="s">
        <v>198</v>
      </c>
      <c r="J743" s="18">
        <v>16749</v>
      </c>
      <c r="K743" s="18"/>
      <c r="L743" s="18">
        <v>16367.4690070123</v>
      </c>
      <c r="M743" s="18">
        <v>187.408312968627</v>
      </c>
      <c r="N743" s="18"/>
      <c r="O743" s="18"/>
      <c r="P743" s="3">
        <v>0</v>
      </c>
      <c r="Q743" s="3">
        <v>0</v>
      </c>
      <c r="R743" s="3">
        <v>0</v>
      </c>
      <c r="S743" s="3"/>
      <c r="T743" s="3" t="b">
        <v>0</v>
      </c>
      <c r="U743" s="3">
        <v>2410</v>
      </c>
      <c r="V743" s="3">
        <v>0</v>
      </c>
      <c r="W743" s="3">
        <v>1380</v>
      </c>
      <c r="X743" s="3">
        <v>14.13</v>
      </c>
    </row>
    <row r="744" spans="1:24" hidden="1">
      <c r="A744" s="1">
        <v>44805</v>
      </c>
      <c r="B744" s="1" t="s">
        <v>1008</v>
      </c>
      <c r="C744" s="2" t="s">
        <v>1000</v>
      </c>
      <c r="D744" s="2" t="s">
        <v>279</v>
      </c>
      <c r="E744" s="2" t="s">
        <v>737</v>
      </c>
      <c r="F744" s="2" t="s">
        <v>667</v>
      </c>
      <c r="G744" s="2" t="s">
        <v>146</v>
      </c>
      <c r="H744" s="2" t="s">
        <v>668</v>
      </c>
      <c r="I744" t="s">
        <v>198</v>
      </c>
      <c r="J744" s="18">
        <v>16548.66</v>
      </c>
      <c r="K744" s="18"/>
      <c r="L744" s="18">
        <v>16479.275870269801</v>
      </c>
      <c r="M744" s="18">
        <v>-3456.6658116860499</v>
      </c>
      <c r="N744" s="18"/>
      <c r="O744" s="18"/>
      <c r="P744" s="3">
        <v>0</v>
      </c>
      <c r="Q744" s="3">
        <v>0</v>
      </c>
      <c r="R744" s="3">
        <v>0</v>
      </c>
      <c r="S744" s="3"/>
      <c r="T744" s="3" t="b">
        <v>0</v>
      </c>
      <c r="U744" s="3">
        <v>4853</v>
      </c>
      <c r="V744" s="3">
        <v>0</v>
      </c>
      <c r="W744" s="3">
        <v>2329</v>
      </c>
      <c r="X744" s="3">
        <v>15.83</v>
      </c>
    </row>
    <row r="745" spans="1:24" hidden="1">
      <c r="A745" s="1">
        <v>44835</v>
      </c>
      <c r="B745" s="1" t="s">
        <v>1009</v>
      </c>
      <c r="C745" s="2" t="s">
        <v>1000</v>
      </c>
      <c r="D745" s="2" t="s">
        <v>279</v>
      </c>
      <c r="E745" s="2" t="s">
        <v>737</v>
      </c>
      <c r="F745" s="2" t="s">
        <v>667</v>
      </c>
      <c r="G745" s="2" t="s">
        <v>146</v>
      </c>
      <c r="H745" s="2" t="s">
        <v>668</v>
      </c>
      <c r="I745" t="s">
        <v>198</v>
      </c>
      <c r="J745" s="18">
        <v>16425.560000000001</v>
      </c>
      <c r="K745" s="18"/>
      <c r="L745" s="18">
        <v>16587.476060777899</v>
      </c>
      <c r="M745" s="18">
        <v>-303.33396568996102</v>
      </c>
      <c r="N745" s="18"/>
      <c r="O745" s="18"/>
      <c r="P745" s="3">
        <v>0</v>
      </c>
      <c r="Q745" s="3">
        <v>0</v>
      </c>
      <c r="R745" s="3">
        <v>0</v>
      </c>
      <c r="S745" s="3"/>
      <c r="T745" s="3" t="b">
        <v>0</v>
      </c>
      <c r="U745" s="3">
        <v>4657</v>
      </c>
      <c r="V745" s="3">
        <v>0</v>
      </c>
      <c r="W745" s="3">
        <v>1741</v>
      </c>
      <c r="X745" s="3">
        <v>15.3</v>
      </c>
    </row>
    <row r="746" spans="1:24" hidden="1">
      <c r="A746" s="1">
        <v>44866</v>
      </c>
      <c r="B746" s="1" t="s">
        <v>1010</v>
      </c>
      <c r="C746" s="2" t="s">
        <v>1000</v>
      </c>
      <c r="D746" s="2" t="s">
        <v>279</v>
      </c>
      <c r="E746" s="2" t="s">
        <v>737</v>
      </c>
      <c r="F746" s="2" t="s">
        <v>667</v>
      </c>
      <c r="G746" s="2" t="s">
        <v>146</v>
      </c>
      <c r="H746" s="2" t="s">
        <v>668</v>
      </c>
      <c r="I746" t="s">
        <v>198</v>
      </c>
      <c r="J746" s="18">
        <v>16146.25</v>
      </c>
      <c r="K746" s="18"/>
      <c r="L746" s="18">
        <v>16699.2829245793</v>
      </c>
      <c r="M746" s="18">
        <v>142.82588078626401</v>
      </c>
      <c r="N746" s="18"/>
      <c r="O746" s="18"/>
      <c r="P746" s="3">
        <v>0</v>
      </c>
      <c r="Q746" s="3">
        <v>0</v>
      </c>
      <c r="R746" s="3">
        <v>0</v>
      </c>
      <c r="S746" s="3"/>
      <c r="T746" s="3" t="b">
        <v>0</v>
      </c>
      <c r="U746" s="3">
        <v>2426</v>
      </c>
      <c r="V746" s="3">
        <v>0</v>
      </c>
      <c r="W746" s="3">
        <v>1819</v>
      </c>
      <c r="X746" s="3">
        <v>17.22</v>
      </c>
    </row>
    <row r="747" spans="1:24" hidden="1">
      <c r="A747" s="1">
        <v>44896</v>
      </c>
      <c r="B747" s="1" t="s">
        <v>1011</v>
      </c>
      <c r="C747" s="2" t="s">
        <v>1000</v>
      </c>
      <c r="D747" s="2" t="s">
        <v>279</v>
      </c>
      <c r="E747" s="2" t="s">
        <v>737</v>
      </c>
      <c r="F747" s="2" t="s">
        <v>667</v>
      </c>
      <c r="G747" s="2" t="s">
        <v>146</v>
      </c>
      <c r="H747" s="2" t="s">
        <v>668</v>
      </c>
      <c r="I747" t="s">
        <v>198</v>
      </c>
      <c r="J747" s="18">
        <v>16134.2</v>
      </c>
      <c r="K747" s="18"/>
      <c r="L747" s="18">
        <v>16807.4831152107</v>
      </c>
      <c r="M747" s="18">
        <v>-506.18158538292801</v>
      </c>
      <c r="N747" s="18"/>
      <c r="O747" s="18"/>
      <c r="P747" s="3">
        <v>0</v>
      </c>
      <c r="Q747" s="3">
        <v>0</v>
      </c>
      <c r="R747" s="3">
        <v>0</v>
      </c>
      <c r="S747" s="3"/>
      <c r="T747" s="3" t="b">
        <v>0</v>
      </c>
      <c r="U747" s="3">
        <v>3471</v>
      </c>
      <c r="V747" s="3">
        <v>1</v>
      </c>
      <c r="W747" s="3">
        <v>1672</v>
      </c>
      <c r="X747" s="3">
        <v>15.37</v>
      </c>
    </row>
    <row r="748" spans="1:24" hidden="1">
      <c r="A748" s="1">
        <v>44927</v>
      </c>
      <c r="B748" s="1" t="s">
        <v>1012</v>
      </c>
      <c r="C748" s="2" t="s">
        <v>1000</v>
      </c>
      <c r="D748" s="2" t="s">
        <v>279</v>
      </c>
      <c r="E748" s="2" t="s">
        <v>737</v>
      </c>
      <c r="F748" s="2" t="s">
        <v>667</v>
      </c>
      <c r="G748" s="2" t="s">
        <v>146</v>
      </c>
      <c r="H748" s="2" t="s">
        <v>668</v>
      </c>
      <c r="I748" t="s">
        <v>198</v>
      </c>
      <c r="J748" s="18">
        <v>16514.27</v>
      </c>
      <c r="K748" s="18"/>
      <c r="L748" s="18">
        <v>16919.2899801944</v>
      </c>
      <c r="M748" s="18">
        <v>-140.63019630278899</v>
      </c>
      <c r="N748" s="18"/>
      <c r="O748" s="18"/>
      <c r="P748" s="3">
        <v>0</v>
      </c>
      <c r="Q748" s="3">
        <v>0</v>
      </c>
      <c r="R748" s="3">
        <v>0</v>
      </c>
      <c r="S748" s="3"/>
      <c r="T748" s="3" t="b">
        <v>0</v>
      </c>
      <c r="U748" s="3">
        <v>4949</v>
      </c>
      <c r="V748" s="3">
        <v>0</v>
      </c>
      <c r="W748" s="3">
        <v>1512</v>
      </c>
      <c r="X748" s="3">
        <v>14.78</v>
      </c>
    </row>
    <row r="749" spans="1:24" hidden="1">
      <c r="A749" s="1">
        <v>44958</v>
      </c>
      <c r="B749" s="1" t="s">
        <v>1013</v>
      </c>
      <c r="C749" s="2" t="s">
        <v>1000</v>
      </c>
      <c r="D749" s="2" t="s">
        <v>279</v>
      </c>
      <c r="E749" s="2" t="s">
        <v>737</v>
      </c>
      <c r="F749" s="2" t="s">
        <v>667</v>
      </c>
      <c r="G749" s="2" t="s">
        <v>146</v>
      </c>
      <c r="H749" s="2" t="s">
        <v>668</v>
      </c>
      <c r="I749" t="s">
        <v>198</v>
      </c>
      <c r="J749" s="18">
        <v>16623.09</v>
      </c>
      <c r="K749" s="18"/>
      <c r="L749" s="18">
        <v>17031.096845587999</v>
      </c>
      <c r="M749" s="18">
        <v>-242.880369924809</v>
      </c>
      <c r="N749" s="18"/>
      <c r="O749" s="18"/>
      <c r="P749" s="3">
        <v>0</v>
      </c>
      <c r="Q749" s="3">
        <v>0</v>
      </c>
      <c r="R749" s="3">
        <v>0</v>
      </c>
      <c r="S749" s="3"/>
      <c r="T749" s="3" t="b">
        <v>0</v>
      </c>
      <c r="U749" s="3">
        <v>2941</v>
      </c>
      <c r="V749" s="3">
        <v>0</v>
      </c>
      <c r="W749" s="3">
        <v>2771</v>
      </c>
      <c r="X749" s="3">
        <v>13.94</v>
      </c>
    </row>
    <row r="750" spans="1:24" hidden="1">
      <c r="A750" s="1">
        <v>44986</v>
      </c>
      <c r="B750" s="1" t="s">
        <v>1014</v>
      </c>
      <c r="C750" s="2" t="s">
        <v>1000</v>
      </c>
      <c r="D750" s="2" t="s">
        <v>279</v>
      </c>
      <c r="E750" s="2" t="s">
        <v>737</v>
      </c>
      <c r="F750" s="2" t="s">
        <v>667</v>
      </c>
      <c r="G750" s="2" t="s">
        <v>146</v>
      </c>
      <c r="H750" s="2" t="s">
        <v>668</v>
      </c>
      <c r="I750" t="s">
        <v>198</v>
      </c>
      <c r="J750" s="18">
        <v>16410.810000000001</v>
      </c>
      <c r="K750" s="18"/>
      <c r="L750" s="18">
        <v>17132.092711713201</v>
      </c>
      <c r="M750" s="18">
        <v>-977.56021371981205</v>
      </c>
      <c r="N750" s="18"/>
      <c r="O750" s="18"/>
      <c r="P750" s="3">
        <v>0</v>
      </c>
      <c r="Q750" s="3">
        <v>0</v>
      </c>
      <c r="R750" s="3">
        <v>0</v>
      </c>
      <c r="S750" s="3"/>
      <c r="T750" s="3" t="b">
        <v>0</v>
      </c>
      <c r="U750" s="3">
        <v>3907</v>
      </c>
      <c r="V750" s="3">
        <v>0</v>
      </c>
      <c r="W750" s="3">
        <v>1948</v>
      </c>
      <c r="X750" s="3">
        <v>14.48</v>
      </c>
    </row>
    <row r="751" spans="1:24" hidden="1">
      <c r="A751" s="1">
        <v>45017</v>
      </c>
      <c r="B751" s="1" t="s">
        <v>1015</v>
      </c>
      <c r="C751" s="2" t="s">
        <v>1000</v>
      </c>
      <c r="D751" s="2" t="s">
        <v>279</v>
      </c>
      <c r="E751" s="2" t="s">
        <v>737</v>
      </c>
      <c r="F751" s="2" t="s">
        <v>667</v>
      </c>
      <c r="G751" s="2" t="s">
        <v>146</v>
      </c>
      <c r="H751" s="2" t="s">
        <v>668</v>
      </c>
      <c r="I751" t="s">
        <v>198</v>
      </c>
      <c r="J751" s="18">
        <v>16650.89</v>
      </c>
      <c r="K751" s="18"/>
      <c r="L751" s="18">
        <v>17243.9103016607</v>
      </c>
      <c r="M751" s="18">
        <v>501.92629428986299</v>
      </c>
      <c r="N751" s="18"/>
      <c r="O751" s="18"/>
      <c r="P751" s="3">
        <v>0</v>
      </c>
      <c r="Q751" s="3">
        <v>0</v>
      </c>
      <c r="R751" s="3">
        <v>0</v>
      </c>
      <c r="S751" s="3"/>
      <c r="T751" s="3" t="b">
        <v>0</v>
      </c>
      <c r="U751" s="3">
        <v>2741</v>
      </c>
      <c r="V751" s="3">
        <v>1</v>
      </c>
      <c r="W751" s="3">
        <v>2211</v>
      </c>
      <c r="X751" s="3">
        <v>15.33</v>
      </c>
    </row>
    <row r="752" spans="1:24" hidden="1">
      <c r="A752" s="1">
        <v>45047</v>
      </c>
      <c r="B752" s="1" t="s">
        <v>1016</v>
      </c>
      <c r="C752" s="2" t="s">
        <v>1000</v>
      </c>
      <c r="D752" s="2" t="s">
        <v>279</v>
      </c>
      <c r="E752" s="2" t="s">
        <v>737</v>
      </c>
      <c r="F752" s="2" t="s">
        <v>667</v>
      </c>
      <c r="G752" s="2" t="s">
        <v>146</v>
      </c>
      <c r="H752" s="2" t="s">
        <v>668</v>
      </c>
      <c r="I752" t="s">
        <v>198</v>
      </c>
      <c r="J752" s="18">
        <v>16693.87</v>
      </c>
      <c r="K752" s="18"/>
      <c r="L752" s="18">
        <v>17352.5575707588</v>
      </c>
      <c r="M752" s="18">
        <v>-1162.99763729715</v>
      </c>
      <c r="N752" s="18"/>
      <c r="O752" s="18"/>
      <c r="P752" s="3">
        <v>0</v>
      </c>
      <c r="Q752" s="3">
        <v>0</v>
      </c>
      <c r="R752" s="3">
        <v>0</v>
      </c>
      <c r="S752" s="3"/>
      <c r="T752" s="3" t="b">
        <v>0</v>
      </c>
      <c r="U752" s="3">
        <v>3392</v>
      </c>
      <c r="V752" s="3">
        <v>0</v>
      </c>
      <c r="W752" s="3">
        <v>1929</v>
      </c>
      <c r="X752" s="3">
        <v>17.420000000000002</v>
      </c>
    </row>
    <row r="753" spans="1:24" hidden="1">
      <c r="A753" s="1">
        <v>45078</v>
      </c>
      <c r="B753" s="1" t="s">
        <v>1017</v>
      </c>
      <c r="C753" s="2" t="s">
        <v>1000</v>
      </c>
      <c r="D753" s="2" t="s">
        <v>279</v>
      </c>
      <c r="E753" s="2" t="s">
        <v>737</v>
      </c>
      <c r="F753" s="2" t="s">
        <v>667</v>
      </c>
      <c r="G753" s="2" t="s">
        <v>146</v>
      </c>
      <c r="H753" s="2" t="s">
        <v>668</v>
      </c>
      <c r="I753" t="s">
        <v>198</v>
      </c>
      <c r="J753" s="18">
        <v>17375.16</v>
      </c>
      <c r="K753" s="18"/>
      <c r="L753" s="18">
        <v>17465.125560007298</v>
      </c>
      <c r="M753" s="18">
        <v>739.56017124692801</v>
      </c>
      <c r="N753" s="18"/>
      <c r="O753" s="18"/>
      <c r="P753" s="3">
        <v>0</v>
      </c>
      <c r="Q753" s="3">
        <v>0</v>
      </c>
      <c r="R753" s="3">
        <v>0</v>
      </c>
      <c r="S753" s="3"/>
      <c r="T753" s="3" t="b">
        <v>0</v>
      </c>
      <c r="U753" s="3">
        <v>3243</v>
      </c>
      <c r="V753" s="3">
        <v>0</v>
      </c>
      <c r="W753" s="3">
        <v>2539</v>
      </c>
      <c r="X753" s="3">
        <v>15.75</v>
      </c>
    </row>
    <row r="754" spans="1:24" hidden="1">
      <c r="A754" s="1">
        <v>45108</v>
      </c>
      <c r="B754" s="1" t="s">
        <v>1018</v>
      </c>
      <c r="C754" s="2" t="s">
        <v>1000</v>
      </c>
      <c r="D754" s="2" t="s">
        <v>279</v>
      </c>
      <c r="E754" s="2" t="s">
        <v>737</v>
      </c>
      <c r="F754" s="2" t="s">
        <v>667</v>
      </c>
      <c r="G754" s="2" t="s">
        <v>146</v>
      </c>
      <c r="H754" s="2" t="s">
        <v>668</v>
      </c>
      <c r="I754" t="s">
        <v>198</v>
      </c>
      <c r="J754" s="18">
        <v>17550.89</v>
      </c>
      <c r="K754" s="18"/>
      <c r="L754" s="18">
        <v>17574.581592349499</v>
      </c>
      <c r="M754" s="18">
        <v>1459.1055801472501</v>
      </c>
      <c r="N754" s="18"/>
      <c r="O754" s="18"/>
      <c r="P754" s="3">
        <v>0</v>
      </c>
      <c r="Q754" s="3">
        <v>0</v>
      </c>
      <c r="R754" s="3">
        <v>0</v>
      </c>
      <c r="S754" s="3"/>
      <c r="T754" s="3" t="b">
        <v>0</v>
      </c>
      <c r="U754" s="3">
        <v>3600</v>
      </c>
      <c r="V754" s="3">
        <v>0</v>
      </c>
      <c r="W754" s="3">
        <v>1912</v>
      </c>
      <c r="X754" s="3">
        <v>16.47</v>
      </c>
    </row>
    <row r="755" spans="1:24" hidden="1">
      <c r="A755" s="1">
        <v>45139</v>
      </c>
      <c r="B755" s="1" t="s">
        <v>1019</v>
      </c>
      <c r="C755" s="2" t="s">
        <v>1000</v>
      </c>
      <c r="D755" s="2" t="s">
        <v>279</v>
      </c>
      <c r="E755" s="2" t="s">
        <v>737</v>
      </c>
      <c r="F755" s="2" t="s">
        <v>667</v>
      </c>
      <c r="G755" s="2" t="s">
        <v>146</v>
      </c>
      <c r="H755" s="2" t="s">
        <v>668</v>
      </c>
      <c r="I755" t="s">
        <v>198</v>
      </c>
      <c r="J755" s="18">
        <v>18071.86</v>
      </c>
      <c r="K755" s="18"/>
      <c r="L755" s="18">
        <v>17688.3865858178</v>
      </c>
      <c r="M755" s="18">
        <v>908.36676241376199</v>
      </c>
      <c r="N755" s="18"/>
      <c r="O755" s="18"/>
      <c r="P755" s="3">
        <v>0</v>
      </c>
      <c r="Q755" s="3">
        <v>0</v>
      </c>
      <c r="R755" s="3">
        <v>0</v>
      </c>
      <c r="S755" s="3"/>
      <c r="T755" s="3" t="b">
        <v>0</v>
      </c>
      <c r="U755" s="3">
        <v>3255</v>
      </c>
      <c r="V755" s="3">
        <v>0</v>
      </c>
      <c r="W755" s="3">
        <v>1643</v>
      </c>
      <c r="X755" s="3">
        <v>15.65</v>
      </c>
    </row>
    <row r="756" spans="1:24" hidden="1">
      <c r="A756" s="1">
        <v>45170</v>
      </c>
      <c r="B756" s="1" t="s">
        <v>1020</v>
      </c>
      <c r="C756" s="2" t="s">
        <v>1000</v>
      </c>
      <c r="D756" s="2" t="s">
        <v>279</v>
      </c>
      <c r="E756" s="2" t="s">
        <v>737</v>
      </c>
      <c r="F756" s="2" t="s">
        <v>667</v>
      </c>
      <c r="G756" s="2" t="s">
        <v>146</v>
      </c>
      <c r="H756" s="2" t="s">
        <v>668</v>
      </c>
      <c r="I756" t="s">
        <v>198</v>
      </c>
      <c r="J756" s="18">
        <v>8927.98</v>
      </c>
      <c r="K756" s="18"/>
      <c r="L756" s="18">
        <v>17803.091997964199</v>
      </c>
      <c r="M756" s="18">
        <v>-4125.2049233101698</v>
      </c>
      <c r="N756" s="18"/>
      <c r="O756" s="18"/>
      <c r="P756" s="3">
        <v>0</v>
      </c>
      <c r="Q756" s="3">
        <v>0</v>
      </c>
      <c r="R756" s="3">
        <v>1</v>
      </c>
      <c r="S756" s="3"/>
      <c r="T756" s="3" t="b">
        <v>0</v>
      </c>
      <c r="U756" s="3">
        <v>2327</v>
      </c>
      <c r="V756" s="3">
        <v>0</v>
      </c>
      <c r="W756" s="3">
        <v>1426</v>
      </c>
      <c r="X756" s="3">
        <v>17.100000000000001</v>
      </c>
    </row>
    <row r="757" spans="1:24" hidden="1">
      <c r="A757" s="1">
        <v>45200</v>
      </c>
      <c r="B757" s="1" t="s">
        <v>1021</v>
      </c>
      <c r="C757" s="2" t="s">
        <v>1000</v>
      </c>
      <c r="D757" s="2" t="s">
        <v>279</v>
      </c>
      <c r="E757" s="2" t="s">
        <v>737</v>
      </c>
      <c r="F757" s="2" t="s">
        <v>667</v>
      </c>
      <c r="G757" s="2" t="s">
        <v>146</v>
      </c>
      <c r="H757" s="2" t="s">
        <v>668</v>
      </c>
      <c r="I757" t="s">
        <v>198</v>
      </c>
      <c r="J757" s="18">
        <v>18024.37</v>
      </c>
      <c r="K757" s="18"/>
      <c r="L757" s="18">
        <v>17914.162990665802</v>
      </c>
      <c r="M757" s="18">
        <v>328.07438902053502</v>
      </c>
      <c r="N757" s="18"/>
      <c r="O757" s="18"/>
      <c r="P757" s="3">
        <v>0</v>
      </c>
      <c r="Q757" s="3">
        <v>0</v>
      </c>
      <c r="R757" s="3">
        <v>0</v>
      </c>
      <c r="S757" s="3"/>
      <c r="T757" s="3" t="b">
        <v>0</v>
      </c>
      <c r="U757" s="3">
        <v>3466</v>
      </c>
      <c r="V757" s="3">
        <v>0</v>
      </c>
      <c r="W757" s="3">
        <v>1501</v>
      </c>
      <c r="X757" s="3">
        <v>16.09</v>
      </c>
    </row>
    <row r="758" spans="1:24" hidden="1">
      <c r="A758" s="1">
        <v>45231</v>
      </c>
      <c r="B758" s="1" t="s">
        <v>1022</v>
      </c>
      <c r="C758" s="2" t="s">
        <v>1000</v>
      </c>
      <c r="D758" s="2" t="s">
        <v>279</v>
      </c>
      <c r="E758" s="2" t="s">
        <v>737</v>
      </c>
      <c r="F758" s="2" t="s">
        <v>667</v>
      </c>
      <c r="G758" s="2" t="s">
        <v>146</v>
      </c>
      <c r="H758" s="2" t="s">
        <v>668</v>
      </c>
      <c r="I758" t="s">
        <v>198</v>
      </c>
      <c r="J758" s="18">
        <v>18268.87</v>
      </c>
      <c r="K758" s="18"/>
      <c r="L758" s="18">
        <v>18029.5847309077</v>
      </c>
      <c r="M758" s="18">
        <v>-498.70251315285998</v>
      </c>
      <c r="N758" s="18"/>
      <c r="O758" s="18"/>
      <c r="P758" s="3">
        <v>0</v>
      </c>
      <c r="Q758" s="3">
        <v>0</v>
      </c>
      <c r="R758" s="3">
        <v>0</v>
      </c>
      <c r="S758" s="3"/>
      <c r="T758" s="3" t="b">
        <v>0</v>
      </c>
      <c r="U758" s="3">
        <v>4099</v>
      </c>
      <c r="V758" s="3">
        <v>0</v>
      </c>
      <c r="W758" s="3">
        <v>1729</v>
      </c>
      <c r="X758" s="3">
        <v>16.399999999999999</v>
      </c>
    </row>
    <row r="759" spans="1:24" hidden="1">
      <c r="A759" s="1">
        <v>45261</v>
      </c>
      <c r="B759" s="1" t="s">
        <v>1023</v>
      </c>
      <c r="C759" s="2" t="s">
        <v>1000</v>
      </c>
      <c r="D759" s="2" t="s">
        <v>279</v>
      </c>
      <c r="E759" s="2" t="s">
        <v>737</v>
      </c>
      <c r="F759" s="2" t="s">
        <v>667</v>
      </c>
      <c r="G759" s="2" t="s">
        <v>146</v>
      </c>
      <c r="H759" s="2" t="s">
        <v>668</v>
      </c>
      <c r="I759" t="s">
        <v>198</v>
      </c>
      <c r="J759" s="18">
        <v>18410.79</v>
      </c>
      <c r="K759" s="18"/>
      <c r="L759" s="18">
        <v>18141.708026771699</v>
      </c>
      <c r="M759" s="18">
        <v>138.48313819862901</v>
      </c>
      <c r="N759" s="18"/>
      <c r="O759" s="18"/>
      <c r="P759" s="3">
        <v>0</v>
      </c>
      <c r="Q759" s="3">
        <v>0</v>
      </c>
      <c r="R759" s="3">
        <v>0</v>
      </c>
      <c r="S759" s="3"/>
      <c r="T759" s="3" t="b">
        <v>0</v>
      </c>
      <c r="U759" s="3">
        <v>3966</v>
      </c>
      <c r="V759" s="3">
        <v>1</v>
      </c>
      <c r="W759" s="3">
        <v>2283</v>
      </c>
      <c r="X759" s="3">
        <v>16.43</v>
      </c>
    </row>
    <row r="760" spans="1:24" hidden="1">
      <c r="A760" s="1">
        <v>45292</v>
      </c>
      <c r="B760" s="1" t="s">
        <v>1024</v>
      </c>
      <c r="C760" s="2" t="s">
        <v>1000</v>
      </c>
      <c r="D760" s="2" t="s">
        <v>279</v>
      </c>
      <c r="E760" s="2" t="s">
        <v>737</v>
      </c>
      <c r="F760" s="2" t="s">
        <v>667</v>
      </c>
      <c r="G760" s="2" t="s">
        <v>146</v>
      </c>
      <c r="H760" s="2" t="s">
        <v>668</v>
      </c>
      <c r="I760" t="s">
        <v>198</v>
      </c>
      <c r="J760" s="18">
        <v>18238.63</v>
      </c>
      <c r="K760" s="18"/>
      <c r="L760" s="18">
        <v>18257.7083754382</v>
      </c>
      <c r="M760" s="18">
        <v>-785.54304503590197</v>
      </c>
      <c r="N760" s="18"/>
      <c r="O760" s="18"/>
      <c r="P760" s="3">
        <v>0</v>
      </c>
      <c r="Q760" s="3">
        <v>0</v>
      </c>
      <c r="R760" s="3">
        <v>0</v>
      </c>
      <c r="S760" s="3"/>
      <c r="T760" s="3" t="b">
        <v>1</v>
      </c>
      <c r="U760" s="3">
        <v>2375</v>
      </c>
      <c r="V760" s="3">
        <v>1</v>
      </c>
      <c r="W760" s="3">
        <v>2536</v>
      </c>
      <c r="X760" s="3">
        <v>16.420000000000002</v>
      </c>
    </row>
    <row r="761" spans="1:24" hidden="1">
      <c r="A761" s="1">
        <v>45323</v>
      </c>
      <c r="B761" s="1" t="s">
        <v>1025</v>
      </c>
      <c r="C761" s="2" t="s">
        <v>1000</v>
      </c>
      <c r="D761" s="2" t="s">
        <v>279</v>
      </c>
      <c r="E761" s="2" t="s">
        <v>737</v>
      </c>
      <c r="F761" s="2" t="s">
        <v>667</v>
      </c>
      <c r="G761" s="2" t="s">
        <v>146</v>
      </c>
      <c r="H761" s="2" t="s">
        <v>668</v>
      </c>
      <c r="I761" t="s">
        <v>198</v>
      </c>
      <c r="J761" s="18">
        <v>18061.36</v>
      </c>
      <c r="K761" s="18"/>
      <c r="L761" s="18">
        <v>18373.864028441902</v>
      </c>
      <c r="M761" s="18">
        <v>352.90497981622298</v>
      </c>
      <c r="N761" s="18"/>
      <c r="O761" s="18"/>
      <c r="P761" s="3">
        <v>0</v>
      </c>
      <c r="Q761" s="3">
        <v>0</v>
      </c>
      <c r="R761" s="3">
        <v>0</v>
      </c>
      <c r="S761" s="3"/>
      <c r="T761" s="3" t="b">
        <v>0</v>
      </c>
      <c r="U761" s="3">
        <v>2262</v>
      </c>
      <c r="V761" s="3">
        <v>0</v>
      </c>
      <c r="W761" s="3">
        <v>1070</v>
      </c>
      <c r="X761" s="3">
        <v>16.02</v>
      </c>
    </row>
    <row r="762" spans="1:24" hidden="1">
      <c r="A762" s="1">
        <v>45352</v>
      </c>
      <c r="B762" s="1" t="s">
        <v>1026</v>
      </c>
      <c r="C762" s="2" t="s">
        <v>1000</v>
      </c>
      <c r="D762" s="2" t="s">
        <v>279</v>
      </c>
      <c r="E762" s="2" t="s">
        <v>737</v>
      </c>
      <c r="F762" s="2" t="s">
        <v>667</v>
      </c>
      <c r="G762" s="2" t="s">
        <v>146</v>
      </c>
      <c r="H762" s="2" t="s">
        <v>668</v>
      </c>
      <c r="I762" t="s">
        <v>198</v>
      </c>
      <c r="J762" s="18">
        <v>18338.75</v>
      </c>
      <c r="K762" s="18"/>
      <c r="L762" s="18">
        <v>18482.525768675201</v>
      </c>
      <c r="M762" s="18">
        <v>791.51515608167495</v>
      </c>
      <c r="N762" s="18"/>
      <c r="O762" s="18"/>
      <c r="P762" s="3">
        <v>0</v>
      </c>
      <c r="Q762" s="3">
        <v>0</v>
      </c>
      <c r="R762" s="3">
        <v>0</v>
      </c>
      <c r="S762" s="3"/>
      <c r="T762" s="3" t="b">
        <v>0</v>
      </c>
      <c r="U762" s="3">
        <v>2266</v>
      </c>
      <c r="V762" s="3">
        <v>2</v>
      </c>
      <c r="W762" s="3">
        <v>1477</v>
      </c>
      <c r="X762" s="3">
        <v>15.59</v>
      </c>
    </row>
    <row r="763" spans="1:24" hidden="1">
      <c r="A763" s="1">
        <v>45383</v>
      </c>
      <c r="B763" s="1" t="s">
        <v>1027</v>
      </c>
      <c r="C763" s="2" t="s">
        <v>1000</v>
      </c>
      <c r="D763" s="2" t="s">
        <v>279</v>
      </c>
      <c r="E763" s="2" t="s">
        <v>737</v>
      </c>
      <c r="F763" s="2" t="s">
        <v>667</v>
      </c>
      <c r="G763" s="2" t="s">
        <v>146</v>
      </c>
      <c r="H763" s="2" t="s">
        <v>668</v>
      </c>
      <c r="I763" t="s">
        <v>198</v>
      </c>
      <c r="J763" s="18">
        <v>18227.5</v>
      </c>
      <c r="K763" s="18"/>
      <c r="L763" s="18">
        <v>18598.681422027999</v>
      </c>
      <c r="M763" s="18">
        <v>-1362.8802496620699</v>
      </c>
      <c r="N763" s="18"/>
      <c r="O763" s="18"/>
      <c r="P763" s="3">
        <v>0</v>
      </c>
      <c r="Q763" s="3">
        <v>0</v>
      </c>
      <c r="R763" s="3">
        <v>0</v>
      </c>
      <c r="S763" s="3"/>
      <c r="T763" s="3" t="b">
        <v>0</v>
      </c>
      <c r="U763" s="3">
        <v>4406</v>
      </c>
      <c r="V763" s="3">
        <v>0</v>
      </c>
      <c r="W763" s="3">
        <v>2201</v>
      </c>
      <c r="X763" s="3">
        <v>18.38</v>
      </c>
    </row>
    <row r="764" spans="1:24" hidden="1">
      <c r="A764" s="1">
        <v>45413</v>
      </c>
      <c r="B764" s="1" t="s">
        <v>1028</v>
      </c>
      <c r="C764" s="2" t="s">
        <v>1000</v>
      </c>
      <c r="D764" s="2" t="s">
        <v>279</v>
      </c>
      <c r="E764" s="2" t="s">
        <v>737</v>
      </c>
      <c r="F764" s="2" t="s">
        <v>667</v>
      </c>
      <c r="G764" s="2" t="s">
        <v>146</v>
      </c>
      <c r="H764" s="2" t="s">
        <v>668</v>
      </c>
      <c r="I764" t="s">
        <v>198</v>
      </c>
      <c r="J764" s="18">
        <v>17837.78</v>
      </c>
      <c r="K764" s="18"/>
      <c r="L764" s="18">
        <v>18711.090118821099</v>
      </c>
      <c r="M764" s="18">
        <v>742.52194053621599</v>
      </c>
      <c r="N764" s="18"/>
      <c r="O764" s="18"/>
      <c r="P764" s="3">
        <v>0</v>
      </c>
      <c r="Q764" s="3">
        <v>0</v>
      </c>
      <c r="R764" s="3">
        <v>0</v>
      </c>
      <c r="S764" s="3"/>
      <c r="T764" s="3" t="b">
        <v>0</v>
      </c>
      <c r="U764" s="3">
        <v>3944</v>
      </c>
      <c r="V764" s="3">
        <v>0</v>
      </c>
      <c r="W764" s="3">
        <v>1456</v>
      </c>
      <c r="X764" s="3">
        <v>18.260000000000002</v>
      </c>
    </row>
    <row r="765" spans="1:24" hidden="1">
      <c r="A765" s="1">
        <v>45444</v>
      </c>
      <c r="B765" s="1" t="s">
        <v>1029</v>
      </c>
      <c r="C765" s="2" t="s">
        <v>1000</v>
      </c>
      <c r="D765" s="2" t="s">
        <v>279</v>
      </c>
      <c r="E765" s="2" t="s">
        <v>737</v>
      </c>
      <c r="F765" s="2" t="s">
        <v>667</v>
      </c>
      <c r="G765" s="2" t="s">
        <v>146</v>
      </c>
      <c r="H765" s="2" t="s">
        <v>668</v>
      </c>
      <c r="I765" t="s">
        <v>198</v>
      </c>
      <c r="J765" s="18">
        <v>18267.37</v>
      </c>
      <c r="K765" s="18"/>
      <c r="L765" s="18">
        <v>18827.245772173901</v>
      </c>
      <c r="M765" s="18">
        <v>-1167.17293060271</v>
      </c>
      <c r="N765" s="18"/>
      <c r="O765" s="18"/>
      <c r="P765" s="3">
        <v>0</v>
      </c>
      <c r="Q765" s="3">
        <v>0</v>
      </c>
      <c r="R765" s="3">
        <v>0</v>
      </c>
      <c r="S765" s="3"/>
      <c r="T765" s="3" t="b">
        <v>0</v>
      </c>
      <c r="U765" s="3">
        <v>3893</v>
      </c>
      <c r="V765" s="3">
        <v>0</v>
      </c>
      <c r="W765" s="3">
        <v>1188</v>
      </c>
      <c r="X765" s="3">
        <v>16.22</v>
      </c>
    </row>
    <row r="766" spans="1:24" hidden="1">
      <c r="A766" s="1">
        <v>45474</v>
      </c>
      <c r="B766" s="1" t="s">
        <v>1030</v>
      </c>
      <c r="C766" s="2" t="s">
        <v>1000</v>
      </c>
      <c r="D766" s="2" t="s">
        <v>279</v>
      </c>
      <c r="E766" s="2" t="s">
        <v>737</v>
      </c>
      <c r="F766" s="2" t="s">
        <v>667</v>
      </c>
      <c r="G766" s="2" t="s">
        <v>146</v>
      </c>
      <c r="H766" s="2" t="s">
        <v>668</v>
      </c>
      <c r="I766" t="s">
        <v>198</v>
      </c>
      <c r="J766" s="18">
        <v>25542.23</v>
      </c>
      <c r="K766" s="18">
        <v>18467.39</v>
      </c>
      <c r="L766" s="18">
        <v>18939.654468967001</v>
      </c>
      <c r="M766" s="18">
        <v>3475.9501616536299</v>
      </c>
      <c r="N766" s="18">
        <v>18667.39</v>
      </c>
      <c r="O766" s="18">
        <v>18267.39</v>
      </c>
      <c r="P766" s="3">
        <v>0</v>
      </c>
      <c r="Q766" s="3">
        <v>0</v>
      </c>
      <c r="R766" s="3">
        <v>1</v>
      </c>
      <c r="S766" s="3"/>
      <c r="T766" s="3" t="b">
        <v>0</v>
      </c>
      <c r="U766" s="3">
        <v>3901</v>
      </c>
      <c r="V766" s="3">
        <v>0</v>
      </c>
      <c r="W766" s="3">
        <v>1290</v>
      </c>
      <c r="X766" s="3">
        <v>40</v>
      </c>
    </row>
    <row r="767" spans="1:24" hidden="1">
      <c r="A767" s="1">
        <v>45505</v>
      </c>
      <c r="B767" s="1" t="s">
        <v>1031</v>
      </c>
      <c r="C767" s="2" t="s">
        <v>1000</v>
      </c>
      <c r="D767" s="2" t="s">
        <v>279</v>
      </c>
      <c r="E767" s="2" t="s">
        <v>737</v>
      </c>
      <c r="F767" s="2" t="s">
        <v>667</v>
      </c>
      <c r="G767" s="2" t="s">
        <v>146</v>
      </c>
      <c r="H767" s="2" t="s">
        <v>668</v>
      </c>
      <c r="I767" t="s">
        <v>198</v>
      </c>
      <c r="J767" s="18">
        <v>18142.23</v>
      </c>
      <c r="K767" s="18">
        <v>18040.759999999998</v>
      </c>
      <c r="L767" s="18">
        <v>19055.810122319799</v>
      </c>
      <c r="M767" s="18">
        <v>-1254.8120292619899</v>
      </c>
      <c r="N767" s="18">
        <v>18240.759999999998</v>
      </c>
      <c r="O767" s="18">
        <v>17840.759999999998</v>
      </c>
      <c r="P767" s="3">
        <v>0</v>
      </c>
      <c r="Q767" s="3">
        <v>0</v>
      </c>
      <c r="R767" s="3">
        <v>0</v>
      </c>
      <c r="S767" s="3"/>
      <c r="T767" s="3" t="b">
        <v>0</v>
      </c>
      <c r="U767" s="3">
        <v>4699</v>
      </c>
      <c r="V767" s="3">
        <v>0</v>
      </c>
      <c r="W767" s="3">
        <v>2543</v>
      </c>
      <c r="X767" s="3">
        <v>15.69</v>
      </c>
    </row>
    <row r="768" spans="1:24" hidden="1">
      <c r="A768" s="1">
        <v>45536</v>
      </c>
      <c r="B768" s="1" t="s">
        <v>1032</v>
      </c>
      <c r="C768" s="2" t="s">
        <v>1000</v>
      </c>
      <c r="D768" s="2" t="s">
        <v>279</v>
      </c>
      <c r="E768" s="2" t="s">
        <v>737</v>
      </c>
      <c r="F768" s="2" t="s">
        <v>667</v>
      </c>
      <c r="G768" s="2" t="s">
        <v>146</v>
      </c>
      <c r="H768" s="2" t="s">
        <v>668</v>
      </c>
      <c r="I768" t="s">
        <v>198</v>
      </c>
      <c r="J768" s="18">
        <v>18285.11</v>
      </c>
      <c r="K768" s="18">
        <v>18248.97</v>
      </c>
      <c r="L768" s="18">
        <v>19171.965775672601</v>
      </c>
      <c r="M768" s="18">
        <v>-2119.75206164062</v>
      </c>
      <c r="N768" s="18">
        <v>18448.97</v>
      </c>
      <c r="O768" s="18">
        <v>18048.97</v>
      </c>
      <c r="P768" s="3">
        <v>0</v>
      </c>
      <c r="Q768" s="3">
        <v>0</v>
      </c>
      <c r="R768" s="3">
        <v>0</v>
      </c>
      <c r="S768" s="3"/>
      <c r="T768" s="3" t="b">
        <v>0</v>
      </c>
      <c r="U768" s="3">
        <v>3652</v>
      </c>
      <c r="V768" s="3">
        <v>0</v>
      </c>
      <c r="W768" s="3">
        <v>2788</v>
      </c>
      <c r="X768" s="3">
        <v>16.61</v>
      </c>
    </row>
    <row r="769" spans="1:24" hidden="1">
      <c r="A769" s="1">
        <v>45566</v>
      </c>
      <c r="B769" s="1" t="s">
        <v>1033</v>
      </c>
      <c r="C769" s="2" t="s">
        <v>1000</v>
      </c>
      <c r="D769" s="2" t="s">
        <v>279</v>
      </c>
      <c r="E769" s="2" t="s">
        <v>737</v>
      </c>
      <c r="F769" s="2" t="s">
        <v>667</v>
      </c>
      <c r="G769" s="2" t="s">
        <v>146</v>
      </c>
      <c r="H769" s="2" t="s">
        <v>668</v>
      </c>
      <c r="I769" t="s">
        <v>224</v>
      </c>
      <c r="J769" s="18"/>
      <c r="K769" s="18">
        <v>18631.62</v>
      </c>
      <c r="L769" s="18">
        <v>19284.374472465701</v>
      </c>
      <c r="M769" s="18">
        <v>-1567.7678258938099</v>
      </c>
      <c r="N769" s="18">
        <v>18831.62</v>
      </c>
      <c r="O769" s="18">
        <v>18431.62</v>
      </c>
      <c r="P769" s="3"/>
      <c r="Q769" s="3"/>
      <c r="R769" s="3"/>
      <c r="S769" s="3"/>
      <c r="T769" s="3"/>
      <c r="U769" s="3"/>
      <c r="V769" s="3"/>
      <c r="W769" s="3">
        <v>1919</v>
      </c>
      <c r="X769" s="3">
        <v>15.87</v>
      </c>
    </row>
    <row r="770" spans="1:24" hidden="1">
      <c r="A770" s="1">
        <v>45597</v>
      </c>
      <c r="B770" s="1" t="s">
        <v>1034</v>
      </c>
      <c r="C770" s="2" t="s">
        <v>1000</v>
      </c>
      <c r="D770" s="2" t="s">
        <v>279</v>
      </c>
      <c r="E770" s="2" t="s">
        <v>737</v>
      </c>
      <c r="F770" s="2" t="s">
        <v>667</v>
      </c>
      <c r="G770" s="2" t="s">
        <v>146</v>
      </c>
      <c r="H770" s="2" t="s">
        <v>668</v>
      </c>
      <c r="I770" t="s">
        <v>224</v>
      </c>
      <c r="J770" s="18"/>
      <c r="K770" s="18">
        <v>18553.349999999999</v>
      </c>
      <c r="L770" s="18">
        <v>19400.530125818499</v>
      </c>
      <c r="M770" s="18">
        <v>1423.81031495105</v>
      </c>
      <c r="N770" s="18">
        <v>18753.349999999999</v>
      </c>
      <c r="O770" s="18">
        <v>18353.349999999999</v>
      </c>
      <c r="P770" s="3"/>
      <c r="Q770" s="3"/>
      <c r="R770" s="3"/>
      <c r="S770" s="3"/>
      <c r="T770" s="3"/>
      <c r="U770" s="3"/>
      <c r="V770" s="3"/>
      <c r="W770" s="3">
        <v>1291</v>
      </c>
      <c r="X770" s="3">
        <v>15.75</v>
      </c>
    </row>
    <row r="771" spans="1:24" hidden="1">
      <c r="A771" s="1">
        <v>45627</v>
      </c>
      <c r="B771" s="1" t="s">
        <v>1035</v>
      </c>
      <c r="C771" s="2" t="s">
        <v>1000</v>
      </c>
      <c r="D771" s="2" t="s">
        <v>279</v>
      </c>
      <c r="E771" s="2" t="s">
        <v>737</v>
      </c>
      <c r="F771" s="2" t="s">
        <v>667</v>
      </c>
      <c r="G771" s="2" t="s">
        <v>146</v>
      </c>
      <c r="H771" s="2" t="s">
        <v>668</v>
      </c>
      <c r="I771" t="s">
        <v>224</v>
      </c>
      <c r="J771" s="18"/>
      <c r="K771" s="18">
        <v>18913.189999999999</v>
      </c>
      <c r="L771" s="18">
        <v>19512.938822611501</v>
      </c>
      <c r="M771" s="18">
        <v>-1795.85316345755</v>
      </c>
      <c r="N771" s="18">
        <v>19113.189999999999</v>
      </c>
      <c r="O771" s="18">
        <v>18713.189999999999</v>
      </c>
      <c r="P771" s="3"/>
      <c r="Q771" s="3"/>
      <c r="R771" s="3"/>
      <c r="S771" s="3"/>
      <c r="T771" s="3"/>
      <c r="U771" s="3"/>
      <c r="V771" s="3"/>
      <c r="W771" s="3">
        <v>2969</v>
      </c>
      <c r="X771" s="3">
        <v>16.61</v>
      </c>
    </row>
    <row r="772" spans="1:24" hidden="1">
      <c r="A772" s="1">
        <v>44562</v>
      </c>
      <c r="B772" s="1" t="s">
        <v>1036</v>
      </c>
      <c r="C772" s="2" t="s">
        <v>1037</v>
      </c>
      <c r="D772" s="2" t="s">
        <v>279</v>
      </c>
      <c r="E772" s="2" t="s">
        <v>737</v>
      </c>
      <c r="F772" s="2" t="s">
        <v>667</v>
      </c>
      <c r="G772" s="2" t="s">
        <v>146</v>
      </c>
      <c r="H772" s="2" t="s">
        <v>359</v>
      </c>
      <c r="I772" t="s">
        <v>198</v>
      </c>
      <c r="J772" s="18">
        <v>6137.67</v>
      </c>
      <c r="K772" s="18"/>
      <c r="L772" s="18">
        <v>7149.5205039999901</v>
      </c>
      <c r="M772" s="18">
        <v>-58.222852358986799</v>
      </c>
      <c r="N772" s="18"/>
      <c r="O772" s="18"/>
      <c r="P772" s="3">
        <v>0</v>
      </c>
      <c r="Q772" s="3">
        <v>0</v>
      </c>
      <c r="R772" s="3">
        <v>0</v>
      </c>
      <c r="S772" s="3"/>
      <c r="T772" s="3" t="b">
        <v>0</v>
      </c>
      <c r="U772" s="3">
        <v>2681</v>
      </c>
      <c r="V772" s="3">
        <v>0</v>
      </c>
      <c r="W772" s="3">
        <v>1014</v>
      </c>
      <c r="X772" s="3">
        <v>10.1</v>
      </c>
    </row>
    <row r="773" spans="1:24" hidden="1">
      <c r="A773" s="1">
        <v>44682</v>
      </c>
      <c r="B773" s="1" t="s">
        <v>1038</v>
      </c>
      <c r="C773" s="2" t="s">
        <v>1037</v>
      </c>
      <c r="D773" s="2" t="s">
        <v>279</v>
      </c>
      <c r="E773" s="2" t="s">
        <v>737</v>
      </c>
      <c r="F773" s="2" t="s">
        <v>667</v>
      </c>
      <c r="G773" s="2" t="s">
        <v>146</v>
      </c>
      <c r="H773" s="2" t="s">
        <v>359</v>
      </c>
      <c r="I773" t="s">
        <v>198</v>
      </c>
      <c r="J773" s="18">
        <v>6377.22</v>
      </c>
      <c r="K773" s="18"/>
      <c r="L773" s="18">
        <v>7064.5662419194996</v>
      </c>
      <c r="M773" s="18">
        <v>-450.78637594109603</v>
      </c>
      <c r="N773" s="18"/>
      <c r="O773" s="18"/>
      <c r="P773" s="3">
        <v>0</v>
      </c>
      <c r="Q773" s="3">
        <v>0</v>
      </c>
      <c r="R773" s="3">
        <v>0</v>
      </c>
      <c r="S773" s="3"/>
      <c r="T773" s="3" t="b">
        <v>0</v>
      </c>
      <c r="U773" s="3">
        <v>4387</v>
      </c>
      <c r="V773" s="3">
        <v>0</v>
      </c>
      <c r="W773" s="3">
        <v>2544</v>
      </c>
      <c r="X773" s="3">
        <v>10.07</v>
      </c>
    </row>
    <row r="774" spans="1:24" hidden="1">
      <c r="A774" s="1">
        <v>44713</v>
      </c>
      <c r="B774" s="1" t="s">
        <v>1039</v>
      </c>
      <c r="C774" s="2" t="s">
        <v>1037</v>
      </c>
      <c r="D774" s="2" t="s">
        <v>279</v>
      </c>
      <c r="E774" s="2" t="s">
        <v>737</v>
      </c>
      <c r="F774" s="2" t="s">
        <v>667</v>
      </c>
      <c r="G774" s="2" t="s">
        <v>146</v>
      </c>
      <c r="H774" s="2" t="s">
        <v>359</v>
      </c>
      <c r="I774" t="s">
        <v>198</v>
      </c>
      <c r="J774" s="18">
        <v>6713.1</v>
      </c>
      <c r="K774" s="18"/>
      <c r="L774" s="18">
        <v>7042.6197244577697</v>
      </c>
      <c r="M774" s="18">
        <v>-1210.33092883161</v>
      </c>
      <c r="N774" s="18"/>
      <c r="O774" s="18"/>
      <c r="P774" s="3">
        <v>0</v>
      </c>
      <c r="Q774" s="3">
        <v>0</v>
      </c>
      <c r="R774" s="3">
        <v>0</v>
      </c>
      <c r="S774" s="3"/>
      <c r="T774" s="3" t="b">
        <v>0</v>
      </c>
      <c r="U774" s="3">
        <v>4394</v>
      </c>
      <c r="V774" s="3">
        <v>0</v>
      </c>
      <c r="W774" s="3">
        <v>1620</v>
      </c>
      <c r="X774" s="3">
        <v>11.01</v>
      </c>
    </row>
    <row r="775" spans="1:24" hidden="1">
      <c r="A775" s="1">
        <v>44743</v>
      </c>
      <c r="B775" s="1" t="s">
        <v>1040</v>
      </c>
      <c r="C775" s="2" t="s">
        <v>1037</v>
      </c>
      <c r="D775" s="2" t="s">
        <v>279</v>
      </c>
      <c r="E775" s="2" t="s">
        <v>737</v>
      </c>
      <c r="F775" s="2" t="s">
        <v>667</v>
      </c>
      <c r="G775" s="2" t="s">
        <v>146</v>
      </c>
      <c r="H775" s="2" t="s">
        <v>359</v>
      </c>
      <c r="I775" t="s">
        <v>198</v>
      </c>
      <c r="J775" s="18">
        <v>6589.04</v>
      </c>
      <c r="K775" s="18"/>
      <c r="L775" s="18">
        <v>7021.3811595429597</v>
      </c>
      <c r="M775" s="18">
        <v>-170.65118181643501</v>
      </c>
      <c r="N775" s="18"/>
      <c r="O775" s="18"/>
      <c r="P775" s="3">
        <v>0</v>
      </c>
      <c r="Q775" s="3">
        <v>0</v>
      </c>
      <c r="R775" s="3">
        <v>0</v>
      </c>
      <c r="S775" s="3"/>
      <c r="T775" s="3" t="b">
        <v>0</v>
      </c>
      <c r="U775" s="3">
        <v>4693</v>
      </c>
      <c r="V775" s="3">
        <v>0</v>
      </c>
      <c r="W775" s="3">
        <v>2160</v>
      </c>
      <c r="X775" s="3">
        <v>7.33</v>
      </c>
    </row>
    <row r="776" spans="1:24" hidden="1">
      <c r="A776" s="1">
        <v>44866</v>
      </c>
      <c r="B776" s="1" t="s">
        <v>1041</v>
      </c>
      <c r="C776" s="2" t="s">
        <v>1037</v>
      </c>
      <c r="D776" s="2" t="s">
        <v>279</v>
      </c>
      <c r="E776" s="2" t="s">
        <v>737</v>
      </c>
      <c r="F776" s="2" t="s">
        <v>667</v>
      </c>
      <c r="G776" s="2" t="s">
        <v>146</v>
      </c>
      <c r="H776" s="2" t="s">
        <v>359</v>
      </c>
      <c r="I776" t="s">
        <v>198</v>
      </c>
      <c r="J776" s="18">
        <v>6601.08</v>
      </c>
      <c r="K776" s="18"/>
      <c r="L776" s="18">
        <v>6934.3030492078497</v>
      </c>
      <c r="M776" s="18">
        <v>515.56046805185201</v>
      </c>
      <c r="N776" s="18"/>
      <c r="O776" s="18"/>
      <c r="P776" s="3">
        <v>0</v>
      </c>
      <c r="Q776" s="3">
        <v>0</v>
      </c>
      <c r="R776" s="3">
        <v>0</v>
      </c>
      <c r="S776" s="3"/>
      <c r="T776" s="3" t="b">
        <v>0</v>
      </c>
      <c r="U776" s="3">
        <v>4156</v>
      </c>
      <c r="V776" s="3">
        <v>1</v>
      </c>
      <c r="W776" s="3">
        <v>1271</v>
      </c>
      <c r="X776" s="3">
        <v>10.69</v>
      </c>
    </row>
    <row r="777" spans="1:24" hidden="1">
      <c r="A777" s="1">
        <v>44896</v>
      </c>
      <c r="B777" s="1" t="s">
        <v>1042</v>
      </c>
      <c r="C777" s="2" t="s">
        <v>1037</v>
      </c>
      <c r="D777" s="2" t="s">
        <v>279</v>
      </c>
      <c r="E777" s="2" t="s">
        <v>737</v>
      </c>
      <c r="F777" s="2" t="s">
        <v>667</v>
      </c>
      <c r="G777" s="2" t="s">
        <v>146</v>
      </c>
      <c r="H777" s="2" t="s">
        <v>359</v>
      </c>
      <c r="I777" t="s">
        <v>198</v>
      </c>
      <c r="J777" s="18">
        <v>6587.38</v>
      </c>
      <c r="K777" s="18"/>
      <c r="L777" s="18">
        <v>6913.0644869255002</v>
      </c>
      <c r="M777" s="18">
        <v>714.80354611632902</v>
      </c>
      <c r="N777" s="18"/>
      <c r="O777" s="18"/>
      <c r="P777" s="3">
        <v>0</v>
      </c>
      <c r="Q777" s="3">
        <v>0</v>
      </c>
      <c r="R777" s="3">
        <v>0</v>
      </c>
      <c r="S777" s="3"/>
      <c r="T777" s="3" t="b">
        <v>0</v>
      </c>
      <c r="U777" s="3">
        <v>4580</v>
      </c>
      <c r="V777" s="3">
        <v>0</v>
      </c>
      <c r="W777" s="3">
        <v>1142</v>
      </c>
      <c r="X777" s="3">
        <v>9.3699999999999992</v>
      </c>
    </row>
    <row r="778" spans="1:24" hidden="1">
      <c r="A778" s="1">
        <v>44927</v>
      </c>
      <c r="B778" s="1" t="s">
        <v>1043</v>
      </c>
      <c r="C778" s="2" t="s">
        <v>1037</v>
      </c>
      <c r="D778" s="2" t="s">
        <v>279</v>
      </c>
      <c r="E778" s="2" t="s">
        <v>737</v>
      </c>
      <c r="F778" s="2" t="s">
        <v>667</v>
      </c>
      <c r="G778" s="2" t="s">
        <v>146</v>
      </c>
      <c r="H778" s="2" t="s">
        <v>359</v>
      </c>
      <c r="I778" t="s">
        <v>198</v>
      </c>
      <c r="J778" s="18">
        <v>6551.39</v>
      </c>
      <c r="K778" s="18"/>
      <c r="L778" s="18">
        <v>6891.1179729289197</v>
      </c>
      <c r="M778" s="18">
        <v>11.423601260098399</v>
      </c>
      <c r="N778" s="18"/>
      <c r="O778" s="18"/>
      <c r="P778" s="3">
        <v>0</v>
      </c>
      <c r="Q778" s="3">
        <v>0</v>
      </c>
      <c r="R778" s="3">
        <v>0</v>
      </c>
      <c r="S778" s="3"/>
      <c r="T778" s="3" t="b">
        <v>1</v>
      </c>
      <c r="U778" s="3">
        <v>2295</v>
      </c>
      <c r="V778" s="3">
        <v>1</v>
      </c>
      <c r="W778" s="3">
        <v>2634</v>
      </c>
      <c r="X778" s="3">
        <v>10.1</v>
      </c>
    </row>
    <row r="779" spans="1:24" hidden="1">
      <c r="A779" s="1">
        <v>44958</v>
      </c>
      <c r="B779" s="1" t="s">
        <v>1044</v>
      </c>
      <c r="C779" s="2" t="s">
        <v>1037</v>
      </c>
      <c r="D779" s="2" t="s">
        <v>279</v>
      </c>
      <c r="E779" s="2" t="s">
        <v>737</v>
      </c>
      <c r="F779" s="2" t="s">
        <v>667</v>
      </c>
      <c r="G779" s="2" t="s">
        <v>146</v>
      </c>
      <c r="H779" s="2" t="s">
        <v>359</v>
      </c>
      <c r="I779" t="s">
        <v>198</v>
      </c>
      <c r="J779" s="18">
        <v>6539.37</v>
      </c>
      <c r="K779" s="18"/>
      <c r="L779" s="18">
        <v>6869.1714584302599</v>
      </c>
      <c r="M779" s="18">
        <v>491.55858324912202</v>
      </c>
      <c r="N779" s="18"/>
      <c r="O779" s="18"/>
      <c r="P779" s="3">
        <v>0</v>
      </c>
      <c r="Q779" s="3">
        <v>0</v>
      </c>
      <c r="R779" s="3">
        <v>0</v>
      </c>
      <c r="S779" s="3"/>
      <c r="T779" s="3" t="b">
        <v>0</v>
      </c>
      <c r="U779" s="3">
        <v>4159</v>
      </c>
      <c r="V779" s="3">
        <v>0</v>
      </c>
      <c r="W779" s="3">
        <v>2912</v>
      </c>
      <c r="X779" s="3">
        <v>10.66</v>
      </c>
    </row>
    <row r="780" spans="1:24" hidden="1">
      <c r="A780" s="1">
        <v>44986</v>
      </c>
      <c r="B780" s="1" t="s">
        <v>1045</v>
      </c>
      <c r="C780" s="2" t="s">
        <v>1037</v>
      </c>
      <c r="D780" s="2" t="s">
        <v>279</v>
      </c>
      <c r="E780" s="2" t="s">
        <v>737</v>
      </c>
      <c r="F780" s="2" t="s">
        <v>667</v>
      </c>
      <c r="G780" s="2" t="s">
        <v>146</v>
      </c>
      <c r="H780" s="2" t="s">
        <v>359</v>
      </c>
      <c r="I780" t="s">
        <v>198</v>
      </c>
      <c r="J780" s="18">
        <v>6391</v>
      </c>
      <c r="K780" s="18"/>
      <c r="L780" s="18">
        <v>6849.3487999571698</v>
      </c>
      <c r="M780" s="18">
        <v>-1747.4142895187299</v>
      </c>
      <c r="N780" s="18"/>
      <c r="O780" s="18"/>
      <c r="P780" s="3">
        <v>0</v>
      </c>
      <c r="Q780" s="3">
        <v>0</v>
      </c>
      <c r="R780" s="3">
        <v>0</v>
      </c>
      <c r="S780" s="3"/>
      <c r="T780" s="3" t="b">
        <v>0</v>
      </c>
      <c r="U780" s="3">
        <v>3612</v>
      </c>
      <c r="V780" s="3">
        <v>1</v>
      </c>
      <c r="W780" s="3">
        <v>2843</v>
      </c>
      <c r="X780" s="3">
        <v>11.01</v>
      </c>
    </row>
    <row r="781" spans="1:24" hidden="1">
      <c r="A781" s="1">
        <v>45017</v>
      </c>
      <c r="B781" s="1" t="s">
        <v>1046</v>
      </c>
      <c r="C781" s="2" t="s">
        <v>1037</v>
      </c>
      <c r="D781" s="2" t="s">
        <v>279</v>
      </c>
      <c r="E781" s="2" t="s">
        <v>737</v>
      </c>
      <c r="F781" s="2" t="s">
        <v>667</v>
      </c>
      <c r="G781" s="2" t="s">
        <v>146</v>
      </c>
      <c r="H781" s="2" t="s">
        <v>359</v>
      </c>
      <c r="I781" t="s">
        <v>198</v>
      </c>
      <c r="J781" s="18">
        <v>6492.35</v>
      </c>
      <c r="K781" s="18"/>
      <c r="L781" s="18">
        <v>6827.4022847476599</v>
      </c>
      <c r="M781" s="18">
        <v>93.795999010057201</v>
      </c>
      <c r="N781" s="18"/>
      <c r="O781" s="18"/>
      <c r="P781" s="3">
        <v>0</v>
      </c>
      <c r="Q781" s="3">
        <v>0</v>
      </c>
      <c r="R781" s="3">
        <v>0</v>
      </c>
      <c r="S781" s="3"/>
      <c r="T781" s="3" t="b">
        <v>0</v>
      </c>
      <c r="U781" s="3">
        <v>4390</v>
      </c>
      <c r="V781" s="3">
        <v>0</v>
      </c>
      <c r="W781" s="3">
        <v>2092</v>
      </c>
      <c r="X781" s="3">
        <v>11.04</v>
      </c>
    </row>
    <row r="782" spans="1:24" hidden="1">
      <c r="A782" s="1">
        <v>45047</v>
      </c>
      <c r="B782" s="1" t="s">
        <v>1047</v>
      </c>
      <c r="C782" s="2" t="s">
        <v>1037</v>
      </c>
      <c r="D782" s="2" t="s">
        <v>279</v>
      </c>
      <c r="E782" s="2" t="s">
        <v>737</v>
      </c>
      <c r="F782" s="2" t="s">
        <v>667</v>
      </c>
      <c r="G782" s="2" t="s">
        <v>146</v>
      </c>
      <c r="H782" s="2" t="s">
        <v>359</v>
      </c>
      <c r="I782" t="s">
        <v>198</v>
      </c>
      <c r="J782" s="18">
        <v>6599.15</v>
      </c>
      <c r="K782" s="18"/>
      <c r="L782" s="18">
        <v>6806.16372184386</v>
      </c>
      <c r="M782" s="18">
        <v>-357.16462324994399</v>
      </c>
      <c r="N782" s="18"/>
      <c r="O782" s="18"/>
      <c r="P782" s="3">
        <v>0</v>
      </c>
      <c r="Q782" s="3">
        <v>0</v>
      </c>
      <c r="R782" s="3">
        <v>0</v>
      </c>
      <c r="S782" s="3"/>
      <c r="T782" s="3" t="b">
        <v>0</v>
      </c>
      <c r="U782" s="3">
        <v>4148</v>
      </c>
      <c r="V782" s="3">
        <v>1</v>
      </c>
      <c r="W782" s="3">
        <v>1246</v>
      </c>
      <c r="X782" s="3">
        <v>10.65</v>
      </c>
    </row>
    <row r="783" spans="1:24" hidden="1">
      <c r="A783" s="1">
        <v>45078</v>
      </c>
      <c r="B783" s="1" t="s">
        <v>1048</v>
      </c>
      <c r="C783" s="2" t="s">
        <v>1037</v>
      </c>
      <c r="D783" s="2" t="s">
        <v>279</v>
      </c>
      <c r="E783" s="2" t="s">
        <v>737</v>
      </c>
      <c r="F783" s="2" t="s">
        <v>667</v>
      </c>
      <c r="G783" s="2" t="s">
        <v>146</v>
      </c>
      <c r="H783" s="2" t="s">
        <v>359</v>
      </c>
      <c r="I783" t="s">
        <v>198</v>
      </c>
      <c r="J783" s="18">
        <v>7123.75</v>
      </c>
      <c r="K783" s="18"/>
      <c r="L783" s="18">
        <v>6784.2172052003598</v>
      </c>
      <c r="M783" s="18">
        <v>-1293.5308110194201</v>
      </c>
      <c r="N783" s="18"/>
      <c r="O783" s="18"/>
      <c r="P783" s="3">
        <v>0</v>
      </c>
      <c r="Q783" s="3">
        <v>0</v>
      </c>
      <c r="R783" s="3">
        <v>0</v>
      </c>
      <c r="S783" s="3"/>
      <c r="T783" s="3" t="b">
        <v>0</v>
      </c>
      <c r="U783" s="3">
        <v>4676</v>
      </c>
      <c r="V783" s="3">
        <v>1</v>
      </c>
      <c r="W783" s="3">
        <v>2284</v>
      </c>
      <c r="X783" s="3">
        <v>10.43</v>
      </c>
    </row>
    <row r="784" spans="1:24" hidden="1">
      <c r="A784" s="1">
        <v>45108</v>
      </c>
      <c r="B784" s="1" t="s">
        <v>1049</v>
      </c>
      <c r="C784" s="2" t="s">
        <v>1037</v>
      </c>
      <c r="D784" s="2" t="s">
        <v>279</v>
      </c>
      <c r="E784" s="2" t="s">
        <v>737</v>
      </c>
      <c r="F784" s="2" t="s">
        <v>667</v>
      </c>
      <c r="G784" s="2" t="s">
        <v>146</v>
      </c>
      <c r="H784" s="2" t="s">
        <v>359</v>
      </c>
      <c r="I784" t="s">
        <v>198</v>
      </c>
      <c r="J784" s="18">
        <v>7234.53</v>
      </c>
      <c r="K784" s="18"/>
      <c r="L784" s="18">
        <v>6762.9786413330403</v>
      </c>
      <c r="M784" s="18">
        <v>-100.606274557623</v>
      </c>
      <c r="N784" s="18"/>
      <c r="O784" s="18"/>
      <c r="P784" s="3">
        <v>0</v>
      </c>
      <c r="Q784" s="3">
        <v>0</v>
      </c>
      <c r="R784" s="3">
        <v>0</v>
      </c>
      <c r="S784" s="3"/>
      <c r="T784" s="3" t="b">
        <v>0</v>
      </c>
      <c r="U784" s="3">
        <v>3627</v>
      </c>
      <c r="V784" s="3">
        <v>0</v>
      </c>
      <c r="W784" s="3">
        <v>1787</v>
      </c>
      <c r="X784" s="3">
        <v>11.09</v>
      </c>
    </row>
    <row r="785" spans="1:24" hidden="1">
      <c r="A785" s="1">
        <v>45139</v>
      </c>
      <c r="B785" s="1" t="s">
        <v>1050</v>
      </c>
      <c r="C785" s="2" t="s">
        <v>1037</v>
      </c>
      <c r="D785" s="2" t="s">
        <v>279</v>
      </c>
      <c r="E785" s="2" t="s">
        <v>737</v>
      </c>
      <c r="F785" s="2" t="s">
        <v>667</v>
      </c>
      <c r="G785" s="2" t="s">
        <v>146</v>
      </c>
      <c r="H785" s="2" t="s">
        <v>359</v>
      </c>
      <c r="I785" t="s">
        <v>198</v>
      </c>
      <c r="J785" s="18">
        <v>7414.3</v>
      </c>
      <c r="K785" s="18"/>
      <c r="L785" s="18">
        <v>6741.0321262092202</v>
      </c>
      <c r="M785" s="18">
        <v>66.882961581575103</v>
      </c>
      <c r="N785" s="18"/>
      <c r="O785" s="18"/>
      <c r="P785" s="3">
        <v>0</v>
      </c>
      <c r="Q785" s="3">
        <v>0</v>
      </c>
      <c r="R785" s="3">
        <v>0</v>
      </c>
      <c r="S785" s="3"/>
      <c r="T785" s="3" t="b">
        <v>0</v>
      </c>
      <c r="U785" s="3">
        <v>2027</v>
      </c>
      <c r="V785" s="3">
        <v>0</v>
      </c>
      <c r="W785" s="3">
        <v>1078</v>
      </c>
      <c r="X785" s="3">
        <v>10.36</v>
      </c>
    </row>
    <row r="786" spans="1:24" hidden="1">
      <c r="A786" s="1">
        <v>45170</v>
      </c>
      <c r="B786" s="1" t="s">
        <v>1051</v>
      </c>
      <c r="C786" s="2" t="s">
        <v>1037</v>
      </c>
      <c r="D786" s="2" t="s">
        <v>279</v>
      </c>
      <c r="E786" s="2" t="s">
        <v>737</v>
      </c>
      <c r="F786" s="2" t="s">
        <v>667</v>
      </c>
      <c r="G786" s="2" t="s">
        <v>146</v>
      </c>
      <c r="H786" s="2" t="s">
        <v>359</v>
      </c>
      <c r="I786" t="s">
        <v>198</v>
      </c>
      <c r="J786" s="18">
        <v>7602.83</v>
      </c>
      <c r="K786" s="18"/>
      <c r="L786" s="18">
        <v>6719.0856117805197</v>
      </c>
      <c r="M786" s="18">
        <v>494.01487919771898</v>
      </c>
      <c r="N786" s="18"/>
      <c r="O786" s="18"/>
      <c r="P786" s="3">
        <v>0</v>
      </c>
      <c r="Q786" s="3">
        <v>0</v>
      </c>
      <c r="R786" s="3">
        <v>0</v>
      </c>
      <c r="S786" s="3"/>
      <c r="T786" s="3" t="b">
        <v>0</v>
      </c>
      <c r="U786" s="3">
        <v>4984</v>
      </c>
      <c r="V786" s="3">
        <v>0</v>
      </c>
      <c r="W786" s="3">
        <v>2681</v>
      </c>
      <c r="X786" s="3">
        <v>11.35</v>
      </c>
    </row>
    <row r="787" spans="1:24" hidden="1">
      <c r="A787" s="1">
        <v>45200</v>
      </c>
      <c r="B787" s="1" t="s">
        <v>1052</v>
      </c>
      <c r="C787" s="2" t="s">
        <v>1037</v>
      </c>
      <c r="D787" s="2" t="s">
        <v>279</v>
      </c>
      <c r="E787" s="2" t="s">
        <v>737</v>
      </c>
      <c r="F787" s="2" t="s">
        <v>667</v>
      </c>
      <c r="G787" s="2" t="s">
        <v>146</v>
      </c>
      <c r="H787" s="2" t="s">
        <v>359</v>
      </c>
      <c r="I787" t="s">
        <v>198</v>
      </c>
      <c r="J787" s="18">
        <v>8136.12</v>
      </c>
      <c r="K787" s="18"/>
      <c r="L787" s="18">
        <v>6697.8470485947601</v>
      </c>
      <c r="M787" s="18">
        <v>1448.86065274014</v>
      </c>
      <c r="N787" s="18"/>
      <c r="O787" s="18"/>
      <c r="P787" s="3">
        <v>0</v>
      </c>
      <c r="Q787" s="3">
        <v>0</v>
      </c>
      <c r="R787" s="3">
        <v>0</v>
      </c>
      <c r="S787" s="3"/>
      <c r="T787" s="3" t="b">
        <v>0</v>
      </c>
      <c r="U787" s="3">
        <v>3985</v>
      </c>
      <c r="V787" s="3">
        <v>0</v>
      </c>
      <c r="W787" s="3">
        <v>1622</v>
      </c>
      <c r="X787" s="3">
        <v>40</v>
      </c>
    </row>
    <row r="788" spans="1:24" hidden="1">
      <c r="A788" s="1">
        <v>45231</v>
      </c>
      <c r="B788" s="1" t="s">
        <v>1053</v>
      </c>
      <c r="C788" s="2" t="s">
        <v>1037</v>
      </c>
      <c r="D788" s="2" t="s">
        <v>279</v>
      </c>
      <c r="E788" s="2" t="s">
        <v>737</v>
      </c>
      <c r="F788" s="2" t="s">
        <v>667</v>
      </c>
      <c r="G788" s="2" t="s">
        <v>146</v>
      </c>
      <c r="H788" s="2" t="s">
        <v>359</v>
      </c>
      <c r="I788" t="s">
        <v>198</v>
      </c>
      <c r="J788" s="18">
        <v>8125.08</v>
      </c>
      <c r="K788" s="18"/>
      <c r="L788" s="18">
        <v>6675.9005333863897</v>
      </c>
      <c r="M788" s="18">
        <v>592.96565812339395</v>
      </c>
      <c r="N788" s="18"/>
      <c r="O788" s="18"/>
      <c r="P788" s="3">
        <v>0</v>
      </c>
      <c r="Q788" s="3">
        <v>0</v>
      </c>
      <c r="R788" s="3">
        <v>0</v>
      </c>
      <c r="S788" s="3"/>
      <c r="T788" s="3" t="b">
        <v>0</v>
      </c>
      <c r="U788" s="3">
        <v>3560</v>
      </c>
      <c r="V788" s="3">
        <v>0</v>
      </c>
      <c r="W788" s="3">
        <v>2793</v>
      </c>
      <c r="X788" s="3">
        <v>9.31</v>
      </c>
    </row>
    <row r="789" spans="1:24" hidden="1">
      <c r="A789" s="1">
        <v>45261</v>
      </c>
      <c r="B789" s="1" t="s">
        <v>1054</v>
      </c>
      <c r="C789" s="2" t="s">
        <v>1037</v>
      </c>
      <c r="D789" s="2" t="s">
        <v>279</v>
      </c>
      <c r="E789" s="2" t="s">
        <v>737</v>
      </c>
      <c r="F789" s="2" t="s">
        <v>667</v>
      </c>
      <c r="G789" s="2" t="s">
        <v>146</v>
      </c>
      <c r="H789" s="2" t="s">
        <v>359</v>
      </c>
      <c r="I789" t="s">
        <v>198</v>
      </c>
      <c r="J789" s="18">
        <v>8325.4</v>
      </c>
      <c r="K789" s="18"/>
      <c r="L789" s="18">
        <v>6654.6618921090803</v>
      </c>
      <c r="M789" s="18">
        <v>644.59056808707203</v>
      </c>
      <c r="N789" s="18"/>
      <c r="O789" s="18"/>
      <c r="P789" s="3">
        <v>0</v>
      </c>
      <c r="Q789" s="3">
        <v>0</v>
      </c>
      <c r="R789" s="3">
        <v>0</v>
      </c>
      <c r="S789" s="3"/>
      <c r="T789" s="3" t="b">
        <v>1</v>
      </c>
      <c r="U789" s="3">
        <v>2057</v>
      </c>
      <c r="V789" s="3">
        <v>0</v>
      </c>
      <c r="W789" s="3">
        <v>2628</v>
      </c>
      <c r="X789" s="3">
        <v>10.96</v>
      </c>
    </row>
    <row r="790" spans="1:24" hidden="1">
      <c r="A790" s="1">
        <v>45292</v>
      </c>
      <c r="B790" s="1" t="s">
        <v>1055</v>
      </c>
      <c r="C790" s="2" t="s">
        <v>1037</v>
      </c>
      <c r="D790" s="2" t="s">
        <v>279</v>
      </c>
      <c r="E790" s="2" t="s">
        <v>737</v>
      </c>
      <c r="F790" s="2" t="s">
        <v>667</v>
      </c>
      <c r="G790" s="2" t="s">
        <v>146</v>
      </c>
      <c r="H790" s="2" t="s">
        <v>359</v>
      </c>
      <c r="I790" t="s">
        <v>198</v>
      </c>
      <c r="J790" s="18">
        <v>8031.26</v>
      </c>
      <c r="K790" s="18"/>
      <c r="L790" s="18">
        <v>6632.7152939699599</v>
      </c>
      <c r="M790" s="18">
        <v>81.356511562949706</v>
      </c>
      <c r="N790" s="18"/>
      <c r="O790" s="18"/>
      <c r="P790" s="3">
        <v>0</v>
      </c>
      <c r="Q790" s="3">
        <v>0</v>
      </c>
      <c r="R790" s="3">
        <v>0</v>
      </c>
      <c r="S790" s="3"/>
      <c r="T790" s="3" t="b">
        <v>0</v>
      </c>
      <c r="U790" s="3">
        <v>3521</v>
      </c>
      <c r="V790" s="3">
        <v>0</v>
      </c>
      <c r="W790" s="3">
        <v>1524</v>
      </c>
      <c r="X790" s="3">
        <v>11.02</v>
      </c>
    </row>
    <row r="791" spans="1:24" hidden="1">
      <c r="A791" s="1">
        <v>45323</v>
      </c>
      <c r="B791" s="1" t="s">
        <v>1056</v>
      </c>
      <c r="C791" s="2" t="s">
        <v>1037</v>
      </c>
      <c r="D791" s="2" t="s">
        <v>279</v>
      </c>
      <c r="E791" s="2" t="s">
        <v>737</v>
      </c>
      <c r="F791" s="2" t="s">
        <v>667</v>
      </c>
      <c r="G791" s="2" t="s">
        <v>146</v>
      </c>
      <c r="H791" s="2" t="s">
        <v>359</v>
      </c>
      <c r="I791" t="s">
        <v>198</v>
      </c>
      <c r="J791" s="18">
        <v>7856.89</v>
      </c>
      <c r="K791" s="18"/>
      <c r="L791" s="18">
        <v>6610.7686939621999</v>
      </c>
      <c r="M791" s="18">
        <v>435.83610056511202</v>
      </c>
      <c r="N791" s="18"/>
      <c r="O791" s="18"/>
      <c r="P791" s="3">
        <v>0</v>
      </c>
      <c r="Q791" s="3">
        <v>0</v>
      </c>
      <c r="R791" s="3">
        <v>0</v>
      </c>
      <c r="S791" s="3"/>
      <c r="T791" s="3" t="b">
        <v>0</v>
      </c>
      <c r="U791" s="3">
        <v>2296</v>
      </c>
      <c r="V791" s="3">
        <v>0</v>
      </c>
      <c r="W791" s="3">
        <v>1771</v>
      </c>
      <c r="X791" s="3">
        <v>10.08</v>
      </c>
    </row>
    <row r="792" spans="1:24" hidden="1">
      <c r="A792" s="1">
        <v>45352</v>
      </c>
      <c r="B792" s="1" t="s">
        <v>1057</v>
      </c>
      <c r="C792" s="2" t="s">
        <v>1037</v>
      </c>
      <c r="D792" s="2" t="s">
        <v>279</v>
      </c>
      <c r="E792" s="2" t="s">
        <v>737</v>
      </c>
      <c r="F792" s="2" t="s">
        <v>667</v>
      </c>
      <c r="G792" s="2" t="s">
        <v>146</v>
      </c>
      <c r="H792" s="2" t="s">
        <v>359</v>
      </c>
      <c r="I792" t="s">
        <v>198</v>
      </c>
      <c r="J792" s="18">
        <v>3326.95</v>
      </c>
      <c r="K792" s="18"/>
      <c r="L792" s="18">
        <v>6590.2380031420398</v>
      </c>
      <c r="M792" s="18">
        <v>-1974.62883185175</v>
      </c>
      <c r="N792" s="18"/>
      <c r="O792" s="18"/>
      <c r="P792" s="3">
        <v>0</v>
      </c>
      <c r="Q792" s="3">
        <v>0</v>
      </c>
      <c r="R792" s="3">
        <v>1</v>
      </c>
      <c r="S792" s="3"/>
      <c r="T792" s="3" t="b">
        <v>0</v>
      </c>
      <c r="U792" s="3">
        <v>4181</v>
      </c>
      <c r="V792" s="3">
        <v>0</v>
      </c>
      <c r="W792" s="3">
        <v>1937</v>
      </c>
      <c r="X792" s="3">
        <v>8.99</v>
      </c>
    </row>
    <row r="793" spans="1:24" hidden="1">
      <c r="A793" s="1">
        <v>45383</v>
      </c>
      <c r="B793" s="1" t="s">
        <v>1058</v>
      </c>
      <c r="C793" s="2" t="s">
        <v>1037</v>
      </c>
      <c r="D793" s="2" t="s">
        <v>279</v>
      </c>
      <c r="E793" s="2" t="s">
        <v>737</v>
      </c>
      <c r="F793" s="2" t="s">
        <v>667</v>
      </c>
      <c r="G793" s="2" t="s">
        <v>146</v>
      </c>
      <c r="H793" s="2" t="s">
        <v>359</v>
      </c>
      <c r="I793" t="s">
        <v>198</v>
      </c>
      <c r="J793" s="18">
        <v>7420.48</v>
      </c>
      <c r="K793" s="18"/>
      <c r="L793" s="18">
        <v>6568.2914013044601</v>
      </c>
      <c r="M793" s="18">
        <v>366.293710439108</v>
      </c>
      <c r="N793" s="18"/>
      <c r="O793" s="18"/>
      <c r="P793" s="3">
        <v>0</v>
      </c>
      <c r="Q793" s="3">
        <v>0</v>
      </c>
      <c r="R793" s="3">
        <v>0</v>
      </c>
      <c r="S793" s="3"/>
      <c r="T793" s="3" t="b">
        <v>0</v>
      </c>
      <c r="U793" s="3">
        <v>4296</v>
      </c>
      <c r="V793" s="3">
        <v>0</v>
      </c>
      <c r="W793" s="3">
        <v>2644</v>
      </c>
      <c r="X793" s="3">
        <v>8.77</v>
      </c>
    </row>
    <row r="794" spans="1:24" hidden="1">
      <c r="A794" s="1">
        <v>45413</v>
      </c>
      <c r="B794" s="1" t="s">
        <v>1059</v>
      </c>
      <c r="C794" s="2" t="s">
        <v>1037</v>
      </c>
      <c r="D794" s="2" t="s">
        <v>279</v>
      </c>
      <c r="E794" s="2" t="s">
        <v>737</v>
      </c>
      <c r="F794" s="2" t="s">
        <v>667</v>
      </c>
      <c r="G794" s="2" t="s">
        <v>146</v>
      </c>
      <c r="H794" s="2" t="s">
        <v>359</v>
      </c>
      <c r="I794" t="s">
        <v>198</v>
      </c>
      <c r="J794" s="18">
        <v>5920.85</v>
      </c>
      <c r="K794" s="18"/>
      <c r="L794" s="18">
        <v>6547.0527543648795</v>
      </c>
      <c r="M794" s="18">
        <v>-638.03673176052803</v>
      </c>
      <c r="N794" s="18"/>
      <c r="O794" s="18"/>
      <c r="P794" s="3">
        <v>0</v>
      </c>
      <c r="Q794" s="3">
        <v>1</v>
      </c>
      <c r="R794" s="3">
        <v>0</v>
      </c>
      <c r="S794" s="3"/>
      <c r="T794" s="3" t="b">
        <v>0</v>
      </c>
      <c r="U794" s="3">
        <v>4597</v>
      </c>
      <c r="V794" s="3">
        <v>0</v>
      </c>
      <c r="W794" s="3">
        <v>2353</v>
      </c>
      <c r="X794" s="3">
        <v>11.66</v>
      </c>
    </row>
    <row r="795" spans="1:24" hidden="1">
      <c r="A795" s="1">
        <v>45444</v>
      </c>
      <c r="B795" s="1" t="s">
        <v>1060</v>
      </c>
      <c r="C795" s="2" t="s">
        <v>1037</v>
      </c>
      <c r="D795" s="2" t="s">
        <v>279</v>
      </c>
      <c r="E795" s="2" t="s">
        <v>737</v>
      </c>
      <c r="F795" s="2" t="s">
        <v>667</v>
      </c>
      <c r="G795" s="2" t="s">
        <v>146</v>
      </c>
      <c r="H795" s="2" t="s">
        <v>359</v>
      </c>
      <c r="I795" t="s">
        <v>198</v>
      </c>
      <c r="J795" s="18">
        <v>2975.57</v>
      </c>
      <c r="K795" s="18"/>
      <c r="L795" s="18">
        <v>6525.1061525273099</v>
      </c>
      <c r="M795" s="18">
        <v>-1043.7246310088101</v>
      </c>
      <c r="N795" s="18"/>
      <c r="O795" s="18"/>
      <c r="P795" s="3">
        <v>0</v>
      </c>
      <c r="Q795" s="3">
        <v>1</v>
      </c>
      <c r="R795" s="3">
        <v>1</v>
      </c>
      <c r="S795" s="3"/>
      <c r="T795" s="3" t="b">
        <v>0</v>
      </c>
      <c r="U795" s="3">
        <v>2901</v>
      </c>
      <c r="V795" s="3">
        <v>0</v>
      </c>
      <c r="W795" s="3">
        <v>2212</v>
      </c>
      <c r="X795" s="3">
        <v>9.25</v>
      </c>
    </row>
    <row r="796" spans="1:24" hidden="1">
      <c r="A796" s="1">
        <v>45474</v>
      </c>
      <c r="B796" s="1" t="s">
        <v>1061</v>
      </c>
      <c r="C796" s="2" t="s">
        <v>1037</v>
      </c>
      <c r="D796" s="2" t="s">
        <v>279</v>
      </c>
      <c r="E796" s="2" t="s">
        <v>737</v>
      </c>
      <c r="F796" s="2" t="s">
        <v>667</v>
      </c>
      <c r="G796" s="2" t="s">
        <v>146</v>
      </c>
      <c r="H796" s="2" t="s">
        <v>359</v>
      </c>
      <c r="I796" t="s">
        <v>198</v>
      </c>
      <c r="J796" s="18">
        <v>5921.48</v>
      </c>
      <c r="K796" s="18">
        <v>7341.88</v>
      </c>
      <c r="L796" s="18">
        <v>6503.8675055877202</v>
      </c>
      <c r="M796" s="18">
        <v>-311.05510069167701</v>
      </c>
      <c r="N796" s="18">
        <v>7541.88</v>
      </c>
      <c r="O796" s="18">
        <v>7141.88</v>
      </c>
      <c r="P796" s="3">
        <v>0</v>
      </c>
      <c r="Q796" s="3">
        <v>1</v>
      </c>
      <c r="R796" s="3">
        <v>0</v>
      </c>
      <c r="S796" s="3"/>
      <c r="T796" s="3" t="b">
        <v>0</v>
      </c>
      <c r="U796" s="3">
        <v>3964</v>
      </c>
      <c r="V796" s="3">
        <v>0</v>
      </c>
      <c r="W796" s="3">
        <v>2118</v>
      </c>
      <c r="X796" s="3">
        <v>10.32</v>
      </c>
    </row>
    <row r="797" spans="1:24" hidden="1">
      <c r="A797" s="1">
        <v>45505</v>
      </c>
      <c r="B797" s="1" t="s">
        <v>1062</v>
      </c>
      <c r="C797" s="2" t="s">
        <v>1037</v>
      </c>
      <c r="D797" s="2" t="s">
        <v>279</v>
      </c>
      <c r="E797" s="2" t="s">
        <v>737</v>
      </c>
      <c r="F797" s="2" t="s">
        <v>667</v>
      </c>
      <c r="G797" s="2" t="s">
        <v>146</v>
      </c>
      <c r="H797" s="2" t="s">
        <v>359</v>
      </c>
      <c r="I797" t="s">
        <v>198</v>
      </c>
      <c r="J797" s="18">
        <v>6153.99</v>
      </c>
      <c r="K797" s="18">
        <v>7575.62</v>
      </c>
      <c r="L797" s="18">
        <v>6481.9209037501496</v>
      </c>
      <c r="M797" s="18">
        <v>296.97563955026601</v>
      </c>
      <c r="N797" s="18">
        <v>7775.62</v>
      </c>
      <c r="O797" s="18">
        <v>7375.62</v>
      </c>
      <c r="P797" s="3">
        <v>0</v>
      </c>
      <c r="Q797" s="3">
        <v>1</v>
      </c>
      <c r="R797" s="3">
        <v>0</v>
      </c>
      <c r="S797" s="3"/>
      <c r="T797" s="3" t="b">
        <v>0</v>
      </c>
      <c r="U797" s="3">
        <v>3098</v>
      </c>
      <c r="V797" s="3">
        <v>0</v>
      </c>
      <c r="W797" s="3">
        <v>1616</v>
      </c>
      <c r="X797" s="3">
        <v>10.3</v>
      </c>
    </row>
    <row r="798" spans="1:24" hidden="1">
      <c r="A798" s="1">
        <v>45536</v>
      </c>
      <c r="B798" s="1" t="s">
        <v>1063</v>
      </c>
      <c r="C798" s="2" t="s">
        <v>1037</v>
      </c>
      <c r="D798" s="2" t="s">
        <v>279</v>
      </c>
      <c r="E798" s="2" t="s">
        <v>737</v>
      </c>
      <c r="F798" s="2" t="s">
        <v>667</v>
      </c>
      <c r="G798" s="2" t="s">
        <v>146</v>
      </c>
      <c r="H798" s="2" t="s">
        <v>359</v>
      </c>
      <c r="I798" t="s">
        <v>198</v>
      </c>
      <c r="J798" s="18">
        <v>6398.51</v>
      </c>
      <c r="K798" s="18">
        <v>7738.32</v>
      </c>
      <c r="L798" s="18">
        <v>6459.9743019125799</v>
      </c>
      <c r="M798" s="18">
        <v>297.71995242275199</v>
      </c>
      <c r="N798" s="18">
        <v>7938.32</v>
      </c>
      <c r="O798" s="18">
        <v>7538.32</v>
      </c>
      <c r="P798" s="3">
        <v>0</v>
      </c>
      <c r="Q798" s="3">
        <v>1</v>
      </c>
      <c r="R798" s="3">
        <v>0</v>
      </c>
      <c r="S798" s="3"/>
      <c r="T798" s="3" t="b">
        <v>0</v>
      </c>
      <c r="U798" s="3">
        <v>3677</v>
      </c>
      <c r="V798" s="3">
        <v>0</v>
      </c>
      <c r="W798" s="3">
        <v>2031</v>
      </c>
      <c r="X798" s="3">
        <v>9.75</v>
      </c>
    </row>
    <row r="799" spans="1:24" hidden="1">
      <c r="A799" s="1">
        <v>45566</v>
      </c>
      <c r="B799" s="1" t="s">
        <v>1064</v>
      </c>
      <c r="C799" s="2" t="s">
        <v>1037</v>
      </c>
      <c r="D799" s="2" t="s">
        <v>279</v>
      </c>
      <c r="E799" s="2" t="s">
        <v>737</v>
      </c>
      <c r="F799" s="2" t="s">
        <v>667</v>
      </c>
      <c r="G799" s="2" t="s">
        <v>146</v>
      </c>
      <c r="H799" s="2" t="s">
        <v>359</v>
      </c>
      <c r="I799" t="s">
        <v>224</v>
      </c>
      <c r="J799" s="18"/>
      <c r="K799" s="18">
        <v>7609.52</v>
      </c>
      <c r="L799" s="18">
        <v>6438.7356549729902</v>
      </c>
      <c r="M799" s="18">
        <v>1668.70872418202</v>
      </c>
      <c r="N799" s="18">
        <v>7809.52</v>
      </c>
      <c r="O799" s="18">
        <v>7409.52</v>
      </c>
      <c r="P799" s="3"/>
      <c r="Q799" s="3"/>
      <c r="R799" s="3"/>
      <c r="S799" s="3"/>
      <c r="T799" s="3"/>
      <c r="U799" s="3"/>
      <c r="V799" s="3"/>
      <c r="W799" s="3">
        <v>1066</v>
      </c>
      <c r="X799" s="3">
        <v>10.74</v>
      </c>
    </row>
    <row r="800" spans="1:24" hidden="1">
      <c r="A800" s="1">
        <v>45597</v>
      </c>
      <c r="B800" s="1" t="s">
        <v>1065</v>
      </c>
      <c r="C800" s="2" t="s">
        <v>1037</v>
      </c>
      <c r="D800" s="2" t="s">
        <v>279</v>
      </c>
      <c r="E800" s="2" t="s">
        <v>737</v>
      </c>
      <c r="F800" s="2" t="s">
        <v>667</v>
      </c>
      <c r="G800" s="2" t="s">
        <v>146</v>
      </c>
      <c r="H800" s="2" t="s">
        <v>359</v>
      </c>
      <c r="I800" t="s">
        <v>224</v>
      </c>
      <c r="J800" s="18"/>
      <c r="K800" s="18">
        <v>8324.83</v>
      </c>
      <c r="L800" s="18">
        <v>6416.7890531354196</v>
      </c>
      <c r="M800" s="18">
        <v>361.60316174211698</v>
      </c>
      <c r="N800" s="18">
        <v>8524.83</v>
      </c>
      <c r="O800" s="18">
        <v>8124.83</v>
      </c>
      <c r="P800" s="3"/>
      <c r="Q800" s="3"/>
      <c r="R800" s="3"/>
      <c r="S800" s="3"/>
      <c r="T800" s="3"/>
      <c r="U800" s="3"/>
      <c r="V800" s="3"/>
      <c r="W800" s="3">
        <v>2519</v>
      </c>
      <c r="X800" s="3">
        <v>9.16</v>
      </c>
    </row>
    <row r="801" spans="1:24" hidden="1">
      <c r="A801" s="1">
        <v>45627</v>
      </c>
      <c r="B801" s="1" t="s">
        <v>1066</v>
      </c>
      <c r="C801" s="2" t="s">
        <v>1037</v>
      </c>
      <c r="D801" s="2" t="s">
        <v>279</v>
      </c>
      <c r="E801" s="2" t="s">
        <v>737</v>
      </c>
      <c r="F801" s="2" t="s">
        <v>667</v>
      </c>
      <c r="G801" s="2" t="s">
        <v>146</v>
      </c>
      <c r="H801" s="2" t="s">
        <v>359</v>
      </c>
      <c r="I801" t="s">
        <v>224</v>
      </c>
      <c r="J801" s="18"/>
      <c r="K801" s="18">
        <v>8132.72</v>
      </c>
      <c r="L801" s="18">
        <v>6395.55040619583</v>
      </c>
      <c r="M801" s="18">
        <v>854.72156067394201</v>
      </c>
      <c r="N801" s="18">
        <v>8332.7199999999993</v>
      </c>
      <c r="O801" s="18">
        <v>7932.72</v>
      </c>
      <c r="P801" s="3"/>
      <c r="Q801" s="3"/>
      <c r="R801" s="3"/>
      <c r="S801" s="3"/>
      <c r="T801" s="3"/>
      <c r="U801" s="3"/>
      <c r="V801" s="3"/>
      <c r="W801" s="3">
        <v>1190</v>
      </c>
      <c r="X801" s="3">
        <v>8.83</v>
      </c>
    </row>
    <row r="802" spans="1:24" hidden="1">
      <c r="A802" s="1">
        <v>44562</v>
      </c>
      <c r="B802" s="1" t="s">
        <v>1067</v>
      </c>
      <c r="C802" s="2" t="s">
        <v>1068</v>
      </c>
      <c r="D802" s="2" t="s">
        <v>279</v>
      </c>
      <c r="E802" s="2" t="s">
        <v>737</v>
      </c>
      <c r="F802" s="2" t="s">
        <v>667</v>
      </c>
      <c r="G802" s="2" t="s">
        <v>146</v>
      </c>
      <c r="H802" s="2" t="s">
        <v>1069</v>
      </c>
      <c r="I802" t="s">
        <v>198</v>
      </c>
      <c r="J802" s="18">
        <v>10585.47</v>
      </c>
      <c r="K802" s="18"/>
      <c r="L802" s="18">
        <v>10591.3901236499</v>
      </c>
      <c r="M802" s="18">
        <v>327.09858270784298</v>
      </c>
      <c r="N802" s="18"/>
      <c r="O802" s="18"/>
      <c r="P802" s="3">
        <v>0</v>
      </c>
      <c r="Q802" s="3">
        <v>0</v>
      </c>
      <c r="R802" s="3">
        <v>0</v>
      </c>
      <c r="S802" s="3"/>
      <c r="T802" s="3" t="b">
        <v>0</v>
      </c>
      <c r="U802" s="3">
        <v>2855</v>
      </c>
      <c r="V802" s="3">
        <v>0</v>
      </c>
      <c r="W802" s="3">
        <v>2130</v>
      </c>
      <c r="X802" s="3">
        <v>12.9</v>
      </c>
    </row>
    <row r="803" spans="1:24" hidden="1">
      <c r="A803" s="1">
        <v>44593</v>
      </c>
      <c r="B803" s="1" t="s">
        <v>1070</v>
      </c>
      <c r="C803" s="2" t="s">
        <v>1068</v>
      </c>
      <c r="D803" s="2" t="s">
        <v>279</v>
      </c>
      <c r="E803" s="2" t="s">
        <v>737</v>
      </c>
      <c r="F803" s="2" t="s">
        <v>667</v>
      </c>
      <c r="G803" s="2" t="s">
        <v>146</v>
      </c>
      <c r="H803" s="2" t="s">
        <v>1069</v>
      </c>
      <c r="I803" t="s">
        <v>198</v>
      </c>
      <c r="J803" s="18">
        <v>10937.19</v>
      </c>
      <c r="K803" s="18"/>
      <c r="L803" s="18">
        <v>10701.993809842401</v>
      </c>
      <c r="M803" s="18">
        <v>198.443097322955</v>
      </c>
      <c r="N803" s="18"/>
      <c r="O803" s="18"/>
      <c r="P803" s="3">
        <v>0</v>
      </c>
      <c r="Q803" s="3">
        <v>0</v>
      </c>
      <c r="R803" s="3">
        <v>0</v>
      </c>
      <c r="S803" s="3"/>
      <c r="T803" s="3" t="b">
        <v>0</v>
      </c>
      <c r="U803" s="3">
        <v>3812</v>
      </c>
      <c r="V803" s="3">
        <v>0</v>
      </c>
      <c r="W803" s="3">
        <v>2681</v>
      </c>
      <c r="X803" s="3">
        <v>11.45</v>
      </c>
    </row>
    <row r="804" spans="1:24" hidden="1">
      <c r="A804" s="1">
        <v>44621</v>
      </c>
      <c r="B804" s="1" t="s">
        <v>1071</v>
      </c>
      <c r="C804" s="2" t="s">
        <v>1068</v>
      </c>
      <c r="D804" s="2" t="s">
        <v>279</v>
      </c>
      <c r="E804" s="2" t="s">
        <v>737</v>
      </c>
      <c r="F804" s="2" t="s">
        <v>667</v>
      </c>
      <c r="G804" s="2" t="s">
        <v>146</v>
      </c>
      <c r="H804" s="2" t="s">
        <v>1069</v>
      </c>
      <c r="I804" t="s">
        <v>198</v>
      </c>
      <c r="J804" s="18">
        <v>11116.4</v>
      </c>
      <c r="K804" s="18"/>
      <c r="L804" s="18">
        <v>10801.893913177901</v>
      </c>
      <c r="M804" s="18">
        <v>-32.744526142711699</v>
      </c>
      <c r="N804" s="18"/>
      <c r="O804" s="18"/>
      <c r="P804" s="3">
        <v>0</v>
      </c>
      <c r="Q804" s="3">
        <v>0</v>
      </c>
      <c r="R804" s="3">
        <v>0</v>
      </c>
      <c r="S804" s="3"/>
      <c r="T804" s="3" t="b">
        <v>0</v>
      </c>
      <c r="U804" s="3">
        <v>4866</v>
      </c>
      <c r="V804" s="3">
        <v>0</v>
      </c>
      <c r="W804" s="3">
        <v>1419</v>
      </c>
      <c r="X804" s="3">
        <v>11.93</v>
      </c>
    </row>
    <row r="805" spans="1:24" hidden="1">
      <c r="A805" s="1">
        <v>44652</v>
      </c>
      <c r="B805" s="1" t="s">
        <v>1072</v>
      </c>
      <c r="C805" s="2" t="s">
        <v>1068</v>
      </c>
      <c r="D805" s="2" t="s">
        <v>279</v>
      </c>
      <c r="E805" s="2" t="s">
        <v>737</v>
      </c>
      <c r="F805" s="2" t="s">
        <v>667</v>
      </c>
      <c r="G805" s="2" t="s">
        <v>146</v>
      </c>
      <c r="H805" s="2" t="s">
        <v>1069</v>
      </c>
      <c r="I805" t="s">
        <v>198</v>
      </c>
      <c r="J805" s="18">
        <v>11399.16</v>
      </c>
      <c r="K805" s="18"/>
      <c r="L805" s="18">
        <v>10912.497599038399</v>
      </c>
      <c r="M805" s="18">
        <v>63.769773473913702</v>
      </c>
      <c r="N805" s="18"/>
      <c r="O805" s="18"/>
      <c r="P805" s="3">
        <v>0</v>
      </c>
      <c r="Q805" s="3">
        <v>0</v>
      </c>
      <c r="R805" s="3">
        <v>0</v>
      </c>
      <c r="S805" s="3"/>
      <c r="T805" s="3" t="b">
        <v>0</v>
      </c>
      <c r="U805" s="3">
        <v>2182</v>
      </c>
      <c r="V805" s="3">
        <v>0</v>
      </c>
      <c r="W805" s="3">
        <v>1610</v>
      </c>
      <c r="X805" s="3">
        <v>11.62</v>
      </c>
    </row>
    <row r="806" spans="1:24" hidden="1">
      <c r="A806" s="1">
        <v>44682</v>
      </c>
      <c r="B806" s="1" t="s">
        <v>1073</v>
      </c>
      <c r="C806" s="2" t="s">
        <v>1068</v>
      </c>
      <c r="D806" s="2" t="s">
        <v>279</v>
      </c>
      <c r="E806" s="2" t="s">
        <v>737</v>
      </c>
      <c r="F806" s="2" t="s">
        <v>667</v>
      </c>
      <c r="G806" s="2" t="s">
        <v>146</v>
      </c>
      <c r="H806" s="2" t="s">
        <v>1069</v>
      </c>
      <c r="I806" t="s">
        <v>198</v>
      </c>
      <c r="J806" s="18">
        <v>11679.77</v>
      </c>
      <c r="K806" s="18"/>
      <c r="L806" s="18">
        <v>11019.5334239229</v>
      </c>
      <c r="M806" s="18">
        <v>-1257.9941039157</v>
      </c>
      <c r="N806" s="18"/>
      <c r="O806" s="18"/>
      <c r="P806" s="3">
        <v>0</v>
      </c>
      <c r="Q806" s="3">
        <v>0</v>
      </c>
      <c r="R806" s="3">
        <v>0</v>
      </c>
      <c r="S806" s="3"/>
      <c r="T806" s="3" t="b">
        <v>0</v>
      </c>
      <c r="U806" s="3">
        <v>3574</v>
      </c>
      <c r="V806" s="3">
        <v>1</v>
      </c>
      <c r="W806" s="3">
        <v>2452</v>
      </c>
      <c r="X806" s="3">
        <v>12.44</v>
      </c>
    </row>
    <row r="807" spans="1:24" hidden="1">
      <c r="A807" s="1">
        <v>44713</v>
      </c>
      <c r="B807" s="1" t="s">
        <v>1074</v>
      </c>
      <c r="C807" s="2" t="s">
        <v>1068</v>
      </c>
      <c r="D807" s="2" t="s">
        <v>279</v>
      </c>
      <c r="E807" s="2" t="s">
        <v>737</v>
      </c>
      <c r="F807" s="2" t="s">
        <v>667</v>
      </c>
      <c r="G807" s="2" t="s">
        <v>146</v>
      </c>
      <c r="H807" s="2" t="s">
        <v>1069</v>
      </c>
      <c r="I807" t="s">
        <v>198</v>
      </c>
      <c r="J807" s="18">
        <v>11844.31</v>
      </c>
      <c r="K807" s="18"/>
      <c r="L807" s="18">
        <v>11130.137109290899</v>
      </c>
      <c r="M807" s="18">
        <v>-150.822961289071</v>
      </c>
      <c r="N807" s="18"/>
      <c r="O807" s="18"/>
      <c r="P807" s="3">
        <v>0</v>
      </c>
      <c r="Q807" s="3">
        <v>0</v>
      </c>
      <c r="R807" s="3">
        <v>0</v>
      </c>
      <c r="S807" s="3"/>
      <c r="T807" s="3" t="b">
        <v>0</v>
      </c>
      <c r="U807" s="3">
        <v>2396</v>
      </c>
      <c r="V807" s="3">
        <v>0</v>
      </c>
      <c r="W807" s="3">
        <v>1374</v>
      </c>
      <c r="X807" s="3">
        <v>13.79</v>
      </c>
    </row>
    <row r="808" spans="1:24" hidden="1">
      <c r="A808" s="1">
        <v>44805</v>
      </c>
      <c r="B808" s="1" t="s">
        <v>1075</v>
      </c>
      <c r="C808" s="2" t="s">
        <v>1068</v>
      </c>
      <c r="D808" s="2" t="s">
        <v>279</v>
      </c>
      <c r="E808" s="2" t="s">
        <v>737</v>
      </c>
      <c r="F808" s="2" t="s">
        <v>667</v>
      </c>
      <c r="G808" s="2" t="s">
        <v>146</v>
      </c>
      <c r="H808" s="2" t="s">
        <v>1069</v>
      </c>
      <c r="I808" t="s">
        <v>198</v>
      </c>
      <c r="J808" s="18">
        <v>11738.12</v>
      </c>
      <c r="K808" s="18"/>
      <c r="L808" s="18">
        <v>11458.380304525501</v>
      </c>
      <c r="M808" s="18">
        <v>-1011.8853324310001</v>
      </c>
      <c r="N808" s="18"/>
      <c r="O808" s="18"/>
      <c r="P808" s="3">
        <v>0</v>
      </c>
      <c r="Q808" s="3">
        <v>0</v>
      </c>
      <c r="R808" s="3">
        <v>0</v>
      </c>
      <c r="S808" s="3"/>
      <c r="T808" s="3" t="b">
        <v>0</v>
      </c>
      <c r="U808" s="3">
        <v>3517</v>
      </c>
      <c r="V808" s="3">
        <v>0</v>
      </c>
      <c r="W808" s="3">
        <v>2657</v>
      </c>
      <c r="X808" s="3">
        <v>12.3</v>
      </c>
    </row>
    <row r="809" spans="1:24" hidden="1">
      <c r="A809" s="1">
        <v>44835</v>
      </c>
      <c r="B809" s="1" t="s">
        <v>1076</v>
      </c>
      <c r="C809" s="2" t="s">
        <v>1068</v>
      </c>
      <c r="D809" s="2" t="s">
        <v>279</v>
      </c>
      <c r="E809" s="2" t="s">
        <v>737</v>
      </c>
      <c r="F809" s="2" t="s">
        <v>667</v>
      </c>
      <c r="G809" s="2" t="s">
        <v>146</v>
      </c>
      <c r="H809" s="2" t="s">
        <v>1069</v>
      </c>
      <c r="I809" t="s">
        <v>198</v>
      </c>
      <c r="J809" s="18">
        <v>11997.09</v>
      </c>
      <c r="K809" s="18"/>
      <c r="L809" s="18">
        <v>11565.416129322401</v>
      </c>
      <c r="M809" s="18">
        <v>1100.7760424876601</v>
      </c>
      <c r="N809" s="18"/>
      <c r="O809" s="18"/>
      <c r="P809" s="3">
        <v>0</v>
      </c>
      <c r="Q809" s="3">
        <v>0</v>
      </c>
      <c r="R809" s="3">
        <v>0</v>
      </c>
      <c r="S809" s="3"/>
      <c r="T809" s="3" t="b">
        <v>0</v>
      </c>
      <c r="U809" s="3">
        <v>2906</v>
      </c>
      <c r="V809" s="3">
        <v>0</v>
      </c>
      <c r="W809" s="3">
        <v>2053</v>
      </c>
      <c r="X809" s="3">
        <v>11.21</v>
      </c>
    </row>
    <row r="810" spans="1:24" hidden="1">
      <c r="A810" s="1">
        <v>44866</v>
      </c>
      <c r="B810" s="1" t="s">
        <v>1077</v>
      </c>
      <c r="C810" s="2" t="s">
        <v>1068</v>
      </c>
      <c r="D810" s="2" t="s">
        <v>279</v>
      </c>
      <c r="E810" s="2" t="s">
        <v>737</v>
      </c>
      <c r="F810" s="2" t="s">
        <v>667</v>
      </c>
      <c r="G810" s="2" t="s">
        <v>146</v>
      </c>
      <c r="H810" s="2" t="s">
        <v>1069</v>
      </c>
      <c r="I810" t="s">
        <v>198</v>
      </c>
      <c r="J810" s="18">
        <v>11326.55</v>
      </c>
      <c r="K810" s="18"/>
      <c r="L810" s="18">
        <v>11676.019817575399</v>
      </c>
      <c r="M810" s="18">
        <v>553.68538561529294</v>
      </c>
      <c r="N810" s="18"/>
      <c r="O810" s="18"/>
      <c r="P810" s="3">
        <v>0</v>
      </c>
      <c r="Q810" s="3">
        <v>0</v>
      </c>
      <c r="R810" s="3">
        <v>0</v>
      </c>
      <c r="S810" s="3"/>
      <c r="T810" s="3" t="b">
        <v>0</v>
      </c>
      <c r="U810" s="3">
        <v>3356</v>
      </c>
      <c r="V810" s="3">
        <v>0</v>
      </c>
      <c r="W810" s="3">
        <v>2211</v>
      </c>
      <c r="X810" s="3">
        <v>12.18</v>
      </c>
    </row>
    <row r="811" spans="1:24" hidden="1">
      <c r="A811" s="1">
        <v>44896</v>
      </c>
      <c r="B811" s="1" t="s">
        <v>1078</v>
      </c>
      <c r="C811" s="2" t="s">
        <v>1068</v>
      </c>
      <c r="D811" s="2" t="s">
        <v>279</v>
      </c>
      <c r="E811" s="2" t="s">
        <v>737</v>
      </c>
      <c r="F811" s="2" t="s">
        <v>667</v>
      </c>
      <c r="G811" s="2" t="s">
        <v>146</v>
      </c>
      <c r="H811" s="2" t="s">
        <v>1069</v>
      </c>
      <c r="I811" t="s">
        <v>198</v>
      </c>
      <c r="J811" s="18">
        <v>11859.43</v>
      </c>
      <c r="K811" s="18"/>
      <c r="L811" s="18">
        <v>11783.0942151608</v>
      </c>
      <c r="M811" s="18">
        <v>704.32030481758102</v>
      </c>
      <c r="N811" s="18"/>
      <c r="O811" s="18"/>
      <c r="P811" s="3">
        <v>0</v>
      </c>
      <c r="Q811" s="3">
        <v>0</v>
      </c>
      <c r="R811" s="3">
        <v>0</v>
      </c>
      <c r="S811" s="3"/>
      <c r="T811" s="3" t="b">
        <v>0</v>
      </c>
      <c r="U811" s="3">
        <v>4174</v>
      </c>
      <c r="V811" s="3">
        <v>1</v>
      </c>
      <c r="W811" s="3">
        <v>2387</v>
      </c>
      <c r="X811" s="3">
        <v>13.65</v>
      </c>
    </row>
    <row r="812" spans="1:24" hidden="1">
      <c r="A812" s="1">
        <v>44927</v>
      </c>
      <c r="B812" s="1" t="s">
        <v>1079</v>
      </c>
      <c r="C812" s="2" t="s">
        <v>1068</v>
      </c>
      <c r="D812" s="2" t="s">
        <v>279</v>
      </c>
      <c r="E812" s="2" t="s">
        <v>737</v>
      </c>
      <c r="F812" s="2" t="s">
        <v>667</v>
      </c>
      <c r="G812" s="2" t="s">
        <v>146</v>
      </c>
      <c r="H812" s="2" t="s">
        <v>1069</v>
      </c>
      <c r="I812" t="s">
        <v>198</v>
      </c>
      <c r="J812" s="18">
        <v>11370.51</v>
      </c>
      <c r="K812" s="18"/>
      <c r="L812" s="18">
        <v>11893.7402961998</v>
      </c>
      <c r="M812" s="18">
        <v>211.33967358259599</v>
      </c>
      <c r="N812" s="18"/>
      <c r="O812" s="18"/>
      <c r="P812" s="3">
        <v>0</v>
      </c>
      <c r="Q812" s="3">
        <v>0</v>
      </c>
      <c r="R812" s="3">
        <v>0</v>
      </c>
      <c r="S812" s="3"/>
      <c r="T812" s="3" t="b">
        <v>1</v>
      </c>
      <c r="U812" s="3">
        <v>2000</v>
      </c>
      <c r="V812" s="3">
        <v>0</v>
      </c>
      <c r="W812" s="3">
        <v>2889</v>
      </c>
      <c r="X812" s="3">
        <v>12.99</v>
      </c>
    </row>
    <row r="813" spans="1:24" hidden="1">
      <c r="A813" s="1">
        <v>44958</v>
      </c>
      <c r="B813" s="1" t="s">
        <v>1080</v>
      </c>
      <c r="C813" s="2" t="s">
        <v>1068</v>
      </c>
      <c r="D813" s="2" t="s">
        <v>279</v>
      </c>
      <c r="E813" s="2" t="s">
        <v>737</v>
      </c>
      <c r="F813" s="2" t="s">
        <v>667</v>
      </c>
      <c r="G813" s="2" t="s">
        <v>146</v>
      </c>
      <c r="H813" s="2" t="s">
        <v>1069</v>
      </c>
      <c r="I813" t="s">
        <v>198</v>
      </c>
      <c r="J813" s="18">
        <v>11454.23</v>
      </c>
      <c r="K813" s="18"/>
      <c r="L813" s="18">
        <v>12004.4887655812</v>
      </c>
      <c r="M813" s="18">
        <v>309.22801505885002</v>
      </c>
      <c r="N813" s="18"/>
      <c r="O813" s="18"/>
      <c r="P813" s="3">
        <v>0</v>
      </c>
      <c r="Q813" s="3">
        <v>0</v>
      </c>
      <c r="R813" s="3">
        <v>0</v>
      </c>
      <c r="S813" s="3"/>
      <c r="T813" s="3" t="b">
        <v>1</v>
      </c>
      <c r="U813" s="3">
        <v>2018</v>
      </c>
      <c r="V813" s="3">
        <v>0</v>
      </c>
      <c r="W813" s="3">
        <v>2823</v>
      </c>
      <c r="X813" s="3">
        <v>11.9</v>
      </c>
    </row>
    <row r="814" spans="1:24" hidden="1">
      <c r="A814" s="1">
        <v>44986</v>
      </c>
      <c r="B814" s="1" t="s">
        <v>1081</v>
      </c>
      <c r="C814" s="2" t="s">
        <v>1068</v>
      </c>
      <c r="D814" s="2" t="s">
        <v>279</v>
      </c>
      <c r="E814" s="2" t="s">
        <v>737</v>
      </c>
      <c r="F814" s="2" t="s">
        <v>667</v>
      </c>
      <c r="G814" s="2" t="s">
        <v>146</v>
      </c>
      <c r="H814" s="2" t="s">
        <v>1069</v>
      </c>
      <c r="I814" t="s">
        <v>198</v>
      </c>
      <c r="J814" s="18">
        <v>11614.41</v>
      </c>
      <c r="K814" s="18"/>
      <c r="L814" s="18">
        <v>12223.877190175701</v>
      </c>
      <c r="M814" s="18">
        <v>-141.88486492926799</v>
      </c>
      <c r="N814" s="18"/>
      <c r="O814" s="18"/>
      <c r="P814" s="3">
        <v>0</v>
      </c>
      <c r="Q814" s="3">
        <v>0</v>
      </c>
      <c r="R814" s="3">
        <v>0</v>
      </c>
      <c r="S814" s="3"/>
      <c r="T814" s="3" t="b">
        <v>0</v>
      </c>
      <c r="U814" s="3">
        <v>2583</v>
      </c>
      <c r="V814" s="3">
        <v>0</v>
      </c>
      <c r="W814" s="3">
        <v>2474</v>
      </c>
      <c r="X814" s="3">
        <v>11.76</v>
      </c>
    </row>
    <row r="815" spans="1:24" hidden="1">
      <c r="A815" s="1">
        <v>45017</v>
      </c>
      <c r="B815" s="1" t="s">
        <v>1082</v>
      </c>
      <c r="C815" s="2" t="s">
        <v>1068</v>
      </c>
      <c r="D815" s="2" t="s">
        <v>279</v>
      </c>
      <c r="E815" s="2" t="s">
        <v>737</v>
      </c>
      <c r="F815" s="2" t="s">
        <v>667</v>
      </c>
      <c r="G815" s="2" t="s">
        <v>146</v>
      </c>
      <c r="H815" s="2" t="s">
        <v>1069</v>
      </c>
      <c r="I815" t="s">
        <v>198</v>
      </c>
      <c r="J815" s="18">
        <v>11783.05</v>
      </c>
      <c r="K815" s="18"/>
      <c r="L815" s="18">
        <v>12467.0123923106</v>
      </c>
      <c r="M815" s="18">
        <v>186.52539716591201</v>
      </c>
      <c r="N815" s="18"/>
      <c r="O815" s="18"/>
      <c r="P815" s="3">
        <v>0</v>
      </c>
      <c r="Q815" s="3">
        <v>0</v>
      </c>
      <c r="R815" s="3">
        <v>0</v>
      </c>
      <c r="S815" s="3"/>
      <c r="T815" s="3" t="b">
        <v>0</v>
      </c>
      <c r="U815" s="3">
        <v>2455</v>
      </c>
      <c r="V815" s="3">
        <v>0</v>
      </c>
      <c r="W815" s="3">
        <v>1194</v>
      </c>
      <c r="X815" s="3">
        <v>11.61</v>
      </c>
    </row>
    <row r="816" spans="1:24" hidden="1">
      <c r="A816" s="1">
        <v>45047</v>
      </c>
      <c r="B816" s="1" t="s">
        <v>1083</v>
      </c>
      <c r="C816" s="2" t="s">
        <v>1068</v>
      </c>
      <c r="D816" s="2" t="s">
        <v>279</v>
      </c>
      <c r="E816" s="2" t="s">
        <v>737</v>
      </c>
      <c r="F816" s="2" t="s">
        <v>667</v>
      </c>
      <c r="G816" s="2" t="s">
        <v>146</v>
      </c>
      <c r="H816" s="2" t="s">
        <v>1069</v>
      </c>
      <c r="I816" t="s">
        <v>198</v>
      </c>
      <c r="J816" s="18">
        <v>8958.6299999999992</v>
      </c>
      <c r="K816" s="18"/>
      <c r="L816" s="18">
        <v>12702.582679212899</v>
      </c>
      <c r="M816" s="18">
        <v>-1374.13159205544</v>
      </c>
      <c r="N816" s="18"/>
      <c r="O816" s="18"/>
      <c r="P816" s="3">
        <v>0</v>
      </c>
      <c r="Q816" s="3">
        <v>0</v>
      </c>
      <c r="R816" s="3">
        <v>1</v>
      </c>
      <c r="S816" s="3"/>
      <c r="T816" s="3" t="b">
        <v>0</v>
      </c>
      <c r="U816" s="3">
        <v>4036</v>
      </c>
      <c r="V816" s="3">
        <v>0</v>
      </c>
      <c r="W816" s="3">
        <v>2179</v>
      </c>
      <c r="X816" s="3">
        <v>13.52</v>
      </c>
    </row>
    <row r="817" spans="1:24" hidden="1">
      <c r="A817" s="1">
        <v>45078</v>
      </c>
      <c r="B817" s="1" t="s">
        <v>1084</v>
      </c>
      <c r="C817" s="2" t="s">
        <v>1068</v>
      </c>
      <c r="D817" s="2" t="s">
        <v>279</v>
      </c>
      <c r="E817" s="2" t="s">
        <v>737</v>
      </c>
      <c r="F817" s="2" t="s">
        <v>667</v>
      </c>
      <c r="G817" s="2" t="s">
        <v>146</v>
      </c>
      <c r="H817" s="2" t="s">
        <v>1069</v>
      </c>
      <c r="I817" t="s">
        <v>198</v>
      </c>
      <c r="J817" s="18">
        <v>12219.96</v>
      </c>
      <c r="K817" s="18"/>
      <c r="L817" s="18">
        <v>12946.270428423401</v>
      </c>
      <c r="M817" s="18">
        <v>-36.679155407279801</v>
      </c>
      <c r="N817" s="18"/>
      <c r="O817" s="18"/>
      <c r="P817" s="3">
        <v>0</v>
      </c>
      <c r="Q817" s="3">
        <v>0</v>
      </c>
      <c r="R817" s="3">
        <v>0</v>
      </c>
      <c r="S817" s="3"/>
      <c r="T817" s="3" t="b">
        <v>0</v>
      </c>
      <c r="U817" s="3">
        <v>3132</v>
      </c>
      <c r="V817" s="3">
        <v>0</v>
      </c>
      <c r="W817" s="3">
        <v>2195</v>
      </c>
      <c r="X817" s="3">
        <v>13.67</v>
      </c>
    </row>
    <row r="818" spans="1:24" hidden="1">
      <c r="A818" s="1">
        <v>45108</v>
      </c>
      <c r="B818" s="1" t="s">
        <v>1085</v>
      </c>
      <c r="C818" s="2" t="s">
        <v>1068</v>
      </c>
      <c r="D818" s="2" t="s">
        <v>279</v>
      </c>
      <c r="E818" s="2" t="s">
        <v>737</v>
      </c>
      <c r="F818" s="2" t="s">
        <v>667</v>
      </c>
      <c r="G818" s="2" t="s">
        <v>146</v>
      </c>
      <c r="H818" s="2" t="s">
        <v>1069</v>
      </c>
      <c r="I818" t="s">
        <v>198</v>
      </c>
      <c r="J818" s="18">
        <v>12784.3</v>
      </c>
      <c r="K818" s="18"/>
      <c r="L818" s="18">
        <v>13182.1816941613</v>
      </c>
      <c r="M818" s="18">
        <v>-676.36650334594003</v>
      </c>
      <c r="N818" s="18"/>
      <c r="O818" s="18"/>
      <c r="P818" s="3">
        <v>0</v>
      </c>
      <c r="Q818" s="3">
        <v>0</v>
      </c>
      <c r="R818" s="3">
        <v>0</v>
      </c>
      <c r="S818" s="3"/>
      <c r="T818" s="3" t="b">
        <v>0</v>
      </c>
      <c r="U818" s="3">
        <v>4492</v>
      </c>
      <c r="V818" s="3">
        <v>0</v>
      </c>
      <c r="W818" s="3">
        <v>1846</v>
      </c>
      <c r="X818" s="3">
        <v>12.66</v>
      </c>
    </row>
    <row r="819" spans="1:24" hidden="1">
      <c r="A819" s="1">
        <v>45139</v>
      </c>
      <c r="B819" s="1" t="s">
        <v>1086</v>
      </c>
      <c r="C819" s="2" t="s">
        <v>1068</v>
      </c>
      <c r="D819" s="2" t="s">
        <v>279</v>
      </c>
      <c r="E819" s="2" t="s">
        <v>737</v>
      </c>
      <c r="F819" s="2" t="s">
        <v>667</v>
      </c>
      <c r="G819" s="2" t="s">
        <v>146</v>
      </c>
      <c r="H819" s="2" t="s">
        <v>1069</v>
      </c>
      <c r="I819" t="s">
        <v>198</v>
      </c>
      <c r="J819" s="18">
        <v>12778.69</v>
      </c>
      <c r="K819" s="18"/>
      <c r="L819" s="18">
        <v>13426.0275769292</v>
      </c>
      <c r="M819" s="18">
        <v>-369.57049940053099</v>
      </c>
      <c r="N819" s="18"/>
      <c r="O819" s="18"/>
      <c r="P819" s="3">
        <v>0</v>
      </c>
      <c r="Q819" s="3">
        <v>0</v>
      </c>
      <c r="R819" s="3">
        <v>0</v>
      </c>
      <c r="S819" s="3"/>
      <c r="T819" s="3" t="b">
        <v>0</v>
      </c>
      <c r="U819" s="3">
        <v>3952</v>
      </c>
      <c r="V819" s="3">
        <v>1</v>
      </c>
      <c r="W819" s="3">
        <v>2064</v>
      </c>
      <c r="X819" s="3">
        <v>11.03</v>
      </c>
    </row>
    <row r="820" spans="1:24" hidden="1">
      <c r="A820" s="1">
        <v>45170</v>
      </c>
      <c r="B820" s="1" t="s">
        <v>1087</v>
      </c>
      <c r="C820" s="2" t="s">
        <v>1068</v>
      </c>
      <c r="D820" s="2" t="s">
        <v>279</v>
      </c>
      <c r="E820" s="2" t="s">
        <v>737</v>
      </c>
      <c r="F820" s="2" t="s">
        <v>667</v>
      </c>
      <c r="G820" s="2" t="s">
        <v>146</v>
      </c>
      <c r="H820" s="2" t="s">
        <v>1069</v>
      </c>
      <c r="I820" t="s">
        <v>198</v>
      </c>
      <c r="J820" s="18">
        <v>11620.09</v>
      </c>
      <c r="K820" s="18"/>
      <c r="L820" s="18">
        <v>13669.9890978487</v>
      </c>
      <c r="M820" s="18">
        <v>-1143.2128550991599</v>
      </c>
      <c r="N820" s="18"/>
      <c r="O820" s="18"/>
      <c r="P820" s="3">
        <v>0</v>
      </c>
      <c r="Q820" s="3">
        <v>0</v>
      </c>
      <c r="R820" s="3">
        <v>1</v>
      </c>
      <c r="S820" s="3"/>
      <c r="T820" s="3" t="b">
        <v>0</v>
      </c>
      <c r="U820" s="3">
        <v>4649</v>
      </c>
      <c r="V820" s="3">
        <v>0</v>
      </c>
      <c r="W820" s="3">
        <v>2086</v>
      </c>
      <c r="X820" s="3">
        <v>13.16</v>
      </c>
    </row>
    <row r="821" spans="1:24" hidden="1">
      <c r="A821" s="1">
        <v>45200</v>
      </c>
      <c r="B821" s="1" t="s">
        <v>1088</v>
      </c>
      <c r="C821" s="2" t="s">
        <v>1068</v>
      </c>
      <c r="D821" s="2" t="s">
        <v>279</v>
      </c>
      <c r="E821" s="2" t="s">
        <v>737</v>
      </c>
      <c r="F821" s="2" t="s">
        <v>667</v>
      </c>
      <c r="G821" s="2" t="s">
        <v>146</v>
      </c>
      <c r="H821" s="2" t="s">
        <v>1069</v>
      </c>
      <c r="I821" t="s">
        <v>198</v>
      </c>
      <c r="J821" s="18">
        <v>15783.13</v>
      </c>
      <c r="K821" s="18"/>
      <c r="L821" s="18">
        <v>13906.0809348488</v>
      </c>
      <c r="M821" s="18">
        <v>1211.26969911589</v>
      </c>
      <c r="N821" s="18"/>
      <c r="O821" s="18"/>
      <c r="P821" s="3">
        <v>1</v>
      </c>
      <c r="Q821" s="3">
        <v>0</v>
      </c>
      <c r="R821" s="3">
        <v>0</v>
      </c>
      <c r="S821" s="3"/>
      <c r="T821" s="3" t="b">
        <v>0</v>
      </c>
      <c r="U821" s="3">
        <v>4150</v>
      </c>
      <c r="V821" s="3">
        <v>1</v>
      </c>
      <c r="W821" s="3">
        <v>1022</v>
      </c>
      <c r="X821" s="3">
        <v>12.01</v>
      </c>
    </row>
    <row r="822" spans="1:24" hidden="1">
      <c r="A822" s="1">
        <v>45231</v>
      </c>
      <c r="B822" s="1" t="s">
        <v>1089</v>
      </c>
      <c r="C822" s="2" t="s">
        <v>1068</v>
      </c>
      <c r="D822" s="2" t="s">
        <v>279</v>
      </c>
      <c r="E822" s="2" t="s">
        <v>737</v>
      </c>
      <c r="F822" s="2" t="s">
        <v>667</v>
      </c>
      <c r="G822" s="2" t="s">
        <v>146</v>
      </c>
      <c r="H822" s="2" t="s">
        <v>1069</v>
      </c>
      <c r="I822" t="s">
        <v>198</v>
      </c>
      <c r="J822" s="18">
        <v>15494.36</v>
      </c>
      <c r="K822" s="18"/>
      <c r="L822" s="18">
        <v>14150.0424996855</v>
      </c>
      <c r="M822" s="18">
        <v>440.19933156663501</v>
      </c>
      <c r="N822" s="18"/>
      <c r="O822" s="18"/>
      <c r="P822" s="3">
        <v>1</v>
      </c>
      <c r="Q822" s="3">
        <v>0</v>
      </c>
      <c r="R822" s="3">
        <v>0</v>
      </c>
      <c r="S822" s="3"/>
      <c r="T822" s="3" t="b">
        <v>0</v>
      </c>
      <c r="U822" s="3">
        <v>2987</v>
      </c>
      <c r="V822" s="3">
        <v>2</v>
      </c>
      <c r="W822" s="3">
        <v>1359</v>
      </c>
      <c r="X822" s="3">
        <v>12.01</v>
      </c>
    </row>
    <row r="823" spans="1:24" hidden="1">
      <c r="A823" s="1">
        <v>45261</v>
      </c>
      <c r="B823" s="1" t="s">
        <v>1090</v>
      </c>
      <c r="C823" s="2" t="s">
        <v>1068</v>
      </c>
      <c r="D823" s="2" t="s">
        <v>279</v>
      </c>
      <c r="E823" s="2" t="s">
        <v>737</v>
      </c>
      <c r="F823" s="2" t="s">
        <v>667</v>
      </c>
      <c r="G823" s="2" t="s">
        <v>146</v>
      </c>
      <c r="H823" s="2" t="s">
        <v>1069</v>
      </c>
      <c r="I823" t="s">
        <v>198</v>
      </c>
      <c r="J823" s="18">
        <v>15835.41</v>
      </c>
      <c r="K823" s="18"/>
      <c r="L823" s="18">
        <v>14386.134337020399</v>
      </c>
      <c r="M823" s="18">
        <v>821.83725985603803</v>
      </c>
      <c r="N823" s="18"/>
      <c r="O823" s="18"/>
      <c r="P823" s="3">
        <v>1</v>
      </c>
      <c r="Q823" s="3">
        <v>0</v>
      </c>
      <c r="R823" s="3">
        <v>0</v>
      </c>
      <c r="S823" s="3"/>
      <c r="T823" s="3" t="b">
        <v>0</v>
      </c>
      <c r="U823" s="3">
        <v>2519</v>
      </c>
      <c r="V823" s="3">
        <v>1</v>
      </c>
      <c r="W823" s="3">
        <v>2098</v>
      </c>
      <c r="X823" s="3">
        <v>40</v>
      </c>
    </row>
    <row r="824" spans="1:24" hidden="1">
      <c r="A824" s="1">
        <v>45292</v>
      </c>
      <c r="B824" s="1" t="s">
        <v>1091</v>
      </c>
      <c r="C824" s="2" t="s">
        <v>1068</v>
      </c>
      <c r="D824" s="2" t="s">
        <v>279</v>
      </c>
      <c r="E824" s="2" t="s">
        <v>737</v>
      </c>
      <c r="F824" s="2" t="s">
        <v>667</v>
      </c>
      <c r="G824" s="2" t="s">
        <v>146</v>
      </c>
      <c r="H824" s="2" t="s">
        <v>1069</v>
      </c>
      <c r="I824" t="s">
        <v>198</v>
      </c>
      <c r="J824" s="18">
        <v>15787.17</v>
      </c>
      <c r="K824" s="18"/>
      <c r="L824" s="18">
        <v>14630.095902462799</v>
      </c>
      <c r="M824" s="18">
        <v>95.631328808024307</v>
      </c>
      <c r="N824" s="18"/>
      <c r="O824" s="18"/>
      <c r="P824" s="3">
        <v>1</v>
      </c>
      <c r="Q824" s="3">
        <v>0</v>
      </c>
      <c r="R824" s="3">
        <v>0</v>
      </c>
      <c r="S824" s="3"/>
      <c r="T824" s="3" t="b">
        <v>0</v>
      </c>
      <c r="U824" s="3">
        <v>2858</v>
      </c>
      <c r="V824" s="3">
        <v>0</v>
      </c>
      <c r="W824" s="3">
        <v>1559</v>
      </c>
      <c r="X824" s="3">
        <v>10.8</v>
      </c>
    </row>
    <row r="825" spans="1:24" hidden="1">
      <c r="A825" s="1">
        <v>45323</v>
      </c>
      <c r="B825" s="1" t="s">
        <v>1092</v>
      </c>
      <c r="C825" s="2" t="s">
        <v>1068</v>
      </c>
      <c r="D825" s="2" t="s">
        <v>279</v>
      </c>
      <c r="E825" s="2" t="s">
        <v>737</v>
      </c>
      <c r="F825" s="2" t="s">
        <v>667</v>
      </c>
      <c r="G825" s="2" t="s">
        <v>146</v>
      </c>
      <c r="H825" s="2" t="s">
        <v>1069</v>
      </c>
      <c r="I825" t="s">
        <v>198</v>
      </c>
      <c r="J825" s="18">
        <v>16132.55</v>
      </c>
      <c r="K825" s="18"/>
      <c r="L825" s="18">
        <v>14874.0574683135</v>
      </c>
      <c r="M825" s="18">
        <v>420.18084402313798</v>
      </c>
      <c r="N825" s="18"/>
      <c r="O825" s="18"/>
      <c r="P825" s="3">
        <v>1</v>
      </c>
      <c r="Q825" s="3">
        <v>0</v>
      </c>
      <c r="R825" s="3">
        <v>0</v>
      </c>
      <c r="S825" s="3"/>
      <c r="T825" s="3" t="b">
        <v>0</v>
      </c>
      <c r="U825" s="3">
        <v>2173</v>
      </c>
      <c r="V825" s="3">
        <v>0</v>
      </c>
      <c r="W825" s="3">
        <v>1671</v>
      </c>
      <c r="X825" s="3">
        <v>10.91</v>
      </c>
    </row>
    <row r="826" spans="1:24" hidden="1">
      <c r="A826" s="1">
        <v>45352</v>
      </c>
      <c r="B826" s="1" t="s">
        <v>1093</v>
      </c>
      <c r="C826" s="2" t="s">
        <v>1068</v>
      </c>
      <c r="D826" s="2" t="s">
        <v>279</v>
      </c>
      <c r="E826" s="2" t="s">
        <v>737</v>
      </c>
      <c r="F826" s="2" t="s">
        <v>667</v>
      </c>
      <c r="G826" s="2" t="s">
        <v>146</v>
      </c>
      <c r="H826" s="2" t="s">
        <v>1069</v>
      </c>
      <c r="I826" t="s">
        <v>198</v>
      </c>
      <c r="J826" s="18">
        <v>15414.29</v>
      </c>
      <c r="K826" s="18"/>
      <c r="L826" s="18">
        <v>15102.2795784056</v>
      </c>
      <c r="M826" s="18">
        <v>186.55343376065801</v>
      </c>
      <c r="N826" s="18"/>
      <c r="O826" s="18"/>
      <c r="P826" s="3">
        <v>1</v>
      </c>
      <c r="Q826" s="3">
        <v>0</v>
      </c>
      <c r="R826" s="3">
        <v>0</v>
      </c>
      <c r="S826" s="3"/>
      <c r="T826" s="3" t="b">
        <v>0</v>
      </c>
      <c r="U826" s="3">
        <v>3366</v>
      </c>
      <c r="V826" s="3">
        <v>0</v>
      </c>
      <c r="W826" s="3">
        <v>2848</v>
      </c>
      <c r="X826" s="3">
        <v>13.06</v>
      </c>
    </row>
    <row r="827" spans="1:24" hidden="1">
      <c r="A827" s="1">
        <v>45383</v>
      </c>
      <c r="B827" s="1" t="s">
        <v>1094</v>
      </c>
      <c r="C827" s="2" t="s">
        <v>1068</v>
      </c>
      <c r="D827" s="2" t="s">
        <v>279</v>
      </c>
      <c r="E827" s="2" t="s">
        <v>737</v>
      </c>
      <c r="F827" s="2" t="s">
        <v>667</v>
      </c>
      <c r="G827" s="2" t="s">
        <v>146</v>
      </c>
      <c r="H827" s="2" t="s">
        <v>1069</v>
      </c>
      <c r="I827" t="s">
        <v>198</v>
      </c>
      <c r="J827" s="18">
        <v>15629.71</v>
      </c>
      <c r="K827" s="18"/>
      <c r="L827" s="18">
        <v>15346.2411443661</v>
      </c>
      <c r="M827" s="18">
        <v>-182.29127713560601</v>
      </c>
      <c r="N827" s="18"/>
      <c r="O827" s="18"/>
      <c r="P827" s="3">
        <v>1</v>
      </c>
      <c r="Q827" s="3">
        <v>0</v>
      </c>
      <c r="R827" s="3">
        <v>0</v>
      </c>
      <c r="S827" s="3"/>
      <c r="T827" s="3" t="b">
        <v>0</v>
      </c>
      <c r="U827" s="3">
        <v>4478</v>
      </c>
      <c r="V827" s="3">
        <v>0</v>
      </c>
      <c r="W827" s="3">
        <v>2141</v>
      </c>
      <c r="X827" s="3">
        <v>14.57</v>
      </c>
    </row>
    <row r="828" spans="1:24" hidden="1">
      <c r="A828" s="1">
        <v>45413</v>
      </c>
      <c r="B828" s="1" t="s">
        <v>1095</v>
      </c>
      <c r="C828" s="2" t="s">
        <v>1068</v>
      </c>
      <c r="D828" s="2" t="s">
        <v>279</v>
      </c>
      <c r="E828" s="2" t="s">
        <v>737</v>
      </c>
      <c r="F828" s="2" t="s">
        <v>667</v>
      </c>
      <c r="G828" s="2" t="s">
        <v>146</v>
      </c>
      <c r="H828" s="2" t="s">
        <v>1069</v>
      </c>
      <c r="I828" t="s">
        <v>198</v>
      </c>
      <c r="J828" s="18">
        <v>15002.5</v>
      </c>
      <c r="K828" s="18"/>
      <c r="L828" s="18">
        <v>15582.3329823923</v>
      </c>
      <c r="M828" s="18">
        <v>-1024.5044790483801</v>
      </c>
      <c r="N828" s="18"/>
      <c r="O828" s="18"/>
      <c r="P828" s="3">
        <v>1</v>
      </c>
      <c r="Q828" s="3">
        <v>0</v>
      </c>
      <c r="R828" s="3">
        <v>0</v>
      </c>
      <c r="S828" s="3"/>
      <c r="T828" s="3" t="b">
        <v>0</v>
      </c>
      <c r="U828" s="3">
        <v>2726</v>
      </c>
      <c r="V828" s="3">
        <v>0</v>
      </c>
      <c r="W828" s="3">
        <v>2635</v>
      </c>
      <c r="X828" s="3">
        <v>13.15</v>
      </c>
    </row>
    <row r="829" spans="1:24" hidden="1">
      <c r="A829" s="1">
        <v>45444</v>
      </c>
      <c r="B829" s="1" t="s">
        <v>1096</v>
      </c>
      <c r="C829" s="2" t="s">
        <v>1068</v>
      </c>
      <c r="D829" s="2" t="s">
        <v>279</v>
      </c>
      <c r="E829" s="2" t="s">
        <v>737</v>
      </c>
      <c r="F829" s="2" t="s">
        <v>667</v>
      </c>
      <c r="G829" s="2" t="s">
        <v>146</v>
      </c>
      <c r="H829" s="2" t="s">
        <v>1069</v>
      </c>
      <c r="I829" t="s">
        <v>198</v>
      </c>
      <c r="J829" s="18">
        <v>15241.67</v>
      </c>
      <c r="K829" s="18"/>
      <c r="L829" s="18">
        <v>15826.2945483528</v>
      </c>
      <c r="M829" s="18">
        <v>-379.60687793384898</v>
      </c>
      <c r="N829" s="18"/>
      <c r="O829" s="18"/>
      <c r="P829" s="3">
        <v>1</v>
      </c>
      <c r="Q829" s="3">
        <v>0</v>
      </c>
      <c r="R829" s="3">
        <v>0</v>
      </c>
      <c r="S829" s="3"/>
      <c r="T829" s="3" t="b">
        <v>0</v>
      </c>
      <c r="U829" s="3">
        <v>3710</v>
      </c>
      <c r="V829" s="3">
        <v>1</v>
      </c>
      <c r="W829" s="3">
        <v>2403</v>
      </c>
      <c r="X829" s="3">
        <v>12.39</v>
      </c>
    </row>
    <row r="830" spans="1:24" hidden="1">
      <c r="A830" s="1">
        <v>45474</v>
      </c>
      <c r="B830" s="1" t="s">
        <v>1097</v>
      </c>
      <c r="C830" s="2" t="s">
        <v>1068</v>
      </c>
      <c r="D830" s="2" t="s">
        <v>279</v>
      </c>
      <c r="E830" s="2" t="s">
        <v>737</v>
      </c>
      <c r="F830" s="2" t="s">
        <v>667</v>
      </c>
      <c r="G830" s="2" t="s">
        <v>146</v>
      </c>
      <c r="H830" s="2" t="s">
        <v>1069</v>
      </c>
      <c r="I830" t="s">
        <v>198</v>
      </c>
      <c r="J830" s="18">
        <v>15477.41</v>
      </c>
      <c r="K830" s="18">
        <v>13473.49</v>
      </c>
      <c r="L830" s="18">
        <v>16062.386386379099</v>
      </c>
      <c r="M830" s="18">
        <v>-319.34382295537802</v>
      </c>
      <c r="N830" s="18">
        <v>13673.49</v>
      </c>
      <c r="O830" s="18">
        <v>13273.49</v>
      </c>
      <c r="P830" s="3">
        <v>1</v>
      </c>
      <c r="Q830" s="3">
        <v>0</v>
      </c>
      <c r="R830" s="3">
        <v>0</v>
      </c>
      <c r="S830" s="3"/>
      <c r="T830" s="3" t="b">
        <v>0</v>
      </c>
      <c r="U830" s="3">
        <v>3875</v>
      </c>
      <c r="V830" s="3">
        <v>1</v>
      </c>
      <c r="W830" s="3">
        <v>2952</v>
      </c>
      <c r="X830" s="3">
        <v>12.83</v>
      </c>
    </row>
    <row r="831" spans="1:24" hidden="1">
      <c r="A831" s="1">
        <v>45505</v>
      </c>
      <c r="B831" s="1" t="s">
        <v>1098</v>
      </c>
      <c r="C831" s="2" t="s">
        <v>1068</v>
      </c>
      <c r="D831" s="2" t="s">
        <v>279</v>
      </c>
      <c r="E831" s="2" t="s">
        <v>737</v>
      </c>
      <c r="F831" s="2" t="s">
        <v>667</v>
      </c>
      <c r="G831" s="2" t="s">
        <v>146</v>
      </c>
      <c r="H831" s="2" t="s">
        <v>1069</v>
      </c>
      <c r="I831" t="s">
        <v>198</v>
      </c>
      <c r="J831" s="18">
        <v>15829.33</v>
      </c>
      <c r="K831" s="18">
        <v>13673.42</v>
      </c>
      <c r="L831" s="18">
        <v>16306.3479523396</v>
      </c>
      <c r="M831" s="18">
        <v>-758.77235236954004</v>
      </c>
      <c r="N831" s="18">
        <v>13873.42</v>
      </c>
      <c r="O831" s="18">
        <v>13473.42</v>
      </c>
      <c r="P831" s="3">
        <v>1</v>
      </c>
      <c r="Q831" s="3">
        <v>0</v>
      </c>
      <c r="R831" s="3">
        <v>0</v>
      </c>
      <c r="S831" s="3"/>
      <c r="T831" s="3" t="b">
        <v>0</v>
      </c>
      <c r="U831" s="3">
        <v>4897</v>
      </c>
      <c r="V831" s="3">
        <v>0</v>
      </c>
      <c r="W831" s="3">
        <v>2943</v>
      </c>
      <c r="X831" s="3">
        <v>10.5</v>
      </c>
    </row>
    <row r="832" spans="1:24" hidden="1">
      <c r="A832" s="1">
        <v>45536</v>
      </c>
      <c r="B832" s="1" t="s">
        <v>1099</v>
      </c>
      <c r="C832" s="2" t="s">
        <v>1068</v>
      </c>
      <c r="D832" s="2" t="s">
        <v>279</v>
      </c>
      <c r="E832" s="2" t="s">
        <v>737</v>
      </c>
      <c r="F832" s="2" t="s">
        <v>667</v>
      </c>
      <c r="G832" s="2" t="s">
        <v>146</v>
      </c>
      <c r="H832" s="2" t="s">
        <v>1069</v>
      </c>
      <c r="I832" t="s">
        <v>198</v>
      </c>
      <c r="J832" s="18">
        <v>15406.56</v>
      </c>
      <c r="K832" s="18">
        <v>13247.95</v>
      </c>
      <c r="L832" s="18">
        <v>16550.309518300099</v>
      </c>
      <c r="M832" s="18">
        <v>-748.61383932191802</v>
      </c>
      <c r="N832" s="18">
        <v>13447.95</v>
      </c>
      <c r="O832" s="18">
        <v>13047.95</v>
      </c>
      <c r="P832" s="3">
        <v>1</v>
      </c>
      <c r="Q832" s="3">
        <v>0</v>
      </c>
      <c r="R832" s="3">
        <v>0</v>
      </c>
      <c r="S832" s="3"/>
      <c r="T832" s="3" t="b">
        <v>0</v>
      </c>
      <c r="U832" s="3">
        <v>3681</v>
      </c>
      <c r="V832" s="3">
        <v>0</v>
      </c>
      <c r="W832" s="3">
        <v>1678</v>
      </c>
      <c r="X832" s="3">
        <v>12.45</v>
      </c>
    </row>
    <row r="833" spans="1:24" hidden="1">
      <c r="A833" s="1">
        <v>45566</v>
      </c>
      <c r="B833" s="1" t="s">
        <v>1100</v>
      </c>
      <c r="C833" s="2" t="s">
        <v>1068</v>
      </c>
      <c r="D833" s="2" t="s">
        <v>279</v>
      </c>
      <c r="E833" s="2" t="s">
        <v>737</v>
      </c>
      <c r="F833" s="2" t="s">
        <v>667</v>
      </c>
      <c r="G833" s="2" t="s">
        <v>146</v>
      </c>
      <c r="H833" s="2" t="s">
        <v>1069</v>
      </c>
      <c r="I833" t="s">
        <v>224</v>
      </c>
      <c r="J833" s="18"/>
      <c r="K833" s="18">
        <v>13991.5</v>
      </c>
      <c r="L833" s="18">
        <v>16786.401356326402</v>
      </c>
      <c r="M833" s="18">
        <v>878.65911297852006</v>
      </c>
      <c r="N833" s="18">
        <v>14191.5</v>
      </c>
      <c r="O833" s="18">
        <v>13791.5</v>
      </c>
      <c r="P833" s="3"/>
      <c r="Q833" s="3"/>
      <c r="R833" s="3"/>
      <c r="S833" s="3"/>
      <c r="T833" s="3"/>
      <c r="U833" s="3"/>
      <c r="V833" s="3"/>
      <c r="W833" s="3">
        <v>2313</v>
      </c>
      <c r="X833" s="3">
        <v>11.82</v>
      </c>
    </row>
    <row r="834" spans="1:24" hidden="1">
      <c r="A834" s="1">
        <v>45597</v>
      </c>
      <c r="B834" s="1" t="s">
        <v>1101</v>
      </c>
      <c r="C834" s="2" t="s">
        <v>1068</v>
      </c>
      <c r="D834" s="2" t="s">
        <v>279</v>
      </c>
      <c r="E834" s="2" t="s">
        <v>737</v>
      </c>
      <c r="F834" s="2" t="s">
        <v>667</v>
      </c>
      <c r="G834" s="2" t="s">
        <v>146</v>
      </c>
      <c r="H834" s="2" t="s">
        <v>1069</v>
      </c>
      <c r="I834" t="s">
        <v>224</v>
      </c>
      <c r="J834" s="18"/>
      <c r="K834" s="18">
        <v>13762.72</v>
      </c>
      <c r="L834" s="18">
        <v>17030.362922286899</v>
      </c>
      <c r="M834" s="18">
        <v>780.80490417291799</v>
      </c>
      <c r="N834" s="18">
        <v>13962.72</v>
      </c>
      <c r="O834" s="18">
        <v>13562.72</v>
      </c>
      <c r="P834" s="3"/>
      <c r="Q834" s="3"/>
      <c r="R834" s="3"/>
      <c r="S834" s="3"/>
      <c r="T834" s="3"/>
      <c r="U834" s="3"/>
      <c r="V834" s="3"/>
      <c r="W834" s="3">
        <v>1439</v>
      </c>
      <c r="X834" s="3">
        <v>12.25</v>
      </c>
    </row>
    <row r="835" spans="1:24" hidden="1">
      <c r="A835" s="1">
        <v>45627</v>
      </c>
      <c r="B835" s="1" t="s">
        <v>1102</v>
      </c>
      <c r="C835" s="2" t="s">
        <v>1068</v>
      </c>
      <c r="D835" s="2" t="s">
        <v>279</v>
      </c>
      <c r="E835" s="2" t="s">
        <v>737</v>
      </c>
      <c r="F835" s="2" t="s">
        <v>667</v>
      </c>
      <c r="G835" s="2" t="s">
        <v>146</v>
      </c>
      <c r="H835" s="2" t="s">
        <v>1069</v>
      </c>
      <c r="I835" t="s">
        <v>224</v>
      </c>
      <c r="J835" s="18"/>
      <c r="K835" s="18">
        <v>13844.85</v>
      </c>
      <c r="L835" s="18">
        <v>17266.4547603131</v>
      </c>
      <c r="M835" s="18">
        <v>468.77774847629303</v>
      </c>
      <c r="N835" s="18">
        <v>14044.85</v>
      </c>
      <c r="O835" s="18">
        <v>13644.85</v>
      </c>
      <c r="P835" s="3"/>
      <c r="Q835" s="3"/>
      <c r="R835" s="3"/>
      <c r="S835" s="3"/>
      <c r="T835" s="3"/>
      <c r="U835" s="3"/>
      <c r="V835" s="3"/>
      <c r="W835" s="3">
        <v>2691</v>
      </c>
      <c r="X835" s="3">
        <v>12.82</v>
      </c>
    </row>
    <row r="836" spans="1:24" hidden="1">
      <c r="A836" s="1">
        <v>44562</v>
      </c>
      <c r="B836" s="1" t="s">
        <v>1103</v>
      </c>
      <c r="C836" s="2" t="s">
        <v>1104</v>
      </c>
      <c r="D836" s="2" t="s">
        <v>279</v>
      </c>
      <c r="E836" s="2" t="s">
        <v>737</v>
      </c>
      <c r="F836" s="2" t="s">
        <v>451</v>
      </c>
      <c r="G836" s="2" t="s">
        <v>146</v>
      </c>
      <c r="H836" s="2" t="s">
        <v>1105</v>
      </c>
      <c r="I836" t="s">
        <v>198</v>
      </c>
      <c r="J836" s="18">
        <v>14135.69</v>
      </c>
      <c r="K836" s="18"/>
      <c r="L836" s="18">
        <v>14149.551583619999</v>
      </c>
      <c r="M836" s="18">
        <v>229.63096907835899</v>
      </c>
      <c r="N836" s="18"/>
      <c r="O836" s="18"/>
      <c r="P836" s="3">
        <v>0</v>
      </c>
      <c r="Q836" s="3">
        <v>0</v>
      </c>
      <c r="R836" s="3">
        <v>0</v>
      </c>
      <c r="S836" s="3"/>
      <c r="T836" s="3" t="b">
        <v>0</v>
      </c>
      <c r="U836" s="3">
        <v>4897</v>
      </c>
      <c r="V836" s="3">
        <v>0</v>
      </c>
      <c r="W836" s="3">
        <v>1288</v>
      </c>
      <c r="X836" s="3">
        <v>12.78</v>
      </c>
    </row>
    <row r="837" spans="1:24" hidden="1">
      <c r="A837" s="1">
        <v>44593</v>
      </c>
      <c r="B837" s="1" t="s">
        <v>1106</v>
      </c>
      <c r="C837" s="2" t="s">
        <v>1104</v>
      </c>
      <c r="D837" s="2" t="s">
        <v>279</v>
      </c>
      <c r="E837" s="2" t="s">
        <v>737</v>
      </c>
      <c r="F837" s="2" t="s">
        <v>451</v>
      </c>
      <c r="G837" s="2" t="s">
        <v>146</v>
      </c>
      <c r="H837" s="2" t="s">
        <v>1105</v>
      </c>
      <c r="I837" t="s">
        <v>198</v>
      </c>
      <c r="J837" s="18">
        <v>14257.53</v>
      </c>
      <c r="K837" s="18"/>
      <c r="L837" s="18">
        <v>14206.546684443399</v>
      </c>
      <c r="M837" s="18">
        <v>48.632753051098497</v>
      </c>
      <c r="N837" s="18"/>
      <c r="O837" s="18"/>
      <c r="P837" s="3">
        <v>0</v>
      </c>
      <c r="Q837" s="3">
        <v>0</v>
      </c>
      <c r="R837" s="3">
        <v>0</v>
      </c>
      <c r="S837" s="3"/>
      <c r="T837" s="3" t="b">
        <v>0</v>
      </c>
      <c r="U837" s="3">
        <v>4244</v>
      </c>
      <c r="V837" s="3">
        <v>1</v>
      </c>
      <c r="W837" s="3">
        <v>2236</v>
      </c>
      <c r="X837" s="3">
        <v>12.09</v>
      </c>
    </row>
    <row r="838" spans="1:24" hidden="1">
      <c r="A838" s="1">
        <v>44621</v>
      </c>
      <c r="B838" s="1" t="s">
        <v>1107</v>
      </c>
      <c r="C838" s="2" t="s">
        <v>1104</v>
      </c>
      <c r="D838" s="2" t="s">
        <v>279</v>
      </c>
      <c r="E838" s="2" t="s">
        <v>737</v>
      </c>
      <c r="F838" s="2" t="s">
        <v>451</v>
      </c>
      <c r="G838" s="2" t="s">
        <v>146</v>
      </c>
      <c r="H838" s="2" t="s">
        <v>1105</v>
      </c>
      <c r="I838" t="s">
        <v>198</v>
      </c>
      <c r="J838" s="18">
        <v>14437.31</v>
      </c>
      <c r="K838" s="18"/>
      <c r="L838" s="18">
        <v>14258.0261309623</v>
      </c>
      <c r="M838" s="18">
        <v>-29.369725248234001</v>
      </c>
      <c r="N838" s="18"/>
      <c r="O838" s="18"/>
      <c r="P838" s="3">
        <v>0</v>
      </c>
      <c r="Q838" s="3">
        <v>0</v>
      </c>
      <c r="R838" s="3">
        <v>0</v>
      </c>
      <c r="S838" s="3"/>
      <c r="T838" s="3" t="b">
        <v>0</v>
      </c>
      <c r="U838" s="3">
        <v>2018</v>
      </c>
      <c r="V838" s="3">
        <v>0</v>
      </c>
      <c r="W838" s="3">
        <v>1257</v>
      </c>
      <c r="X838" s="3">
        <v>11.23</v>
      </c>
    </row>
    <row r="839" spans="1:24" hidden="1">
      <c r="A839" s="1">
        <v>44652</v>
      </c>
      <c r="B839" s="1" t="s">
        <v>1108</v>
      </c>
      <c r="C839" s="2" t="s">
        <v>1104</v>
      </c>
      <c r="D839" s="2" t="s">
        <v>279</v>
      </c>
      <c r="E839" s="2" t="s">
        <v>737</v>
      </c>
      <c r="F839" s="2" t="s">
        <v>451</v>
      </c>
      <c r="G839" s="2" t="s">
        <v>146</v>
      </c>
      <c r="H839" s="2" t="s">
        <v>1105</v>
      </c>
      <c r="I839" t="s">
        <v>198</v>
      </c>
      <c r="J839" s="18">
        <v>14621.44</v>
      </c>
      <c r="K839" s="18"/>
      <c r="L839" s="18">
        <v>14315.0212323919</v>
      </c>
      <c r="M839" s="18">
        <v>5.1342796654191503</v>
      </c>
      <c r="N839" s="18"/>
      <c r="O839" s="18"/>
      <c r="P839" s="3">
        <v>0</v>
      </c>
      <c r="Q839" s="3">
        <v>0</v>
      </c>
      <c r="R839" s="3">
        <v>0</v>
      </c>
      <c r="S839" s="3"/>
      <c r="T839" s="3" t="b">
        <v>0</v>
      </c>
      <c r="U839" s="3">
        <v>2641</v>
      </c>
      <c r="V839" s="3">
        <v>0</v>
      </c>
      <c r="W839" s="3">
        <v>1529</v>
      </c>
      <c r="X839" s="3">
        <v>11.41</v>
      </c>
    </row>
    <row r="840" spans="1:24" hidden="1">
      <c r="A840" s="1">
        <v>44682</v>
      </c>
      <c r="B840" s="1" t="s">
        <v>1109</v>
      </c>
      <c r="C840" s="2" t="s">
        <v>1104</v>
      </c>
      <c r="D840" s="2" t="s">
        <v>279</v>
      </c>
      <c r="E840" s="2" t="s">
        <v>737</v>
      </c>
      <c r="F840" s="2" t="s">
        <v>451</v>
      </c>
      <c r="G840" s="2" t="s">
        <v>146</v>
      </c>
      <c r="H840" s="2" t="s">
        <v>1105</v>
      </c>
      <c r="I840" t="s">
        <v>198</v>
      </c>
      <c r="J840" s="18">
        <v>14572.2</v>
      </c>
      <c r="K840" s="18"/>
      <c r="L840" s="18">
        <v>14370.177782586899</v>
      </c>
      <c r="M840" s="18">
        <v>142.33898454568401</v>
      </c>
      <c r="N840" s="18"/>
      <c r="O840" s="18"/>
      <c r="P840" s="3">
        <v>0</v>
      </c>
      <c r="Q840" s="3">
        <v>0</v>
      </c>
      <c r="R840" s="3">
        <v>0</v>
      </c>
      <c r="S840" s="3"/>
      <c r="T840" s="3" t="b">
        <v>0</v>
      </c>
      <c r="U840" s="3">
        <v>3104</v>
      </c>
      <c r="V840" s="3">
        <v>0</v>
      </c>
      <c r="W840" s="3">
        <v>1686</v>
      </c>
      <c r="X840" s="3">
        <v>11.56</v>
      </c>
    </row>
    <row r="841" spans="1:24" hidden="1">
      <c r="A841" s="1">
        <v>44713</v>
      </c>
      <c r="B841" s="1" t="s">
        <v>1110</v>
      </c>
      <c r="C841" s="2" t="s">
        <v>1104</v>
      </c>
      <c r="D841" s="2" t="s">
        <v>279</v>
      </c>
      <c r="E841" s="2" t="s">
        <v>737</v>
      </c>
      <c r="F841" s="2" t="s">
        <v>451</v>
      </c>
      <c r="G841" s="2" t="s">
        <v>146</v>
      </c>
      <c r="H841" s="2" t="s">
        <v>1105</v>
      </c>
      <c r="I841" t="s">
        <v>198</v>
      </c>
      <c r="J841" s="18">
        <v>14732.14</v>
      </c>
      <c r="K841" s="18"/>
      <c r="L841" s="18">
        <v>14427.172884404499</v>
      </c>
      <c r="M841" s="18">
        <v>56.555244889304802</v>
      </c>
      <c r="N841" s="18"/>
      <c r="O841" s="18"/>
      <c r="P841" s="3">
        <v>0</v>
      </c>
      <c r="Q841" s="3">
        <v>0</v>
      </c>
      <c r="R841" s="3">
        <v>0</v>
      </c>
      <c r="S841" s="3"/>
      <c r="T841" s="3" t="b">
        <v>0</v>
      </c>
      <c r="U841" s="3">
        <v>2329</v>
      </c>
      <c r="V841" s="3">
        <v>1</v>
      </c>
      <c r="W841" s="3">
        <v>1928</v>
      </c>
      <c r="X841" s="3">
        <v>11.42</v>
      </c>
    </row>
    <row r="842" spans="1:24" hidden="1">
      <c r="A842" s="1">
        <v>44743</v>
      </c>
      <c r="B842" s="1" t="s">
        <v>1111</v>
      </c>
      <c r="C842" s="2" t="s">
        <v>1104</v>
      </c>
      <c r="D842" s="2" t="s">
        <v>279</v>
      </c>
      <c r="E842" s="2" t="s">
        <v>737</v>
      </c>
      <c r="F842" s="2" t="s">
        <v>451</v>
      </c>
      <c r="G842" s="2" t="s">
        <v>146</v>
      </c>
      <c r="H842" s="2" t="s">
        <v>1105</v>
      </c>
      <c r="I842" t="s">
        <v>198</v>
      </c>
      <c r="J842" s="18">
        <v>15104.52</v>
      </c>
      <c r="K842" s="18"/>
      <c r="L842" s="18">
        <v>14482.3294341201</v>
      </c>
      <c r="M842" s="18">
        <v>284.68087694099103</v>
      </c>
      <c r="N842" s="18"/>
      <c r="O842" s="18"/>
      <c r="P842" s="3">
        <v>0</v>
      </c>
      <c r="Q842" s="3">
        <v>0</v>
      </c>
      <c r="R842" s="3">
        <v>0</v>
      </c>
      <c r="S842" s="3"/>
      <c r="T842" s="3" t="b">
        <v>0</v>
      </c>
      <c r="U842" s="3">
        <v>2865</v>
      </c>
      <c r="V842" s="3">
        <v>1</v>
      </c>
      <c r="W842" s="3">
        <v>1228</v>
      </c>
      <c r="X842" s="3">
        <v>11.92</v>
      </c>
    </row>
    <row r="843" spans="1:24" hidden="1">
      <c r="A843" s="1">
        <v>44774</v>
      </c>
      <c r="B843" s="1" t="s">
        <v>1112</v>
      </c>
      <c r="C843" s="2" t="s">
        <v>1104</v>
      </c>
      <c r="D843" s="2" t="s">
        <v>279</v>
      </c>
      <c r="E843" s="2" t="s">
        <v>737</v>
      </c>
      <c r="F843" s="2" t="s">
        <v>451</v>
      </c>
      <c r="G843" s="2" t="s">
        <v>146</v>
      </c>
      <c r="H843" s="2" t="s">
        <v>1105</v>
      </c>
      <c r="I843" t="s">
        <v>198</v>
      </c>
      <c r="J843" s="18">
        <v>14541.54</v>
      </c>
      <c r="K843" s="18"/>
      <c r="L843" s="18">
        <v>14539.324535888099</v>
      </c>
      <c r="M843" s="18">
        <v>187.28705709665999</v>
      </c>
      <c r="N843" s="18"/>
      <c r="O843" s="18"/>
      <c r="P843" s="3">
        <v>0</v>
      </c>
      <c r="Q843" s="3">
        <v>0</v>
      </c>
      <c r="R843" s="3">
        <v>0</v>
      </c>
      <c r="S843" s="3"/>
      <c r="T843" s="3" t="b">
        <v>0</v>
      </c>
      <c r="U843" s="3">
        <v>2773</v>
      </c>
      <c r="V843" s="3">
        <v>0</v>
      </c>
      <c r="W843" s="3">
        <v>2249</v>
      </c>
      <c r="X843" s="3">
        <v>13.15</v>
      </c>
    </row>
    <row r="844" spans="1:24" hidden="1">
      <c r="A844" s="1">
        <v>44805</v>
      </c>
      <c r="B844" s="1" t="s">
        <v>1113</v>
      </c>
      <c r="C844" s="2" t="s">
        <v>1104</v>
      </c>
      <c r="D844" s="2" t="s">
        <v>279</v>
      </c>
      <c r="E844" s="2" t="s">
        <v>737</v>
      </c>
      <c r="F844" s="2" t="s">
        <v>451</v>
      </c>
      <c r="G844" s="2" t="s">
        <v>146</v>
      </c>
      <c r="H844" s="2" t="s">
        <v>1105</v>
      </c>
      <c r="I844" t="s">
        <v>198</v>
      </c>
      <c r="J844" s="18">
        <v>14974.87</v>
      </c>
      <c r="K844" s="18"/>
      <c r="L844" s="18">
        <v>14596.319637460299</v>
      </c>
      <c r="M844" s="18">
        <v>304.40133876797398</v>
      </c>
      <c r="N844" s="18"/>
      <c r="O844" s="18"/>
      <c r="P844" s="3">
        <v>0</v>
      </c>
      <c r="Q844" s="3">
        <v>0</v>
      </c>
      <c r="R844" s="3">
        <v>0</v>
      </c>
      <c r="S844" s="3"/>
      <c r="T844" s="3" t="b">
        <v>0</v>
      </c>
      <c r="U844" s="3">
        <v>2391</v>
      </c>
      <c r="V844" s="3">
        <v>1</v>
      </c>
      <c r="W844" s="3">
        <v>1595</v>
      </c>
      <c r="X844" s="3">
        <v>11.95</v>
      </c>
    </row>
    <row r="845" spans="1:24" hidden="1">
      <c r="A845" s="1">
        <v>44835</v>
      </c>
      <c r="B845" s="1" t="s">
        <v>1114</v>
      </c>
      <c r="C845" s="2" t="s">
        <v>1104</v>
      </c>
      <c r="D845" s="2" t="s">
        <v>279</v>
      </c>
      <c r="E845" s="2" t="s">
        <v>737</v>
      </c>
      <c r="F845" s="2" t="s">
        <v>451</v>
      </c>
      <c r="G845" s="2" t="s">
        <v>146</v>
      </c>
      <c r="H845" s="2" t="s">
        <v>1105</v>
      </c>
      <c r="I845" t="s">
        <v>198</v>
      </c>
      <c r="J845" s="18">
        <v>14492.41</v>
      </c>
      <c r="K845" s="18"/>
      <c r="L845" s="18">
        <v>14651.4761882395</v>
      </c>
      <c r="M845" s="18">
        <v>-1664.8095960179801</v>
      </c>
      <c r="N845" s="18"/>
      <c r="O845" s="18"/>
      <c r="P845" s="3">
        <v>0</v>
      </c>
      <c r="Q845" s="3">
        <v>0</v>
      </c>
      <c r="R845" s="3">
        <v>0</v>
      </c>
      <c r="S845" s="3"/>
      <c r="T845" s="3" t="b">
        <v>1</v>
      </c>
      <c r="U845" s="3">
        <v>2636</v>
      </c>
      <c r="V845" s="3">
        <v>0</v>
      </c>
      <c r="W845" s="3">
        <v>2826</v>
      </c>
      <c r="X845" s="3">
        <v>11.08</v>
      </c>
    </row>
    <row r="846" spans="1:24" hidden="1">
      <c r="A846" s="1">
        <v>44866</v>
      </c>
      <c r="B846" s="1" t="s">
        <v>1115</v>
      </c>
      <c r="C846" s="2" t="s">
        <v>1104</v>
      </c>
      <c r="D846" s="2" t="s">
        <v>279</v>
      </c>
      <c r="E846" s="2" t="s">
        <v>737</v>
      </c>
      <c r="F846" s="2" t="s">
        <v>451</v>
      </c>
      <c r="G846" s="2" t="s">
        <v>146</v>
      </c>
      <c r="H846" s="2" t="s">
        <v>1105</v>
      </c>
      <c r="I846" t="s">
        <v>198</v>
      </c>
      <c r="J846" s="18">
        <v>14732.51</v>
      </c>
      <c r="K846" s="18"/>
      <c r="L846" s="18">
        <v>14708.471291596699</v>
      </c>
      <c r="M846" s="18">
        <v>509.85558291790699</v>
      </c>
      <c r="N846" s="18"/>
      <c r="O846" s="18"/>
      <c r="P846" s="3">
        <v>0</v>
      </c>
      <c r="Q846" s="3">
        <v>0</v>
      </c>
      <c r="R846" s="3">
        <v>0</v>
      </c>
      <c r="S846" s="3"/>
      <c r="T846" s="3" t="b">
        <v>0</v>
      </c>
      <c r="U846" s="3">
        <v>4354</v>
      </c>
      <c r="V846" s="3">
        <v>0</v>
      </c>
      <c r="W846" s="3">
        <v>1434</v>
      </c>
      <c r="X846" s="3">
        <v>11.69</v>
      </c>
    </row>
    <row r="847" spans="1:24" hidden="1">
      <c r="A847" s="1">
        <v>44896</v>
      </c>
      <c r="B847" s="1" t="s">
        <v>1116</v>
      </c>
      <c r="C847" s="2" t="s">
        <v>1104</v>
      </c>
      <c r="D847" s="2" t="s">
        <v>279</v>
      </c>
      <c r="E847" s="2" t="s">
        <v>737</v>
      </c>
      <c r="F847" s="2" t="s">
        <v>451</v>
      </c>
      <c r="G847" s="2" t="s">
        <v>146</v>
      </c>
      <c r="H847" s="2" t="s">
        <v>1105</v>
      </c>
      <c r="I847" t="s">
        <v>198</v>
      </c>
      <c r="J847" s="18">
        <v>14124.34</v>
      </c>
      <c r="K847" s="18"/>
      <c r="L847" s="18">
        <v>14763.627845988</v>
      </c>
      <c r="M847" s="18">
        <v>73.085609282462002</v>
      </c>
      <c r="N847" s="18"/>
      <c r="O847" s="18"/>
      <c r="P847" s="3">
        <v>0</v>
      </c>
      <c r="Q847" s="3">
        <v>0</v>
      </c>
      <c r="R847" s="3">
        <v>0</v>
      </c>
      <c r="S847" s="3"/>
      <c r="T847" s="3" t="b">
        <v>0</v>
      </c>
      <c r="U847" s="3">
        <v>4942</v>
      </c>
      <c r="V847" s="3">
        <v>0</v>
      </c>
      <c r="W847" s="3">
        <v>1881</v>
      </c>
      <c r="X847" s="3">
        <v>11.16</v>
      </c>
    </row>
    <row r="848" spans="1:24" hidden="1">
      <c r="A848" s="1">
        <v>44927</v>
      </c>
      <c r="B848" s="1" t="s">
        <v>1117</v>
      </c>
      <c r="C848" s="2" t="s">
        <v>1104</v>
      </c>
      <c r="D848" s="2" t="s">
        <v>279</v>
      </c>
      <c r="E848" s="2" t="s">
        <v>737</v>
      </c>
      <c r="F848" s="2" t="s">
        <v>451</v>
      </c>
      <c r="G848" s="2" t="s">
        <v>146</v>
      </c>
      <c r="H848" s="2" t="s">
        <v>1105</v>
      </c>
      <c r="I848" t="s">
        <v>198</v>
      </c>
      <c r="J848" s="18">
        <v>14507.26</v>
      </c>
      <c r="K848" s="18"/>
      <c r="L848" s="18">
        <v>14820.6564516248</v>
      </c>
      <c r="M848" s="18">
        <v>257.76379891223701</v>
      </c>
      <c r="N848" s="18"/>
      <c r="O848" s="18"/>
      <c r="P848" s="3">
        <v>0</v>
      </c>
      <c r="Q848" s="3">
        <v>0</v>
      </c>
      <c r="R848" s="3">
        <v>0</v>
      </c>
      <c r="S848" s="3"/>
      <c r="T848" s="3" t="b">
        <v>0</v>
      </c>
      <c r="U848" s="3">
        <v>4699</v>
      </c>
      <c r="V848" s="3">
        <v>0</v>
      </c>
      <c r="W848" s="3">
        <v>2020</v>
      </c>
      <c r="X848" s="3">
        <v>12.14</v>
      </c>
    </row>
    <row r="849" spans="1:24" hidden="1">
      <c r="A849" s="1">
        <v>44958</v>
      </c>
      <c r="B849" s="1" t="s">
        <v>1118</v>
      </c>
      <c r="C849" s="2" t="s">
        <v>1104</v>
      </c>
      <c r="D849" s="2" t="s">
        <v>279</v>
      </c>
      <c r="E849" s="2" t="s">
        <v>737</v>
      </c>
      <c r="F849" s="2" t="s">
        <v>451</v>
      </c>
      <c r="G849" s="2" t="s">
        <v>146</v>
      </c>
      <c r="H849" s="2" t="s">
        <v>1105</v>
      </c>
      <c r="I849" t="s">
        <v>198</v>
      </c>
      <c r="J849" s="18">
        <v>14285.73</v>
      </c>
      <c r="K849" s="18"/>
      <c r="L849" s="18">
        <v>14877.7798363192</v>
      </c>
      <c r="M849" s="18">
        <v>22.5642644565919</v>
      </c>
      <c r="N849" s="18"/>
      <c r="O849" s="18"/>
      <c r="P849" s="3">
        <v>0</v>
      </c>
      <c r="Q849" s="3">
        <v>0</v>
      </c>
      <c r="R849" s="3">
        <v>0</v>
      </c>
      <c r="S849" s="3"/>
      <c r="T849" s="3" t="b">
        <v>0</v>
      </c>
      <c r="U849" s="3">
        <v>4888</v>
      </c>
      <c r="V849" s="3">
        <v>0</v>
      </c>
      <c r="W849" s="3">
        <v>2781</v>
      </c>
      <c r="X849" s="3">
        <v>10.55</v>
      </c>
    </row>
    <row r="850" spans="1:24" hidden="1">
      <c r="A850" s="1">
        <v>44986</v>
      </c>
      <c r="B850" s="1" t="s">
        <v>1119</v>
      </c>
      <c r="C850" s="2" t="s">
        <v>1104</v>
      </c>
      <c r="D850" s="2" t="s">
        <v>279</v>
      </c>
      <c r="E850" s="2" t="s">
        <v>737</v>
      </c>
      <c r="F850" s="2" t="s">
        <v>451</v>
      </c>
      <c r="G850" s="2" t="s">
        <v>146</v>
      </c>
      <c r="H850" s="2" t="s">
        <v>1105</v>
      </c>
      <c r="I850" t="s">
        <v>198</v>
      </c>
      <c r="J850" s="18">
        <v>14256.73</v>
      </c>
      <c r="K850" s="18"/>
      <c r="L850" s="18">
        <v>14929.611992333999</v>
      </c>
      <c r="M850" s="18">
        <v>-0.54537986120955895</v>
      </c>
      <c r="N850" s="18"/>
      <c r="O850" s="18"/>
      <c r="P850" s="3">
        <v>0</v>
      </c>
      <c r="Q850" s="3">
        <v>0</v>
      </c>
      <c r="R850" s="3">
        <v>0</v>
      </c>
      <c r="S850" s="3"/>
      <c r="T850" s="3" t="b">
        <v>0</v>
      </c>
      <c r="U850" s="3">
        <v>3025</v>
      </c>
      <c r="V850" s="3">
        <v>0</v>
      </c>
      <c r="W850" s="3">
        <v>1401</v>
      </c>
      <c r="X850" s="3">
        <v>14.1</v>
      </c>
    </row>
    <row r="851" spans="1:24" hidden="1">
      <c r="A851" s="1">
        <v>45017</v>
      </c>
      <c r="B851" s="1" t="s">
        <v>1120</v>
      </c>
      <c r="C851" s="2" t="s">
        <v>1104</v>
      </c>
      <c r="D851" s="2" t="s">
        <v>279</v>
      </c>
      <c r="E851" s="2" t="s">
        <v>737</v>
      </c>
      <c r="F851" s="2" t="s">
        <v>451</v>
      </c>
      <c r="G851" s="2" t="s">
        <v>146</v>
      </c>
      <c r="H851" s="2" t="s">
        <v>1105</v>
      </c>
      <c r="I851" t="s">
        <v>198</v>
      </c>
      <c r="J851" s="18">
        <v>14750.84</v>
      </c>
      <c r="K851" s="18"/>
      <c r="L851" s="18">
        <v>14987.2420229486</v>
      </c>
      <c r="M851" s="18">
        <v>-27.925207080039499</v>
      </c>
      <c r="N851" s="18"/>
      <c r="O851" s="18"/>
      <c r="P851" s="3">
        <v>0</v>
      </c>
      <c r="Q851" s="3">
        <v>0</v>
      </c>
      <c r="R851" s="3">
        <v>0</v>
      </c>
      <c r="S851" s="3"/>
      <c r="T851" s="3" t="b">
        <v>0</v>
      </c>
      <c r="U851" s="3">
        <v>4567</v>
      </c>
      <c r="V851" s="3">
        <v>0</v>
      </c>
      <c r="W851" s="3">
        <v>1621</v>
      </c>
      <c r="X851" s="3">
        <v>11.41</v>
      </c>
    </row>
    <row r="852" spans="1:24" hidden="1">
      <c r="A852" s="1">
        <v>45047</v>
      </c>
      <c r="B852" s="1" t="s">
        <v>1121</v>
      </c>
      <c r="C852" s="2" t="s">
        <v>1104</v>
      </c>
      <c r="D852" s="2" t="s">
        <v>279</v>
      </c>
      <c r="E852" s="2" t="s">
        <v>737</v>
      </c>
      <c r="F852" s="2" t="s">
        <v>451</v>
      </c>
      <c r="G852" s="2" t="s">
        <v>146</v>
      </c>
      <c r="H852" s="2" t="s">
        <v>1105</v>
      </c>
      <c r="I852" t="s">
        <v>198</v>
      </c>
      <c r="J852" s="18">
        <v>15126.23</v>
      </c>
      <c r="K852" s="18"/>
      <c r="L852" s="18">
        <v>15043.0197687982</v>
      </c>
      <c r="M852" s="18">
        <v>176.49278247352399</v>
      </c>
      <c r="N852" s="18"/>
      <c r="O852" s="18"/>
      <c r="P852" s="3">
        <v>0</v>
      </c>
      <c r="Q852" s="3">
        <v>0</v>
      </c>
      <c r="R852" s="3">
        <v>0</v>
      </c>
      <c r="S852" s="3"/>
      <c r="T852" s="3" t="b">
        <v>0</v>
      </c>
      <c r="U852" s="3">
        <v>3674</v>
      </c>
      <c r="V852" s="3">
        <v>0</v>
      </c>
      <c r="W852" s="3">
        <v>2789</v>
      </c>
      <c r="X852" s="3">
        <v>10.199999999999999</v>
      </c>
    </row>
    <row r="853" spans="1:24" hidden="1">
      <c r="A853" s="1">
        <v>45078</v>
      </c>
      <c r="B853" s="1" t="s">
        <v>1122</v>
      </c>
      <c r="C853" s="2" t="s">
        <v>1104</v>
      </c>
      <c r="D853" s="2" t="s">
        <v>279</v>
      </c>
      <c r="E853" s="2" t="s">
        <v>737</v>
      </c>
      <c r="F853" s="2" t="s">
        <v>451</v>
      </c>
      <c r="G853" s="2" t="s">
        <v>146</v>
      </c>
      <c r="H853" s="2" t="s">
        <v>1105</v>
      </c>
      <c r="I853" t="s">
        <v>198</v>
      </c>
      <c r="J853" s="18">
        <v>15005.26</v>
      </c>
      <c r="K853" s="18"/>
      <c r="L853" s="18">
        <v>15100.6945409731</v>
      </c>
      <c r="M853" s="18">
        <v>19.6905652474777</v>
      </c>
      <c r="N853" s="18"/>
      <c r="O853" s="18"/>
      <c r="P853" s="3">
        <v>0</v>
      </c>
      <c r="Q853" s="3">
        <v>0</v>
      </c>
      <c r="R853" s="3">
        <v>0</v>
      </c>
      <c r="S853" s="3"/>
      <c r="T853" s="3" t="b">
        <v>0</v>
      </c>
      <c r="U853" s="3">
        <v>4683</v>
      </c>
      <c r="V853" s="3">
        <v>0</v>
      </c>
      <c r="W853" s="3">
        <v>1087</v>
      </c>
      <c r="X853" s="3">
        <v>10.050000000000001</v>
      </c>
    </row>
    <row r="854" spans="1:24" hidden="1">
      <c r="A854" s="1">
        <v>45108</v>
      </c>
      <c r="B854" s="1" t="s">
        <v>1123</v>
      </c>
      <c r="C854" s="2" t="s">
        <v>1104</v>
      </c>
      <c r="D854" s="2" t="s">
        <v>279</v>
      </c>
      <c r="E854" s="2" t="s">
        <v>737</v>
      </c>
      <c r="F854" s="2" t="s">
        <v>451</v>
      </c>
      <c r="G854" s="2" t="s">
        <v>146</v>
      </c>
      <c r="H854" s="2" t="s">
        <v>1105</v>
      </c>
      <c r="I854" t="s">
        <v>198</v>
      </c>
      <c r="J854" s="18">
        <v>15135.74</v>
      </c>
      <c r="K854" s="18"/>
      <c r="L854" s="18">
        <v>15156.508884311001</v>
      </c>
      <c r="M854" s="18">
        <v>322.37118206034199</v>
      </c>
      <c r="N854" s="18"/>
      <c r="O854" s="18"/>
      <c r="P854" s="3">
        <v>0</v>
      </c>
      <c r="Q854" s="3">
        <v>0</v>
      </c>
      <c r="R854" s="3">
        <v>0</v>
      </c>
      <c r="S854" s="3"/>
      <c r="T854" s="3" t="b">
        <v>0</v>
      </c>
      <c r="U854" s="3">
        <v>2739</v>
      </c>
      <c r="V854" s="3">
        <v>0</v>
      </c>
      <c r="W854" s="3">
        <v>1583</v>
      </c>
      <c r="X854" s="3">
        <v>11.78</v>
      </c>
    </row>
    <row r="855" spans="1:24" hidden="1">
      <c r="A855" s="1">
        <v>45139</v>
      </c>
      <c r="B855" s="1" t="s">
        <v>1124</v>
      </c>
      <c r="C855" s="2" t="s">
        <v>1104</v>
      </c>
      <c r="D855" s="2" t="s">
        <v>279</v>
      </c>
      <c r="E855" s="2" t="s">
        <v>737</v>
      </c>
      <c r="F855" s="2" t="s">
        <v>451</v>
      </c>
      <c r="G855" s="2" t="s">
        <v>146</v>
      </c>
      <c r="H855" s="2" t="s">
        <v>1105</v>
      </c>
      <c r="I855" t="s">
        <v>198</v>
      </c>
      <c r="J855" s="18">
        <v>15667.08</v>
      </c>
      <c r="K855" s="18"/>
      <c r="L855" s="18">
        <v>15214.3291076807</v>
      </c>
      <c r="M855" s="18">
        <v>144.64962644077201</v>
      </c>
      <c r="N855" s="18"/>
      <c r="O855" s="18"/>
      <c r="P855" s="3">
        <v>0</v>
      </c>
      <c r="Q855" s="3">
        <v>0</v>
      </c>
      <c r="R855" s="3">
        <v>0</v>
      </c>
      <c r="S855" s="3"/>
      <c r="T855" s="3" t="b">
        <v>0</v>
      </c>
      <c r="U855" s="3">
        <v>3545</v>
      </c>
      <c r="V855" s="3">
        <v>0</v>
      </c>
      <c r="W855" s="3">
        <v>2916</v>
      </c>
      <c r="X855" s="3">
        <v>12.87</v>
      </c>
    </row>
    <row r="856" spans="1:24" hidden="1">
      <c r="A856" s="1">
        <v>45170</v>
      </c>
      <c r="B856" s="1" t="s">
        <v>1125</v>
      </c>
      <c r="C856" s="2" t="s">
        <v>1104</v>
      </c>
      <c r="D856" s="2" t="s">
        <v>279</v>
      </c>
      <c r="E856" s="2" t="s">
        <v>737</v>
      </c>
      <c r="F856" s="2" t="s">
        <v>451</v>
      </c>
      <c r="G856" s="2" t="s">
        <v>146</v>
      </c>
      <c r="H856" s="2" t="s">
        <v>1105</v>
      </c>
      <c r="I856" t="s">
        <v>198</v>
      </c>
      <c r="J856" s="18">
        <v>15885.17</v>
      </c>
      <c r="K856" s="18"/>
      <c r="L856" s="18">
        <v>15272.1493351353</v>
      </c>
      <c r="M856" s="18">
        <v>354.85773292443503</v>
      </c>
      <c r="N856" s="18"/>
      <c r="O856" s="18"/>
      <c r="P856" s="3">
        <v>0</v>
      </c>
      <c r="Q856" s="3">
        <v>0</v>
      </c>
      <c r="R856" s="3">
        <v>0</v>
      </c>
      <c r="S856" s="3"/>
      <c r="T856" s="3" t="b">
        <v>1</v>
      </c>
      <c r="U856" s="3">
        <v>2468</v>
      </c>
      <c r="V856" s="3">
        <v>1</v>
      </c>
      <c r="W856" s="3">
        <v>2565</v>
      </c>
      <c r="X856" s="3">
        <v>10.18</v>
      </c>
    </row>
    <row r="857" spans="1:24" hidden="1">
      <c r="A857" s="1">
        <v>45200</v>
      </c>
      <c r="B857" s="1" t="s">
        <v>1126</v>
      </c>
      <c r="C857" s="2" t="s">
        <v>1104</v>
      </c>
      <c r="D857" s="2" t="s">
        <v>279</v>
      </c>
      <c r="E857" s="2" t="s">
        <v>737</v>
      </c>
      <c r="F857" s="2" t="s">
        <v>451</v>
      </c>
      <c r="G857" s="2" t="s">
        <v>146</v>
      </c>
      <c r="H857" s="2" t="s">
        <v>1105</v>
      </c>
      <c r="I857" t="s">
        <v>198</v>
      </c>
      <c r="J857" s="18">
        <v>12164.86</v>
      </c>
      <c r="K857" s="18"/>
      <c r="L857" s="18">
        <v>15328.1043939052</v>
      </c>
      <c r="M857" s="18">
        <v>-1700.0009336766</v>
      </c>
      <c r="N857" s="18"/>
      <c r="O857" s="18"/>
      <c r="P857" s="3">
        <v>0</v>
      </c>
      <c r="Q857" s="3">
        <v>0</v>
      </c>
      <c r="R857" s="3">
        <v>1</v>
      </c>
      <c r="S857" s="3"/>
      <c r="T857" s="3" t="b">
        <v>0</v>
      </c>
      <c r="U857" s="3">
        <v>4259</v>
      </c>
      <c r="V857" s="3">
        <v>1</v>
      </c>
      <c r="W857" s="3">
        <v>2707</v>
      </c>
      <c r="X857" s="3">
        <v>11.6</v>
      </c>
    </row>
    <row r="858" spans="1:24" hidden="1">
      <c r="A858" s="1">
        <v>45231</v>
      </c>
      <c r="B858" s="1" t="s">
        <v>1127</v>
      </c>
      <c r="C858" s="2" t="s">
        <v>1104</v>
      </c>
      <c r="D858" s="2" t="s">
        <v>279</v>
      </c>
      <c r="E858" s="2" t="s">
        <v>737</v>
      </c>
      <c r="F858" s="2" t="s">
        <v>451</v>
      </c>
      <c r="G858" s="2" t="s">
        <v>146</v>
      </c>
      <c r="H858" s="2" t="s">
        <v>1105</v>
      </c>
      <c r="I858" t="s">
        <v>198</v>
      </c>
      <c r="J858" s="18">
        <v>16366.63</v>
      </c>
      <c r="K858" s="18"/>
      <c r="L858" s="18">
        <v>15385.924622186099</v>
      </c>
      <c r="M858" s="18">
        <v>529.83173750795504</v>
      </c>
      <c r="N858" s="18"/>
      <c r="O858" s="18"/>
      <c r="P858" s="3">
        <v>0</v>
      </c>
      <c r="Q858" s="3">
        <v>0</v>
      </c>
      <c r="R858" s="3">
        <v>0</v>
      </c>
      <c r="S858" s="3"/>
      <c r="T858" s="3" t="b">
        <v>0</v>
      </c>
      <c r="U858" s="3">
        <v>3135</v>
      </c>
      <c r="V858" s="3">
        <v>0</v>
      </c>
      <c r="W858" s="3">
        <v>1308</v>
      </c>
      <c r="X858" s="3">
        <v>11.71</v>
      </c>
    </row>
    <row r="859" spans="1:24" hidden="1">
      <c r="A859" s="1">
        <v>45261</v>
      </c>
      <c r="B859" s="1" t="s">
        <v>1128</v>
      </c>
      <c r="C859" s="2" t="s">
        <v>1104</v>
      </c>
      <c r="D859" s="2" t="s">
        <v>279</v>
      </c>
      <c r="E859" s="2" t="s">
        <v>737</v>
      </c>
      <c r="F859" s="2" t="s">
        <v>451</v>
      </c>
      <c r="G859" s="2" t="s">
        <v>146</v>
      </c>
      <c r="H859" s="2" t="s">
        <v>1105</v>
      </c>
      <c r="I859" t="s">
        <v>198</v>
      </c>
      <c r="J859" s="18">
        <v>16207.83</v>
      </c>
      <c r="K859" s="18"/>
      <c r="L859" s="18">
        <v>15441.879681021701</v>
      </c>
      <c r="M859" s="18">
        <v>48.5709595792</v>
      </c>
      <c r="N859" s="18"/>
      <c r="O859" s="18"/>
      <c r="P859" s="3">
        <v>0</v>
      </c>
      <c r="Q859" s="3">
        <v>0</v>
      </c>
      <c r="R859" s="3">
        <v>0</v>
      </c>
      <c r="S859" s="3"/>
      <c r="T859" s="3" t="b">
        <v>0</v>
      </c>
      <c r="U859" s="3">
        <v>3031</v>
      </c>
      <c r="V859" s="3">
        <v>1</v>
      </c>
      <c r="W859" s="3">
        <v>1905</v>
      </c>
      <c r="X859" s="3">
        <v>12.44</v>
      </c>
    </row>
    <row r="860" spans="1:24" hidden="1">
      <c r="A860" s="1">
        <v>45292</v>
      </c>
      <c r="B860" s="1" t="s">
        <v>1129</v>
      </c>
      <c r="C860" s="2" t="s">
        <v>1104</v>
      </c>
      <c r="D860" s="2" t="s">
        <v>279</v>
      </c>
      <c r="E860" s="2" t="s">
        <v>737</v>
      </c>
      <c r="F860" s="2" t="s">
        <v>451</v>
      </c>
      <c r="G860" s="2" t="s">
        <v>146</v>
      </c>
      <c r="H860" s="2" t="s">
        <v>1105</v>
      </c>
      <c r="I860" t="s">
        <v>198</v>
      </c>
      <c r="J860" s="18">
        <v>16575.18</v>
      </c>
      <c r="K860" s="18"/>
      <c r="L860" s="18">
        <v>15499.6999089567</v>
      </c>
      <c r="M860" s="18">
        <v>285.81687636796198</v>
      </c>
      <c r="N860" s="18"/>
      <c r="O860" s="18"/>
      <c r="P860" s="3">
        <v>0</v>
      </c>
      <c r="Q860" s="3">
        <v>0</v>
      </c>
      <c r="R860" s="3">
        <v>0</v>
      </c>
      <c r="S860" s="3"/>
      <c r="T860" s="3" t="b">
        <v>0</v>
      </c>
      <c r="U860" s="3">
        <v>4851</v>
      </c>
      <c r="V860" s="3">
        <v>0</v>
      </c>
      <c r="W860" s="3">
        <v>1342</v>
      </c>
      <c r="X860" s="3">
        <v>12.8</v>
      </c>
    </row>
    <row r="861" spans="1:24" hidden="1">
      <c r="A861" s="1">
        <v>45323</v>
      </c>
      <c r="B861" s="1" t="s">
        <v>1130</v>
      </c>
      <c r="C861" s="2" t="s">
        <v>1104</v>
      </c>
      <c r="D861" s="2" t="s">
        <v>279</v>
      </c>
      <c r="E861" s="2" t="s">
        <v>737</v>
      </c>
      <c r="F861" s="2" t="s">
        <v>451</v>
      </c>
      <c r="G861" s="2" t="s">
        <v>146</v>
      </c>
      <c r="H861" s="2" t="s">
        <v>1105</v>
      </c>
      <c r="I861" t="s">
        <v>198</v>
      </c>
      <c r="J861" s="18">
        <v>16187.21</v>
      </c>
      <c r="K861" s="18"/>
      <c r="L861" s="18">
        <v>15557.520137261999</v>
      </c>
      <c r="M861" s="18">
        <v>-3.5185593592341302</v>
      </c>
      <c r="N861" s="18"/>
      <c r="O861" s="18"/>
      <c r="P861" s="3">
        <v>0</v>
      </c>
      <c r="Q861" s="3">
        <v>0</v>
      </c>
      <c r="R861" s="3">
        <v>0</v>
      </c>
      <c r="S861" s="3"/>
      <c r="T861" s="3" t="b">
        <v>0</v>
      </c>
      <c r="U861" s="3">
        <v>4524</v>
      </c>
      <c r="V861" s="3">
        <v>0</v>
      </c>
      <c r="W861" s="3">
        <v>1435</v>
      </c>
      <c r="X861" s="3">
        <v>10.98</v>
      </c>
    </row>
    <row r="862" spans="1:24" hidden="1">
      <c r="A862" s="1">
        <v>45352</v>
      </c>
      <c r="B862" s="1" t="s">
        <v>1131</v>
      </c>
      <c r="C862" s="2" t="s">
        <v>1104</v>
      </c>
      <c r="D862" s="2" t="s">
        <v>279</v>
      </c>
      <c r="E862" s="2" t="s">
        <v>737</v>
      </c>
      <c r="F862" s="2" t="s">
        <v>451</v>
      </c>
      <c r="G862" s="2" t="s">
        <v>146</v>
      </c>
      <c r="H862" s="2" t="s">
        <v>1105</v>
      </c>
      <c r="I862" t="s">
        <v>198</v>
      </c>
      <c r="J862" s="18">
        <v>15983.69</v>
      </c>
      <c r="K862" s="18"/>
      <c r="L862" s="18">
        <v>15611.610028225499</v>
      </c>
      <c r="M862" s="18">
        <v>-87.265171796928598</v>
      </c>
      <c r="N862" s="18"/>
      <c r="O862" s="18"/>
      <c r="P862" s="3">
        <v>0</v>
      </c>
      <c r="Q862" s="3">
        <v>0</v>
      </c>
      <c r="R862" s="3">
        <v>0</v>
      </c>
      <c r="S862" s="3"/>
      <c r="T862" s="3" t="b">
        <v>0</v>
      </c>
      <c r="U862" s="3">
        <v>2873</v>
      </c>
      <c r="V862" s="3">
        <v>1</v>
      </c>
      <c r="W862" s="3">
        <v>1176</v>
      </c>
      <c r="X862" s="3">
        <v>40</v>
      </c>
    </row>
    <row r="863" spans="1:24" hidden="1">
      <c r="A863" s="1">
        <v>45383</v>
      </c>
      <c r="B863" s="1" t="s">
        <v>1132</v>
      </c>
      <c r="C863" s="2" t="s">
        <v>1104</v>
      </c>
      <c r="D863" s="2" t="s">
        <v>279</v>
      </c>
      <c r="E863" s="2" t="s">
        <v>737</v>
      </c>
      <c r="F863" s="2" t="s">
        <v>451</v>
      </c>
      <c r="G863" s="2" t="s">
        <v>146</v>
      </c>
      <c r="H863" s="2" t="s">
        <v>1105</v>
      </c>
      <c r="I863" t="s">
        <v>198</v>
      </c>
      <c r="J863" s="18">
        <v>15635.56</v>
      </c>
      <c r="K863" s="18"/>
      <c r="L863" s="18">
        <v>15669.4302564968</v>
      </c>
      <c r="M863" s="18">
        <v>71.341867211326402</v>
      </c>
      <c r="N863" s="18"/>
      <c r="O863" s="18"/>
      <c r="P863" s="3">
        <v>0</v>
      </c>
      <c r="Q863" s="3">
        <v>0</v>
      </c>
      <c r="R863" s="3">
        <v>0</v>
      </c>
      <c r="S863" s="3"/>
      <c r="T863" s="3" t="b">
        <v>0</v>
      </c>
      <c r="U863" s="3">
        <v>2459</v>
      </c>
      <c r="V863" s="3">
        <v>0</v>
      </c>
      <c r="W863" s="3">
        <v>1138</v>
      </c>
      <c r="X863" s="3">
        <v>11.35</v>
      </c>
    </row>
    <row r="864" spans="1:24" hidden="1">
      <c r="A864" s="1">
        <v>45413</v>
      </c>
      <c r="B864" s="1" t="s">
        <v>1133</v>
      </c>
      <c r="C864" s="2" t="s">
        <v>1104</v>
      </c>
      <c r="D864" s="2" t="s">
        <v>279</v>
      </c>
      <c r="E864" s="2" t="s">
        <v>737</v>
      </c>
      <c r="F864" s="2" t="s">
        <v>451</v>
      </c>
      <c r="G864" s="2" t="s">
        <v>146</v>
      </c>
      <c r="H864" s="2" t="s">
        <v>1105</v>
      </c>
      <c r="I864" t="s">
        <v>198</v>
      </c>
      <c r="J864" s="18">
        <v>15827.21</v>
      </c>
      <c r="K864" s="18"/>
      <c r="L864" s="18">
        <v>15725.3853161142</v>
      </c>
      <c r="M864" s="18">
        <v>73.783231207928694</v>
      </c>
      <c r="N864" s="18"/>
      <c r="O864" s="18"/>
      <c r="P864" s="3">
        <v>0</v>
      </c>
      <c r="Q864" s="3">
        <v>0</v>
      </c>
      <c r="R864" s="3">
        <v>0</v>
      </c>
      <c r="S864" s="3"/>
      <c r="T864" s="3" t="b">
        <v>0</v>
      </c>
      <c r="U864" s="3">
        <v>4300</v>
      </c>
      <c r="V864" s="3">
        <v>2</v>
      </c>
      <c r="W864" s="3">
        <v>1193</v>
      </c>
      <c r="X864" s="3">
        <v>12.31</v>
      </c>
    </row>
    <row r="865" spans="1:24" hidden="1">
      <c r="A865" s="1">
        <v>45444</v>
      </c>
      <c r="B865" s="1" t="s">
        <v>1134</v>
      </c>
      <c r="C865" s="2" t="s">
        <v>1104</v>
      </c>
      <c r="D865" s="2" t="s">
        <v>279</v>
      </c>
      <c r="E865" s="2" t="s">
        <v>737</v>
      </c>
      <c r="F865" s="2" t="s">
        <v>451</v>
      </c>
      <c r="G865" s="2" t="s">
        <v>146</v>
      </c>
      <c r="H865" s="2" t="s">
        <v>1105</v>
      </c>
      <c r="I865" t="s">
        <v>198</v>
      </c>
      <c r="J865" s="18">
        <v>15771.8</v>
      </c>
      <c r="K865" s="18"/>
      <c r="L865" s="18">
        <v>15783.205544385601</v>
      </c>
      <c r="M865" s="18">
        <v>130.43219706571301</v>
      </c>
      <c r="N865" s="18"/>
      <c r="O865" s="18"/>
      <c r="P865" s="3">
        <v>0</v>
      </c>
      <c r="Q865" s="3">
        <v>0</v>
      </c>
      <c r="R865" s="3">
        <v>0</v>
      </c>
      <c r="S865" s="3"/>
      <c r="T865" s="3" t="b">
        <v>0</v>
      </c>
      <c r="U865" s="3">
        <v>3549</v>
      </c>
      <c r="V865" s="3">
        <v>0</v>
      </c>
      <c r="W865" s="3">
        <v>2209</v>
      </c>
      <c r="X865" s="3">
        <v>12.61</v>
      </c>
    </row>
    <row r="866" spans="1:24" hidden="1">
      <c r="A866" s="1">
        <v>45474</v>
      </c>
      <c r="B866" s="1" t="s">
        <v>1135</v>
      </c>
      <c r="C866" s="2" t="s">
        <v>1104</v>
      </c>
      <c r="D866" s="2" t="s">
        <v>279</v>
      </c>
      <c r="E866" s="2" t="s">
        <v>737</v>
      </c>
      <c r="F866" s="2" t="s">
        <v>451</v>
      </c>
      <c r="G866" s="2" t="s">
        <v>146</v>
      </c>
      <c r="H866" s="2" t="s">
        <v>1105</v>
      </c>
      <c r="I866" t="s">
        <v>198</v>
      </c>
      <c r="J866" s="18">
        <v>16043.7</v>
      </c>
      <c r="K866" s="18">
        <v>16048.63</v>
      </c>
      <c r="L866" s="18">
        <v>15839.160604003</v>
      </c>
      <c r="M866" s="18">
        <v>208.958465536457</v>
      </c>
      <c r="N866" s="18">
        <v>16248.63</v>
      </c>
      <c r="O866" s="18">
        <v>15848.63</v>
      </c>
      <c r="P866" s="3">
        <v>0</v>
      </c>
      <c r="Q866" s="3">
        <v>0</v>
      </c>
      <c r="R866" s="3">
        <v>0</v>
      </c>
      <c r="S866" s="3"/>
      <c r="T866" s="3" t="b">
        <v>0</v>
      </c>
      <c r="U866" s="3">
        <v>2751</v>
      </c>
      <c r="V866" s="3">
        <v>1</v>
      </c>
      <c r="W866" s="3">
        <v>2241</v>
      </c>
      <c r="X866" s="3">
        <v>12.98</v>
      </c>
    </row>
    <row r="867" spans="1:24" hidden="1">
      <c r="A867" s="1">
        <v>45505</v>
      </c>
      <c r="B867" s="1" t="s">
        <v>1136</v>
      </c>
      <c r="C867" s="2" t="s">
        <v>1104</v>
      </c>
      <c r="D867" s="2" t="s">
        <v>279</v>
      </c>
      <c r="E867" s="2" t="s">
        <v>737</v>
      </c>
      <c r="F867" s="2" t="s">
        <v>451</v>
      </c>
      <c r="G867" s="2" t="s">
        <v>146</v>
      </c>
      <c r="H867" s="2" t="s">
        <v>1105</v>
      </c>
      <c r="I867" t="s">
        <v>198</v>
      </c>
      <c r="J867" s="18">
        <v>16018.86</v>
      </c>
      <c r="K867" s="18">
        <v>16095.75</v>
      </c>
      <c r="L867" s="18">
        <v>15896.980832274299</v>
      </c>
      <c r="M867" s="18">
        <v>272.88317508425598</v>
      </c>
      <c r="N867" s="18">
        <v>16295.75</v>
      </c>
      <c r="O867" s="18">
        <v>15895.75</v>
      </c>
      <c r="P867" s="3">
        <v>0</v>
      </c>
      <c r="Q867" s="3">
        <v>0</v>
      </c>
      <c r="R867" s="3">
        <v>0</v>
      </c>
      <c r="S867" s="3"/>
      <c r="T867" s="3" t="b">
        <v>0</v>
      </c>
      <c r="U867" s="3">
        <v>3461</v>
      </c>
      <c r="V867" s="3">
        <v>0</v>
      </c>
      <c r="W867" s="3">
        <v>2187</v>
      </c>
      <c r="X867" s="3">
        <v>12.11</v>
      </c>
    </row>
    <row r="868" spans="1:24" hidden="1">
      <c r="A868" s="1">
        <v>45536</v>
      </c>
      <c r="B868" s="1" t="s">
        <v>1137</v>
      </c>
      <c r="C868" s="2" t="s">
        <v>1104</v>
      </c>
      <c r="D868" s="2" t="s">
        <v>279</v>
      </c>
      <c r="E868" s="2" t="s">
        <v>737</v>
      </c>
      <c r="F868" s="2" t="s">
        <v>451</v>
      </c>
      <c r="G868" s="2" t="s">
        <v>146</v>
      </c>
      <c r="H868" s="2" t="s">
        <v>1105</v>
      </c>
      <c r="I868" t="s">
        <v>198</v>
      </c>
      <c r="J868" s="18">
        <v>15828.41</v>
      </c>
      <c r="K868" s="18">
        <v>15767.58</v>
      </c>
      <c r="L868" s="18">
        <v>15954.8010605456</v>
      </c>
      <c r="M868" s="18">
        <v>202.70583521382301</v>
      </c>
      <c r="N868" s="18">
        <v>15967.58</v>
      </c>
      <c r="O868" s="18">
        <v>15567.58</v>
      </c>
      <c r="P868" s="3">
        <v>0</v>
      </c>
      <c r="Q868" s="3">
        <v>0</v>
      </c>
      <c r="R868" s="3">
        <v>0</v>
      </c>
      <c r="S868" s="3"/>
      <c r="T868" s="3" t="b">
        <v>0</v>
      </c>
      <c r="U868" s="3">
        <v>3777</v>
      </c>
      <c r="V868" s="3">
        <v>0</v>
      </c>
      <c r="W868" s="3">
        <v>2184</v>
      </c>
      <c r="X868" s="3">
        <v>12.55</v>
      </c>
    </row>
    <row r="869" spans="1:24" hidden="1">
      <c r="A869" s="1">
        <v>45566</v>
      </c>
      <c r="B869" s="1" t="s">
        <v>1138</v>
      </c>
      <c r="C869" s="2" t="s">
        <v>1104</v>
      </c>
      <c r="D869" s="2" t="s">
        <v>279</v>
      </c>
      <c r="E869" s="2" t="s">
        <v>737</v>
      </c>
      <c r="F869" s="2" t="s">
        <v>451</v>
      </c>
      <c r="G869" s="2" t="s">
        <v>146</v>
      </c>
      <c r="H869" s="2" t="s">
        <v>1105</v>
      </c>
      <c r="I869" t="s">
        <v>224</v>
      </c>
      <c r="J869" s="18"/>
      <c r="K869" s="18">
        <v>16329.11</v>
      </c>
      <c r="L869" s="18">
        <v>16010.756120163</v>
      </c>
      <c r="M869" s="18">
        <v>-1592.9395713233801</v>
      </c>
      <c r="N869" s="18">
        <v>16529.11</v>
      </c>
      <c r="O869" s="18">
        <v>16129.11</v>
      </c>
      <c r="P869" s="3"/>
      <c r="Q869" s="3"/>
      <c r="R869" s="3"/>
      <c r="S869" s="3"/>
      <c r="T869" s="3"/>
      <c r="U869" s="3"/>
      <c r="V869" s="3"/>
      <c r="W869" s="3">
        <v>1942</v>
      </c>
      <c r="X869" s="3">
        <v>13.26</v>
      </c>
    </row>
    <row r="870" spans="1:24" hidden="1">
      <c r="A870" s="1">
        <v>45597</v>
      </c>
      <c r="B870" s="1" t="s">
        <v>1139</v>
      </c>
      <c r="C870" s="2" t="s">
        <v>1104</v>
      </c>
      <c r="D870" s="2" t="s">
        <v>279</v>
      </c>
      <c r="E870" s="2" t="s">
        <v>737</v>
      </c>
      <c r="F870" s="2" t="s">
        <v>451</v>
      </c>
      <c r="G870" s="2" t="s">
        <v>146</v>
      </c>
      <c r="H870" s="2" t="s">
        <v>1105</v>
      </c>
      <c r="I870" t="s">
        <v>224</v>
      </c>
      <c r="J870" s="18"/>
      <c r="K870" s="18">
        <v>16659.78</v>
      </c>
      <c r="L870" s="18">
        <v>16068.576348434301</v>
      </c>
      <c r="M870" s="18">
        <v>468.93797112130699</v>
      </c>
      <c r="N870" s="18">
        <v>16859.78</v>
      </c>
      <c r="O870" s="18">
        <v>16459.78</v>
      </c>
      <c r="P870" s="3"/>
      <c r="Q870" s="3"/>
      <c r="R870" s="3"/>
      <c r="S870" s="3"/>
      <c r="T870" s="3"/>
      <c r="U870" s="3"/>
      <c r="V870" s="3"/>
      <c r="W870" s="3">
        <v>1524</v>
      </c>
      <c r="X870" s="3">
        <v>10.9</v>
      </c>
    </row>
    <row r="871" spans="1:24" hidden="1">
      <c r="A871" s="1">
        <v>45627</v>
      </c>
      <c r="B871" s="1" t="s">
        <v>1140</v>
      </c>
      <c r="C871" s="2" t="s">
        <v>1104</v>
      </c>
      <c r="D871" s="2" t="s">
        <v>279</v>
      </c>
      <c r="E871" s="2" t="s">
        <v>737</v>
      </c>
      <c r="F871" s="2" t="s">
        <v>451</v>
      </c>
      <c r="G871" s="2" t="s">
        <v>146</v>
      </c>
      <c r="H871" s="2" t="s">
        <v>1105</v>
      </c>
      <c r="I871" t="s">
        <v>224</v>
      </c>
      <c r="J871" s="18"/>
      <c r="K871" s="18">
        <v>16869.43</v>
      </c>
      <c r="L871" s="18">
        <v>16124.5314080518</v>
      </c>
      <c r="M871" s="18">
        <v>122.60217393484901</v>
      </c>
      <c r="N871" s="18">
        <v>17069.43</v>
      </c>
      <c r="O871" s="18">
        <v>16669.43</v>
      </c>
      <c r="P871" s="3"/>
      <c r="Q871" s="3"/>
      <c r="R871" s="3"/>
      <c r="S871" s="3"/>
      <c r="T871" s="3"/>
      <c r="U871" s="3"/>
      <c r="V871" s="3"/>
      <c r="W871" s="3">
        <v>2831</v>
      </c>
      <c r="X871" s="3">
        <v>12.87</v>
      </c>
    </row>
    <row r="872" spans="1:24" hidden="1">
      <c r="A872" s="1">
        <v>45200</v>
      </c>
      <c r="B872" s="1" t="s">
        <v>1141</v>
      </c>
      <c r="C872" s="2" t="s">
        <v>1142</v>
      </c>
      <c r="D872" s="2" t="s">
        <v>279</v>
      </c>
      <c r="E872" s="2" t="s">
        <v>737</v>
      </c>
      <c r="F872" s="2" t="s">
        <v>451</v>
      </c>
      <c r="G872" s="2" t="s">
        <v>282</v>
      </c>
      <c r="H872" s="2" t="s">
        <v>283</v>
      </c>
      <c r="I872" t="s">
        <v>198</v>
      </c>
      <c r="J872" s="18">
        <v>18796.68</v>
      </c>
      <c r="K872" s="18"/>
      <c r="L872" s="18">
        <v>56443.404316599997</v>
      </c>
      <c r="M872" s="18">
        <v>-37646.622240652498</v>
      </c>
      <c r="N872" s="18"/>
      <c r="O872" s="18"/>
      <c r="P872" s="3">
        <v>0</v>
      </c>
      <c r="Q872" s="3">
        <v>0</v>
      </c>
      <c r="R872" s="3">
        <v>0</v>
      </c>
      <c r="S872" s="3"/>
      <c r="T872" s="3" t="b">
        <v>0</v>
      </c>
      <c r="U872" s="3">
        <v>4254</v>
      </c>
      <c r="V872" s="3">
        <v>0</v>
      </c>
      <c r="W872" s="3">
        <v>1854</v>
      </c>
      <c r="X872" s="3">
        <v>10.31</v>
      </c>
    </row>
    <row r="873" spans="1:24" hidden="1">
      <c r="A873" s="1">
        <v>45231</v>
      </c>
      <c r="B873" s="1" t="s">
        <v>1143</v>
      </c>
      <c r="C873" s="2" t="s">
        <v>1142</v>
      </c>
      <c r="D873" s="2" t="s">
        <v>279</v>
      </c>
      <c r="E873" s="2" t="s">
        <v>737</v>
      </c>
      <c r="F873" s="2" t="s">
        <v>451</v>
      </c>
      <c r="G873" s="2" t="s">
        <v>282</v>
      </c>
      <c r="H873" s="2" t="s">
        <v>283</v>
      </c>
      <c r="I873" t="s">
        <v>198</v>
      </c>
      <c r="J873" s="18">
        <v>19470.240000000002</v>
      </c>
      <c r="K873" s="18"/>
      <c r="L873" s="18">
        <v>54114.104602908301</v>
      </c>
      <c r="M873" s="18">
        <v>-34643.733374909199</v>
      </c>
      <c r="N873" s="18"/>
      <c r="O873" s="18"/>
      <c r="P873" s="3">
        <v>0</v>
      </c>
      <c r="Q873" s="3">
        <v>0</v>
      </c>
      <c r="R873" s="3">
        <v>0</v>
      </c>
      <c r="S873" s="3"/>
      <c r="T873" s="3" t="b">
        <v>0</v>
      </c>
      <c r="U873" s="3">
        <v>4716</v>
      </c>
      <c r="V873" s="3">
        <v>0</v>
      </c>
      <c r="W873" s="3">
        <v>1782</v>
      </c>
      <c r="X873" s="3">
        <v>11.52</v>
      </c>
    </row>
    <row r="874" spans="1:24" hidden="1">
      <c r="A874" s="1">
        <v>45323</v>
      </c>
      <c r="B874" s="1" t="s">
        <v>1144</v>
      </c>
      <c r="C874" s="2" t="s">
        <v>1142</v>
      </c>
      <c r="D874" s="2" t="s">
        <v>279</v>
      </c>
      <c r="E874" s="2" t="s">
        <v>737</v>
      </c>
      <c r="F874" s="2" t="s">
        <v>451</v>
      </c>
      <c r="G874" s="2" t="s">
        <v>282</v>
      </c>
      <c r="H874" s="2" t="s">
        <v>283</v>
      </c>
      <c r="I874" t="s">
        <v>198</v>
      </c>
      <c r="J874" s="18">
        <v>19547.27</v>
      </c>
      <c r="K874" s="18"/>
      <c r="L874" s="18">
        <v>47756.822055256598</v>
      </c>
      <c r="M874" s="18">
        <v>-28209.560335828599</v>
      </c>
      <c r="N874" s="18"/>
      <c r="O874" s="18"/>
      <c r="P874" s="3">
        <v>0</v>
      </c>
      <c r="Q874" s="3">
        <v>0</v>
      </c>
      <c r="R874" s="3">
        <v>0</v>
      </c>
      <c r="S874" s="3"/>
      <c r="T874" s="3" t="b">
        <v>0</v>
      </c>
      <c r="U874" s="3">
        <v>2411</v>
      </c>
      <c r="V874" s="3">
        <v>0</v>
      </c>
      <c r="W874" s="3">
        <v>1962</v>
      </c>
      <c r="X874" s="3">
        <v>12.18</v>
      </c>
    </row>
    <row r="875" spans="1:24" hidden="1">
      <c r="A875" s="1">
        <v>45383</v>
      </c>
      <c r="B875" s="1" t="s">
        <v>1145</v>
      </c>
      <c r="C875" s="2" t="s">
        <v>1142</v>
      </c>
      <c r="D875" s="2" t="s">
        <v>279</v>
      </c>
      <c r="E875" s="2" t="s">
        <v>737</v>
      </c>
      <c r="F875" s="2" t="s">
        <v>451</v>
      </c>
      <c r="G875" s="2" t="s">
        <v>282</v>
      </c>
      <c r="H875" s="2" t="s">
        <v>283</v>
      </c>
      <c r="I875" t="s">
        <v>198</v>
      </c>
      <c r="J875" s="18">
        <v>19699.07</v>
      </c>
      <c r="K875" s="18"/>
      <c r="L875" s="18">
        <v>44069.453806131598</v>
      </c>
      <c r="M875" s="18">
        <v>-24370.383512942699</v>
      </c>
      <c r="N875" s="18"/>
      <c r="O875" s="18"/>
      <c r="P875" s="3">
        <v>0</v>
      </c>
      <c r="Q875" s="3">
        <v>0</v>
      </c>
      <c r="R875" s="3">
        <v>0</v>
      </c>
      <c r="S875" s="3"/>
      <c r="T875" s="3" t="b">
        <v>0</v>
      </c>
      <c r="U875" s="3">
        <v>3393</v>
      </c>
      <c r="V875" s="3">
        <v>0</v>
      </c>
      <c r="W875" s="3">
        <v>2225</v>
      </c>
      <c r="X875" s="3">
        <v>11.33</v>
      </c>
    </row>
    <row r="876" spans="1:24" hidden="1">
      <c r="A876" s="1">
        <v>45413</v>
      </c>
      <c r="B876" s="1" t="s">
        <v>1146</v>
      </c>
      <c r="C876" s="2" t="s">
        <v>1142</v>
      </c>
      <c r="D876" s="2" t="s">
        <v>279</v>
      </c>
      <c r="E876" s="2" t="s">
        <v>737</v>
      </c>
      <c r="F876" s="2" t="s">
        <v>451</v>
      </c>
      <c r="G876" s="2" t="s">
        <v>282</v>
      </c>
      <c r="H876" s="2" t="s">
        <v>283</v>
      </c>
      <c r="I876" t="s">
        <v>198</v>
      </c>
      <c r="J876" s="18">
        <v>19554.04</v>
      </c>
      <c r="K876" s="18"/>
      <c r="L876" s="18">
        <v>42024.007223856599</v>
      </c>
      <c r="M876" s="18">
        <v>-22469.9414883973</v>
      </c>
      <c r="N876" s="18"/>
      <c r="O876" s="18"/>
      <c r="P876" s="3">
        <v>0</v>
      </c>
      <c r="Q876" s="3">
        <v>0</v>
      </c>
      <c r="R876" s="3">
        <v>0</v>
      </c>
      <c r="S876" s="3"/>
      <c r="T876" s="3" t="b">
        <v>0</v>
      </c>
      <c r="U876" s="3">
        <v>3376</v>
      </c>
      <c r="V876" s="3">
        <v>0</v>
      </c>
      <c r="W876" s="3">
        <v>1167</v>
      </c>
      <c r="X876" s="3">
        <v>12.71</v>
      </c>
    </row>
    <row r="877" spans="1:24" hidden="1">
      <c r="A877" s="1">
        <v>45444</v>
      </c>
      <c r="B877" s="1" t="s">
        <v>1147</v>
      </c>
      <c r="C877" s="2" t="s">
        <v>1142</v>
      </c>
      <c r="D877" s="2" t="s">
        <v>279</v>
      </c>
      <c r="E877" s="2" t="s">
        <v>737</v>
      </c>
      <c r="F877" s="2" t="s">
        <v>451</v>
      </c>
      <c r="G877" s="2" t="s">
        <v>282</v>
      </c>
      <c r="H877" s="2" t="s">
        <v>283</v>
      </c>
      <c r="I877" t="s">
        <v>198</v>
      </c>
      <c r="J877" s="18">
        <v>19756.939999999999</v>
      </c>
      <c r="K877" s="18"/>
      <c r="L877" s="18">
        <v>40050.292739883698</v>
      </c>
      <c r="M877" s="18">
        <v>-20293.306018152802</v>
      </c>
      <c r="N877" s="18"/>
      <c r="O877" s="18"/>
      <c r="P877" s="3">
        <v>0</v>
      </c>
      <c r="Q877" s="3">
        <v>0</v>
      </c>
      <c r="R877" s="3">
        <v>0</v>
      </c>
      <c r="S877" s="3"/>
      <c r="T877" s="3" t="b">
        <v>0</v>
      </c>
      <c r="U877" s="3">
        <v>3967</v>
      </c>
      <c r="V877" s="3">
        <v>0</v>
      </c>
      <c r="W877" s="3">
        <v>2637</v>
      </c>
      <c r="X877" s="3">
        <v>11.72</v>
      </c>
    </row>
    <row r="878" spans="1:24" hidden="1">
      <c r="A878" s="1">
        <v>45474</v>
      </c>
      <c r="B878" s="1" t="s">
        <v>1148</v>
      </c>
      <c r="C878" s="2" t="s">
        <v>1142</v>
      </c>
      <c r="D878" s="2" t="s">
        <v>279</v>
      </c>
      <c r="E878" s="2" t="s">
        <v>737</v>
      </c>
      <c r="F878" s="2" t="s">
        <v>451</v>
      </c>
      <c r="G878" s="2" t="s">
        <v>282</v>
      </c>
      <c r="H878" s="2" t="s">
        <v>283</v>
      </c>
      <c r="I878" t="s">
        <v>198</v>
      </c>
      <c r="J878" s="18">
        <v>19724.72</v>
      </c>
      <c r="K878" s="18">
        <v>19482.080000000002</v>
      </c>
      <c r="L878" s="18">
        <v>37959.401667583697</v>
      </c>
      <c r="M878" s="18">
        <v>-18234.614747777799</v>
      </c>
      <c r="N878" s="18">
        <v>19682.080000000002</v>
      </c>
      <c r="O878" s="18">
        <v>19282.080000000002</v>
      </c>
      <c r="P878" s="3">
        <v>0</v>
      </c>
      <c r="Q878" s="3">
        <v>0</v>
      </c>
      <c r="R878" s="3">
        <v>0</v>
      </c>
      <c r="S878" s="3"/>
      <c r="T878" s="3" t="b">
        <v>0</v>
      </c>
      <c r="U878" s="3">
        <v>3359</v>
      </c>
      <c r="V878" s="3">
        <v>0</v>
      </c>
      <c r="W878" s="3">
        <v>1085</v>
      </c>
      <c r="X878" s="3">
        <v>11.56</v>
      </c>
    </row>
    <row r="879" spans="1:24" hidden="1">
      <c r="A879" s="1">
        <v>45536</v>
      </c>
      <c r="B879" s="1" t="s">
        <v>1149</v>
      </c>
      <c r="C879" s="2" t="s">
        <v>1142</v>
      </c>
      <c r="D879" s="2" t="s">
        <v>279</v>
      </c>
      <c r="E879" s="2" t="s">
        <v>737</v>
      </c>
      <c r="F879" s="2" t="s">
        <v>451</v>
      </c>
      <c r="G879" s="2" t="s">
        <v>282</v>
      </c>
      <c r="H879" s="2" t="s">
        <v>283</v>
      </c>
      <c r="I879" t="s">
        <v>198</v>
      </c>
      <c r="J879" s="18">
        <v>19491.53</v>
      </c>
      <c r="K879" s="18">
        <v>19426.61</v>
      </c>
      <c r="L879" s="18">
        <v>33638.226784830404</v>
      </c>
      <c r="M879" s="18">
        <v>-14146.54255242</v>
      </c>
      <c r="N879" s="18">
        <v>19626.61</v>
      </c>
      <c r="O879" s="18">
        <v>19226.61</v>
      </c>
      <c r="P879" s="3">
        <v>0</v>
      </c>
      <c r="Q879" s="3">
        <v>0</v>
      </c>
      <c r="R879" s="3">
        <v>0</v>
      </c>
      <c r="S879" s="3"/>
      <c r="T879" s="3" t="b">
        <v>1</v>
      </c>
      <c r="U879" s="3">
        <v>2905</v>
      </c>
      <c r="V879" s="3">
        <v>0</v>
      </c>
      <c r="W879" s="3">
        <v>2982</v>
      </c>
      <c r="X879" s="3">
        <v>40</v>
      </c>
    </row>
    <row r="880" spans="1:24" hidden="1">
      <c r="A880" s="1">
        <v>45566</v>
      </c>
      <c r="B880" s="1" t="s">
        <v>1150</v>
      </c>
      <c r="C880" s="2" t="s">
        <v>1142</v>
      </c>
      <c r="D880" s="2" t="s">
        <v>279</v>
      </c>
      <c r="E880" s="2" t="s">
        <v>737</v>
      </c>
      <c r="F880" s="2" t="s">
        <v>451</v>
      </c>
      <c r="G880" s="2" t="s">
        <v>282</v>
      </c>
      <c r="H880" s="2" t="s">
        <v>283</v>
      </c>
      <c r="I880" t="s">
        <v>224</v>
      </c>
      <c r="J880" s="18"/>
      <c r="K880" s="18">
        <v>20077.900000000001</v>
      </c>
      <c r="L880" s="18">
        <v>31547.335712530399</v>
      </c>
      <c r="M880" s="18">
        <v>-47469.797378006297</v>
      </c>
      <c r="N880" s="18">
        <v>20277.900000000001</v>
      </c>
      <c r="O880" s="18">
        <v>19877.900000000001</v>
      </c>
      <c r="P880" s="3"/>
      <c r="Q880" s="3"/>
      <c r="R880" s="3"/>
      <c r="S880" s="3"/>
      <c r="T880" s="3"/>
      <c r="U880" s="3"/>
      <c r="V880" s="3"/>
      <c r="W880" s="3">
        <v>1848</v>
      </c>
      <c r="X880" s="3">
        <v>12.8</v>
      </c>
    </row>
    <row r="881" spans="1:24" hidden="1">
      <c r="A881" s="1">
        <v>45597</v>
      </c>
      <c r="B881" s="1" t="s">
        <v>1151</v>
      </c>
      <c r="C881" s="2" t="s">
        <v>1142</v>
      </c>
      <c r="D881" s="2" t="s">
        <v>279</v>
      </c>
      <c r="E881" s="2" t="s">
        <v>737</v>
      </c>
      <c r="F881" s="2" t="s">
        <v>451</v>
      </c>
      <c r="G881" s="2" t="s">
        <v>282</v>
      </c>
      <c r="H881" s="2" t="s">
        <v>283</v>
      </c>
      <c r="I881" t="s">
        <v>224</v>
      </c>
      <c r="J881" s="18"/>
      <c r="K881" s="18">
        <v>20323.68</v>
      </c>
      <c r="L881" s="18">
        <v>29386.748271153701</v>
      </c>
      <c r="M881" s="18">
        <v>-22912.9272922407</v>
      </c>
      <c r="N881" s="18">
        <v>20523.68</v>
      </c>
      <c r="O881" s="18">
        <v>20123.68</v>
      </c>
      <c r="P881" s="3"/>
      <c r="Q881" s="3"/>
      <c r="R881" s="3"/>
      <c r="S881" s="3"/>
      <c r="T881" s="3"/>
      <c r="U881" s="3"/>
      <c r="V881" s="3"/>
      <c r="W881" s="3">
        <v>2748</v>
      </c>
      <c r="X881" s="3">
        <v>11.24</v>
      </c>
    </row>
    <row r="882" spans="1:24" hidden="1">
      <c r="A882" s="1">
        <v>45627</v>
      </c>
      <c r="B882" s="1" t="s">
        <v>1152</v>
      </c>
      <c r="C882" s="2" t="s">
        <v>1142</v>
      </c>
      <c r="D882" s="2" t="s">
        <v>279</v>
      </c>
      <c r="E882" s="2" t="s">
        <v>737</v>
      </c>
      <c r="F882" s="2" t="s">
        <v>451</v>
      </c>
      <c r="G882" s="2" t="s">
        <v>282</v>
      </c>
      <c r="H882" s="2" t="s">
        <v>283</v>
      </c>
      <c r="I882" t="s">
        <v>224</v>
      </c>
      <c r="J882" s="18"/>
      <c r="K882" s="18">
        <v>20882.91</v>
      </c>
      <c r="L882" s="18">
        <v>27295.857198853701</v>
      </c>
      <c r="M882" s="18">
        <v>40086.879445893501</v>
      </c>
      <c r="N882" s="18">
        <v>21082.91</v>
      </c>
      <c r="O882" s="18">
        <v>20682.91</v>
      </c>
      <c r="P882" s="3"/>
      <c r="Q882" s="3"/>
      <c r="R882" s="3"/>
      <c r="S882" s="3"/>
      <c r="T882" s="3"/>
      <c r="U882" s="3"/>
      <c r="V882" s="3"/>
      <c r="W882" s="3">
        <v>2074</v>
      </c>
      <c r="X882" s="3">
        <v>10.26</v>
      </c>
    </row>
    <row r="883" spans="1:24" hidden="1">
      <c r="A883" s="1">
        <v>44562</v>
      </c>
      <c r="B883" s="1" t="s">
        <v>1153</v>
      </c>
      <c r="C883" s="2" t="s">
        <v>1154</v>
      </c>
      <c r="D883" s="2" t="s">
        <v>279</v>
      </c>
      <c r="E883" s="2" t="s">
        <v>737</v>
      </c>
      <c r="F883" s="2" t="s">
        <v>451</v>
      </c>
      <c r="G883" s="2" t="s">
        <v>141</v>
      </c>
      <c r="H883" s="2" t="s">
        <v>415</v>
      </c>
      <c r="I883" t="s">
        <v>198</v>
      </c>
      <c r="J883" s="18">
        <v>11532.38</v>
      </c>
      <c r="K883" s="18"/>
      <c r="L883" s="18">
        <v>11953.45333497</v>
      </c>
      <c r="M883" s="18">
        <v>-491.06610508307699</v>
      </c>
      <c r="N883" s="18"/>
      <c r="O883" s="18"/>
      <c r="P883" s="3">
        <v>0</v>
      </c>
      <c r="Q883" s="3">
        <v>0</v>
      </c>
      <c r="R883" s="3">
        <v>0</v>
      </c>
      <c r="S883" s="3"/>
      <c r="T883" s="3" t="b">
        <v>0</v>
      </c>
      <c r="U883" s="3">
        <v>3288</v>
      </c>
      <c r="V883" s="3">
        <v>0</v>
      </c>
      <c r="W883" s="3">
        <v>2310</v>
      </c>
      <c r="X883" s="3">
        <v>17.07</v>
      </c>
    </row>
    <row r="884" spans="1:24" hidden="1">
      <c r="A884" s="1">
        <v>44593</v>
      </c>
      <c r="B884" s="1" t="s">
        <v>1155</v>
      </c>
      <c r="C884" s="2" t="s">
        <v>1154</v>
      </c>
      <c r="D884" s="2" t="s">
        <v>279</v>
      </c>
      <c r="E884" s="2" t="s">
        <v>737</v>
      </c>
      <c r="F884" s="2" t="s">
        <v>451</v>
      </c>
      <c r="G884" s="2" t="s">
        <v>141</v>
      </c>
      <c r="H884" s="2" t="s">
        <v>415</v>
      </c>
      <c r="I884" t="s">
        <v>198</v>
      </c>
      <c r="J884" s="18">
        <v>12042.57</v>
      </c>
      <c r="K884" s="18"/>
      <c r="L884" s="18">
        <v>11990.3195573346</v>
      </c>
      <c r="M884" s="18">
        <v>504.45916273043201</v>
      </c>
      <c r="N884" s="18"/>
      <c r="O884" s="18"/>
      <c r="P884" s="3">
        <v>0</v>
      </c>
      <c r="Q884" s="3">
        <v>0</v>
      </c>
      <c r="R884" s="3">
        <v>0</v>
      </c>
      <c r="S884" s="3"/>
      <c r="T884" s="3" t="b">
        <v>0</v>
      </c>
      <c r="U884" s="3">
        <v>3806</v>
      </c>
      <c r="V884" s="3">
        <v>0</v>
      </c>
      <c r="W884" s="3">
        <v>1471</v>
      </c>
      <c r="X884" s="3">
        <v>14.74</v>
      </c>
    </row>
    <row r="885" spans="1:24" hidden="1">
      <c r="A885" s="1">
        <v>44621</v>
      </c>
      <c r="B885" s="1" t="s">
        <v>1156</v>
      </c>
      <c r="C885" s="2" t="s">
        <v>1154</v>
      </c>
      <c r="D885" s="2" t="s">
        <v>279</v>
      </c>
      <c r="E885" s="2" t="s">
        <v>737</v>
      </c>
      <c r="F885" s="2" t="s">
        <v>451</v>
      </c>
      <c r="G885" s="2" t="s">
        <v>141</v>
      </c>
      <c r="H885" s="2" t="s">
        <v>415</v>
      </c>
      <c r="I885" t="s">
        <v>198</v>
      </c>
      <c r="J885" s="18">
        <v>11948.74</v>
      </c>
      <c r="K885" s="18"/>
      <c r="L885" s="18">
        <v>12023.618080874099</v>
      </c>
      <c r="M885" s="18">
        <v>-560.70342139593004</v>
      </c>
      <c r="N885" s="18"/>
      <c r="O885" s="18"/>
      <c r="P885" s="3">
        <v>0</v>
      </c>
      <c r="Q885" s="3">
        <v>0</v>
      </c>
      <c r="R885" s="3">
        <v>0</v>
      </c>
      <c r="S885" s="3"/>
      <c r="T885" s="3" t="b">
        <v>0</v>
      </c>
      <c r="U885" s="3">
        <v>4187</v>
      </c>
      <c r="V885" s="3">
        <v>0</v>
      </c>
      <c r="W885" s="3">
        <v>2398</v>
      </c>
      <c r="X885" s="3">
        <v>15.39</v>
      </c>
    </row>
    <row r="886" spans="1:24" hidden="1">
      <c r="A886" s="1">
        <v>44652</v>
      </c>
      <c r="B886" s="1" t="s">
        <v>1157</v>
      </c>
      <c r="C886" s="2" t="s">
        <v>1154</v>
      </c>
      <c r="D886" s="2" t="s">
        <v>279</v>
      </c>
      <c r="E886" s="2" t="s">
        <v>737</v>
      </c>
      <c r="F886" s="2" t="s">
        <v>451</v>
      </c>
      <c r="G886" s="2" t="s">
        <v>141</v>
      </c>
      <c r="H886" s="2" t="s">
        <v>415</v>
      </c>
      <c r="I886" t="s">
        <v>198</v>
      </c>
      <c r="J886" s="18">
        <v>11841.44</v>
      </c>
      <c r="K886" s="18"/>
      <c r="L886" s="18">
        <v>12060.484303290699</v>
      </c>
      <c r="M886" s="18">
        <v>-212.40723653085499</v>
      </c>
      <c r="N886" s="18"/>
      <c r="O886" s="18"/>
      <c r="P886" s="3">
        <v>0</v>
      </c>
      <c r="Q886" s="3">
        <v>0</v>
      </c>
      <c r="R886" s="3">
        <v>0</v>
      </c>
      <c r="S886" s="3"/>
      <c r="T886" s="3" t="b">
        <v>0</v>
      </c>
      <c r="U886" s="3">
        <v>3504</v>
      </c>
      <c r="V886" s="3">
        <v>0</v>
      </c>
      <c r="W886" s="3">
        <v>1653</v>
      </c>
      <c r="X886" s="3">
        <v>14.87</v>
      </c>
    </row>
    <row r="887" spans="1:24" hidden="1">
      <c r="A887" s="1">
        <v>44682</v>
      </c>
      <c r="B887" s="1" t="s">
        <v>1158</v>
      </c>
      <c r="C887" s="2" t="s">
        <v>1154</v>
      </c>
      <c r="D887" s="2" t="s">
        <v>279</v>
      </c>
      <c r="E887" s="2" t="s">
        <v>737</v>
      </c>
      <c r="F887" s="2" t="s">
        <v>451</v>
      </c>
      <c r="G887" s="2" t="s">
        <v>141</v>
      </c>
      <c r="H887" s="2" t="s">
        <v>415</v>
      </c>
      <c r="I887" t="s">
        <v>198</v>
      </c>
      <c r="J887" s="18">
        <v>12260.16</v>
      </c>
      <c r="K887" s="18"/>
      <c r="L887" s="18">
        <v>12096.1612927442</v>
      </c>
      <c r="M887" s="18">
        <v>112.517768855737</v>
      </c>
      <c r="N887" s="18"/>
      <c r="O887" s="18"/>
      <c r="P887" s="3">
        <v>0</v>
      </c>
      <c r="Q887" s="3">
        <v>0</v>
      </c>
      <c r="R887" s="3">
        <v>0</v>
      </c>
      <c r="S887" s="3"/>
      <c r="T887" s="3" t="b">
        <v>0</v>
      </c>
      <c r="U887" s="3">
        <v>3016</v>
      </c>
      <c r="V887" s="3">
        <v>0</v>
      </c>
      <c r="W887" s="3">
        <v>1748</v>
      </c>
      <c r="X887" s="3">
        <v>15.75</v>
      </c>
    </row>
    <row r="888" spans="1:24" hidden="1">
      <c r="A888" s="1">
        <v>44713</v>
      </c>
      <c r="B888" s="1" t="s">
        <v>1159</v>
      </c>
      <c r="C888" s="2" t="s">
        <v>1154</v>
      </c>
      <c r="D888" s="2" t="s">
        <v>279</v>
      </c>
      <c r="E888" s="2" t="s">
        <v>737</v>
      </c>
      <c r="F888" s="2" t="s">
        <v>451</v>
      </c>
      <c r="G888" s="2" t="s">
        <v>141</v>
      </c>
      <c r="H888" s="2" t="s">
        <v>415</v>
      </c>
      <c r="I888" t="s">
        <v>198</v>
      </c>
      <c r="J888" s="18">
        <v>12488.45</v>
      </c>
      <c r="K888" s="18"/>
      <c r="L888" s="18">
        <v>12133.0275150864</v>
      </c>
      <c r="M888" s="18">
        <v>192.65929910288901</v>
      </c>
      <c r="N888" s="18"/>
      <c r="O888" s="18"/>
      <c r="P888" s="3">
        <v>0</v>
      </c>
      <c r="Q888" s="3">
        <v>0</v>
      </c>
      <c r="R888" s="3">
        <v>0</v>
      </c>
      <c r="S888" s="3"/>
      <c r="T888" s="3" t="b">
        <v>0</v>
      </c>
      <c r="U888" s="3">
        <v>2952</v>
      </c>
      <c r="V888" s="3">
        <v>0</v>
      </c>
      <c r="W888" s="3">
        <v>1536</v>
      </c>
      <c r="X888" s="3">
        <v>15.47</v>
      </c>
    </row>
    <row r="889" spans="1:24" hidden="1">
      <c r="A889" s="1">
        <v>44743</v>
      </c>
      <c r="B889" s="1" t="s">
        <v>1160</v>
      </c>
      <c r="C889" s="2" t="s">
        <v>1154</v>
      </c>
      <c r="D889" s="2" t="s">
        <v>279</v>
      </c>
      <c r="E889" s="2" t="s">
        <v>737</v>
      </c>
      <c r="F889" s="2" t="s">
        <v>451</v>
      </c>
      <c r="G889" s="2" t="s">
        <v>141</v>
      </c>
      <c r="H889" s="2" t="s">
        <v>415</v>
      </c>
      <c r="I889" t="s">
        <v>198</v>
      </c>
      <c r="J889" s="18">
        <v>12470.67</v>
      </c>
      <c r="K889" s="18"/>
      <c r="L889" s="18">
        <v>12168.7045045821</v>
      </c>
      <c r="M889" s="18">
        <v>313.55217194924899</v>
      </c>
      <c r="N889" s="18"/>
      <c r="O889" s="18"/>
      <c r="P889" s="3">
        <v>0</v>
      </c>
      <c r="Q889" s="3">
        <v>0</v>
      </c>
      <c r="R889" s="3">
        <v>0</v>
      </c>
      <c r="S889" s="3"/>
      <c r="T889" s="3" t="b">
        <v>0</v>
      </c>
      <c r="U889" s="3">
        <v>4951</v>
      </c>
      <c r="V889" s="3">
        <v>0</v>
      </c>
      <c r="W889" s="3">
        <v>2534</v>
      </c>
      <c r="X889" s="3">
        <v>15.19</v>
      </c>
    </row>
    <row r="890" spans="1:24" hidden="1">
      <c r="A890" s="1">
        <v>44774</v>
      </c>
      <c r="B890" s="1" t="s">
        <v>1161</v>
      </c>
      <c r="C890" s="2" t="s">
        <v>1154</v>
      </c>
      <c r="D890" s="2" t="s">
        <v>279</v>
      </c>
      <c r="E890" s="2" t="s">
        <v>737</v>
      </c>
      <c r="F890" s="2" t="s">
        <v>451</v>
      </c>
      <c r="G890" s="2" t="s">
        <v>141</v>
      </c>
      <c r="H890" s="2" t="s">
        <v>415</v>
      </c>
      <c r="I890" t="s">
        <v>198</v>
      </c>
      <c r="J890" s="18">
        <v>12112.87</v>
      </c>
      <c r="K890" s="18"/>
      <c r="L890" s="18">
        <v>12205.5707269101</v>
      </c>
      <c r="M890" s="18">
        <v>-20.112264428205702</v>
      </c>
      <c r="N890" s="18"/>
      <c r="O890" s="18"/>
      <c r="P890" s="3">
        <v>0</v>
      </c>
      <c r="Q890" s="3">
        <v>0</v>
      </c>
      <c r="R890" s="3">
        <v>0</v>
      </c>
      <c r="S890" s="3"/>
      <c r="T890" s="3" t="b">
        <v>0</v>
      </c>
      <c r="U890" s="3">
        <v>2071</v>
      </c>
      <c r="V890" s="3">
        <v>0</v>
      </c>
      <c r="W890" s="3">
        <v>1801</v>
      </c>
      <c r="X890" s="3">
        <v>15.62</v>
      </c>
    </row>
    <row r="891" spans="1:24" hidden="1">
      <c r="A891" s="1">
        <v>44805</v>
      </c>
      <c r="B891" s="1" t="s">
        <v>1162</v>
      </c>
      <c r="C891" s="2" t="s">
        <v>1154</v>
      </c>
      <c r="D891" s="2" t="s">
        <v>279</v>
      </c>
      <c r="E891" s="2" t="s">
        <v>737</v>
      </c>
      <c r="F891" s="2" t="s">
        <v>451</v>
      </c>
      <c r="G891" s="2" t="s">
        <v>141</v>
      </c>
      <c r="H891" s="2" t="s">
        <v>415</v>
      </c>
      <c r="I891" t="s">
        <v>198</v>
      </c>
      <c r="J891" s="18">
        <v>12201.77</v>
      </c>
      <c r="K891" s="18"/>
      <c r="L891" s="18">
        <v>12242.4369493706</v>
      </c>
      <c r="M891" s="18">
        <v>451.26177877618801</v>
      </c>
      <c r="N891" s="18"/>
      <c r="O891" s="18"/>
      <c r="P891" s="3">
        <v>0</v>
      </c>
      <c r="Q891" s="3">
        <v>0</v>
      </c>
      <c r="R891" s="3">
        <v>0</v>
      </c>
      <c r="S891" s="3"/>
      <c r="T891" s="3" t="b">
        <v>0</v>
      </c>
      <c r="U891" s="3">
        <v>3690</v>
      </c>
      <c r="V891" s="3">
        <v>0</v>
      </c>
      <c r="W891" s="3">
        <v>2602</v>
      </c>
      <c r="X891" s="3">
        <v>16.84</v>
      </c>
    </row>
    <row r="892" spans="1:24" hidden="1">
      <c r="A892" s="1">
        <v>44835</v>
      </c>
      <c r="B892" s="1" t="s">
        <v>1163</v>
      </c>
      <c r="C892" s="2" t="s">
        <v>1154</v>
      </c>
      <c r="D892" s="2" t="s">
        <v>279</v>
      </c>
      <c r="E892" s="2" t="s">
        <v>737</v>
      </c>
      <c r="F892" s="2" t="s">
        <v>451</v>
      </c>
      <c r="G892" s="2" t="s">
        <v>141</v>
      </c>
      <c r="H892" s="2" t="s">
        <v>415</v>
      </c>
      <c r="I892" t="s">
        <v>198</v>
      </c>
      <c r="J892" s="18">
        <v>12700.11</v>
      </c>
      <c r="K892" s="18"/>
      <c r="L892" s="18">
        <v>12278.113938897999</v>
      </c>
      <c r="M892" s="18">
        <v>744.45586302275103</v>
      </c>
      <c r="N892" s="18"/>
      <c r="O892" s="18"/>
      <c r="P892" s="3">
        <v>0</v>
      </c>
      <c r="Q892" s="3">
        <v>0</v>
      </c>
      <c r="R892" s="3">
        <v>0</v>
      </c>
      <c r="S892" s="3"/>
      <c r="T892" s="3" t="b">
        <v>0</v>
      </c>
      <c r="U892" s="3">
        <v>3291</v>
      </c>
      <c r="V892" s="3">
        <v>0</v>
      </c>
      <c r="W892" s="3">
        <v>2273</v>
      </c>
      <c r="X892" s="3">
        <v>15.56</v>
      </c>
    </row>
    <row r="893" spans="1:24" hidden="1">
      <c r="A893" s="1">
        <v>44866</v>
      </c>
      <c r="B893" s="1" t="s">
        <v>1164</v>
      </c>
      <c r="C893" s="2" t="s">
        <v>1154</v>
      </c>
      <c r="D893" s="2" t="s">
        <v>279</v>
      </c>
      <c r="E893" s="2" t="s">
        <v>737</v>
      </c>
      <c r="F893" s="2" t="s">
        <v>451</v>
      </c>
      <c r="G893" s="2" t="s">
        <v>141</v>
      </c>
      <c r="H893" s="2" t="s">
        <v>415</v>
      </c>
      <c r="I893" t="s">
        <v>198</v>
      </c>
      <c r="J893" s="18">
        <v>11813.4</v>
      </c>
      <c r="K893" s="18"/>
      <c r="L893" s="18">
        <v>12314.980161534801</v>
      </c>
      <c r="M893" s="18">
        <v>43.136275935421303</v>
      </c>
      <c r="N893" s="18"/>
      <c r="O893" s="18"/>
      <c r="P893" s="3">
        <v>0</v>
      </c>
      <c r="Q893" s="3">
        <v>0</v>
      </c>
      <c r="R893" s="3">
        <v>0</v>
      </c>
      <c r="S893" s="3"/>
      <c r="T893" s="3" t="b">
        <v>0</v>
      </c>
      <c r="U893" s="3">
        <v>3344</v>
      </c>
      <c r="V893" s="3">
        <v>0</v>
      </c>
      <c r="W893" s="3">
        <v>1919</v>
      </c>
      <c r="X893" s="3">
        <v>16.739999999999998</v>
      </c>
    </row>
    <row r="894" spans="1:24" hidden="1">
      <c r="A894" s="1">
        <v>44896</v>
      </c>
      <c r="B894" s="1" t="s">
        <v>1165</v>
      </c>
      <c r="C894" s="2" t="s">
        <v>1154</v>
      </c>
      <c r="D894" s="2" t="s">
        <v>279</v>
      </c>
      <c r="E894" s="2" t="s">
        <v>737</v>
      </c>
      <c r="F894" s="2" t="s">
        <v>451</v>
      </c>
      <c r="G894" s="2" t="s">
        <v>141</v>
      </c>
      <c r="H894" s="2" t="s">
        <v>415</v>
      </c>
      <c r="I894" t="s">
        <v>198</v>
      </c>
      <c r="J894" s="18">
        <v>12116.74</v>
      </c>
      <c r="K894" s="18"/>
      <c r="L894" s="18">
        <v>12350.6571510674</v>
      </c>
      <c r="M894" s="18">
        <v>461.09740360034903</v>
      </c>
      <c r="N894" s="18"/>
      <c r="O894" s="18"/>
      <c r="P894" s="3">
        <v>0</v>
      </c>
      <c r="Q894" s="3">
        <v>0</v>
      </c>
      <c r="R894" s="3">
        <v>0</v>
      </c>
      <c r="S894" s="3"/>
      <c r="T894" s="3" t="b">
        <v>0</v>
      </c>
      <c r="U894" s="3">
        <v>4154</v>
      </c>
      <c r="V894" s="3">
        <v>0</v>
      </c>
      <c r="W894" s="3">
        <v>1509</v>
      </c>
      <c r="X894" s="3">
        <v>14.67</v>
      </c>
    </row>
    <row r="895" spans="1:24" hidden="1">
      <c r="A895" s="1">
        <v>44927</v>
      </c>
      <c r="B895" s="1" t="s">
        <v>1166</v>
      </c>
      <c r="C895" s="2" t="s">
        <v>1154</v>
      </c>
      <c r="D895" s="2" t="s">
        <v>279</v>
      </c>
      <c r="E895" s="2" t="s">
        <v>737</v>
      </c>
      <c r="F895" s="2" t="s">
        <v>451</v>
      </c>
      <c r="G895" s="2" t="s">
        <v>141</v>
      </c>
      <c r="H895" s="2" t="s">
        <v>415</v>
      </c>
      <c r="I895" t="s">
        <v>198</v>
      </c>
      <c r="J895" s="18">
        <v>11535.89</v>
      </c>
      <c r="K895" s="18"/>
      <c r="L895" s="18">
        <v>12387.523373411401</v>
      </c>
      <c r="M895" s="18">
        <v>-168.554307026488</v>
      </c>
      <c r="N895" s="18"/>
      <c r="O895" s="18"/>
      <c r="P895" s="3">
        <v>0</v>
      </c>
      <c r="Q895" s="3">
        <v>0</v>
      </c>
      <c r="R895" s="3">
        <v>0</v>
      </c>
      <c r="S895" s="3"/>
      <c r="T895" s="3" t="b">
        <v>0</v>
      </c>
      <c r="U895" s="3">
        <v>2882</v>
      </c>
      <c r="V895" s="3">
        <v>0</v>
      </c>
      <c r="W895" s="3">
        <v>1629</v>
      </c>
      <c r="X895" s="3">
        <v>17.190000000000001</v>
      </c>
    </row>
    <row r="896" spans="1:24" hidden="1">
      <c r="A896" s="1">
        <v>44958</v>
      </c>
      <c r="B896" s="1" t="s">
        <v>1167</v>
      </c>
      <c r="C896" s="2" t="s">
        <v>1154</v>
      </c>
      <c r="D896" s="2" t="s">
        <v>279</v>
      </c>
      <c r="E896" s="2" t="s">
        <v>737</v>
      </c>
      <c r="F896" s="2" t="s">
        <v>451</v>
      </c>
      <c r="G896" s="2" t="s">
        <v>141</v>
      </c>
      <c r="H896" s="2" t="s">
        <v>415</v>
      </c>
      <c r="I896" t="s">
        <v>198</v>
      </c>
      <c r="J896" s="18">
        <v>12157.25</v>
      </c>
      <c r="K896" s="18"/>
      <c r="L896" s="18">
        <v>12424.3895956008</v>
      </c>
      <c r="M896" s="18">
        <v>209.44067159674401</v>
      </c>
      <c r="N896" s="18"/>
      <c r="O896" s="18"/>
      <c r="P896" s="3">
        <v>0</v>
      </c>
      <c r="Q896" s="3">
        <v>0</v>
      </c>
      <c r="R896" s="3">
        <v>0</v>
      </c>
      <c r="S896" s="3"/>
      <c r="T896" s="3" t="b">
        <v>0</v>
      </c>
      <c r="U896" s="3">
        <v>2138</v>
      </c>
      <c r="V896" s="3">
        <v>0</v>
      </c>
      <c r="W896" s="3">
        <v>2001</v>
      </c>
      <c r="X896" s="3">
        <v>14.29</v>
      </c>
    </row>
    <row r="897" spans="1:24" hidden="1">
      <c r="A897" s="1">
        <v>44986</v>
      </c>
      <c r="B897" s="1" t="s">
        <v>1168</v>
      </c>
      <c r="C897" s="2" t="s">
        <v>1154</v>
      </c>
      <c r="D897" s="2" t="s">
        <v>279</v>
      </c>
      <c r="E897" s="2" t="s">
        <v>737</v>
      </c>
      <c r="F897" s="2" t="s">
        <v>451</v>
      </c>
      <c r="G897" s="2" t="s">
        <v>141</v>
      </c>
      <c r="H897" s="2" t="s">
        <v>415</v>
      </c>
      <c r="I897" t="s">
        <v>198</v>
      </c>
      <c r="J897" s="18">
        <v>15522.01</v>
      </c>
      <c r="K897" s="18"/>
      <c r="L897" s="18">
        <v>12457.688118735199</v>
      </c>
      <c r="M897" s="18">
        <v>-260.79027838155298</v>
      </c>
      <c r="N897" s="18"/>
      <c r="O897" s="18"/>
      <c r="P897" s="3">
        <v>0</v>
      </c>
      <c r="Q897" s="3">
        <v>0</v>
      </c>
      <c r="R897" s="3">
        <v>1</v>
      </c>
      <c r="S897" s="3"/>
      <c r="T897" s="3" t="b">
        <v>0</v>
      </c>
      <c r="U897" s="3">
        <v>4662</v>
      </c>
      <c r="V897" s="3">
        <v>1</v>
      </c>
      <c r="W897" s="3">
        <v>2096</v>
      </c>
      <c r="X897" s="3">
        <v>14.89</v>
      </c>
    </row>
    <row r="898" spans="1:24" hidden="1">
      <c r="A898" s="1">
        <v>45017</v>
      </c>
      <c r="B898" s="1" t="s">
        <v>1169</v>
      </c>
      <c r="C898" s="2" t="s">
        <v>1154</v>
      </c>
      <c r="D898" s="2" t="s">
        <v>279</v>
      </c>
      <c r="E898" s="2" t="s">
        <v>737</v>
      </c>
      <c r="F898" s="2" t="s">
        <v>451</v>
      </c>
      <c r="G898" s="2" t="s">
        <v>141</v>
      </c>
      <c r="H898" s="2" t="s">
        <v>415</v>
      </c>
      <c r="I898" t="s">
        <v>198</v>
      </c>
      <c r="J898" s="18">
        <v>12311.49</v>
      </c>
      <c r="K898" s="18"/>
      <c r="L898" s="18">
        <v>12494.554340880901</v>
      </c>
      <c r="M898" s="18">
        <v>-530.65849466111194</v>
      </c>
      <c r="N898" s="18"/>
      <c r="O898" s="18"/>
      <c r="P898" s="3">
        <v>0</v>
      </c>
      <c r="Q898" s="3">
        <v>0</v>
      </c>
      <c r="R898" s="3">
        <v>0</v>
      </c>
      <c r="S898" s="3"/>
      <c r="T898" s="3" t="b">
        <v>0</v>
      </c>
      <c r="U898" s="3">
        <v>4910</v>
      </c>
      <c r="V898" s="3">
        <v>0</v>
      </c>
      <c r="W898" s="3">
        <v>2305</v>
      </c>
      <c r="X898" s="3">
        <v>14.89</v>
      </c>
    </row>
    <row r="899" spans="1:24" hidden="1">
      <c r="A899" s="1">
        <v>45047</v>
      </c>
      <c r="B899" s="1" t="s">
        <v>1170</v>
      </c>
      <c r="C899" s="2" t="s">
        <v>1154</v>
      </c>
      <c r="D899" s="2" t="s">
        <v>279</v>
      </c>
      <c r="E899" s="2" t="s">
        <v>737</v>
      </c>
      <c r="F899" s="2" t="s">
        <v>451</v>
      </c>
      <c r="G899" s="2" t="s">
        <v>141</v>
      </c>
      <c r="H899" s="2" t="s">
        <v>415</v>
      </c>
      <c r="I899" t="s">
        <v>198</v>
      </c>
      <c r="J899" s="18">
        <v>12176.23</v>
      </c>
      <c r="K899" s="18"/>
      <c r="L899" s="18">
        <v>12530.231329902501</v>
      </c>
      <c r="M899" s="18">
        <v>432.43031909254</v>
      </c>
      <c r="N899" s="18"/>
      <c r="O899" s="18"/>
      <c r="P899" s="3">
        <v>0</v>
      </c>
      <c r="Q899" s="3">
        <v>0</v>
      </c>
      <c r="R899" s="3">
        <v>0</v>
      </c>
      <c r="S899" s="3"/>
      <c r="T899" s="3" t="b">
        <v>0</v>
      </c>
      <c r="U899" s="3">
        <v>4320</v>
      </c>
      <c r="V899" s="3">
        <v>0</v>
      </c>
      <c r="W899" s="3">
        <v>1915</v>
      </c>
      <c r="X899" s="3">
        <v>17.489999999999998</v>
      </c>
    </row>
    <row r="900" spans="1:24" hidden="1">
      <c r="A900" s="1">
        <v>45078</v>
      </c>
      <c r="B900" s="1" t="s">
        <v>1171</v>
      </c>
      <c r="C900" s="2" t="s">
        <v>1154</v>
      </c>
      <c r="D900" s="2" t="s">
        <v>279</v>
      </c>
      <c r="E900" s="2" t="s">
        <v>737</v>
      </c>
      <c r="F900" s="2" t="s">
        <v>451</v>
      </c>
      <c r="G900" s="2" t="s">
        <v>141</v>
      </c>
      <c r="H900" s="2" t="s">
        <v>415</v>
      </c>
      <c r="I900" t="s">
        <v>198</v>
      </c>
      <c r="J900" s="18">
        <v>12728.88</v>
      </c>
      <c r="K900" s="18"/>
      <c r="L900" s="18">
        <v>12567.085332479101</v>
      </c>
      <c r="M900" s="18">
        <v>-135.011234238713</v>
      </c>
      <c r="N900" s="18"/>
      <c r="O900" s="18"/>
      <c r="P900" s="3">
        <v>0</v>
      </c>
      <c r="Q900" s="3">
        <v>0</v>
      </c>
      <c r="R900" s="3">
        <v>0</v>
      </c>
      <c r="S900" s="3"/>
      <c r="T900" s="3" t="b">
        <v>0</v>
      </c>
      <c r="U900" s="3">
        <v>3504</v>
      </c>
      <c r="V900" s="3">
        <v>0</v>
      </c>
      <c r="W900" s="3">
        <v>2983</v>
      </c>
      <c r="X900" s="3">
        <v>15.65</v>
      </c>
    </row>
    <row r="901" spans="1:24" hidden="1">
      <c r="A901" s="1">
        <v>45108</v>
      </c>
      <c r="B901" s="1" t="s">
        <v>1172</v>
      </c>
      <c r="C901" s="2" t="s">
        <v>1154</v>
      </c>
      <c r="D901" s="2" t="s">
        <v>279</v>
      </c>
      <c r="E901" s="2" t="s">
        <v>737</v>
      </c>
      <c r="F901" s="2" t="s">
        <v>451</v>
      </c>
      <c r="G901" s="2" t="s">
        <v>141</v>
      </c>
      <c r="H901" s="2" t="s">
        <v>415</v>
      </c>
      <c r="I901" t="s">
        <v>198</v>
      </c>
      <c r="J901" s="18">
        <v>12736.54</v>
      </c>
      <c r="K901" s="18"/>
      <c r="L901" s="18">
        <v>12602.7504961674</v>
      </c>
      <c r="M901" s="18">
        <v>645.51933802417796</v>
      </c>
      <c r="N901" s="18"/>
      <c r="O901" s="18"/>
      <c r="P901" s="3">
        <v>0</v>
      </c>
      <c r="Q901" s="3">
        <v>0</v>
      </c>
      <c r="R901" s="3">
        <v>0</v>
      </c>
      <c r="S901" s="3"/>
      <c r="T901" s="3" t="b">
        <v>0</v>
      </c>
      <c r="U901" s="3">
        <v>4463</v>
      </c>
      <c r="V901" s="3">
        <v>0</v>
      </c>
      <c r="W901" s="3">
        <v>2383</v>
      </c>
      <c r="X901" s="3">
        <v>14.17</v>
      </c>
    </row>
    <row r="902" spans="1:24" hidden="1">
      <c r="A902" s="1">
        <v>45139</v>
      </c>
      <c r="B902" s="1" t="s">
        <v>1173</v>
      </c>
      <c r="C902" s="2" t="s">
        <v>1154</v>
      </c>
      <c r="D902" s="2" t="s">
        <v>279</v>
      </c>
      <c r="E902" s="2" t="s">
        <v>737</v>
      </c>
      <c r="F902" s="2" t="s">
        <v>451</v>
      </c>
      <c r="G902" s="2" t="s">
        <v>141</v>
      </c>
      <c r="H902" s="2" t="s">
        <v>415</v>
      </c>
      <c r="I902" t="s">
        <v>198</v>
      </c>
      <c r="J902" s="18">
        <v>13011.43</v>
      </c>
      <c r="K902" s="18"/>
      <c r="L902" s="18">
        <v>12639.6044986421</v>
      </c>
      <c r="M902" s="18">
        <v>-358.204099267971</v>
      </c>
      <c r="N902" s="18"/>
      <c r="O902" s="18"/>
      <c r="P902" s="3">
        <v>0</v>
      </c>
      <c r="Q902" s="3">
        <v>0</v>
      </c>
      <c r="R902" s="3">
        <v>0</v>
      </c>
      <c r="S902" s="3"/>
      <c r="T902" s="3" t="b">
        <v>0</v>
      </c>
      <c r="U902" s="3">
        <v>4553</v>
      </c>
      <c r="V902" s="3">
        <v>0</v>
      </c>
      <c r="W902" s="3">
        <v>2033</v>
      </c>
      <c r="X902" s="3">
        <v>15.84</v>
      </c>
    </row>
    <row r="903" spans="1:24" hidden="1">
      <c r="A903" s="1">
        <v>45170</v>
      </c>
      <c r="B903" s="1" t="s">
        <v>1174</v>
      </c>
      <c r="C903" s="2" t="s">
        <v>1154</v>
      </c>
      <c r="D903" s="2" t="s">
        <v>279</v>
      </c>
      <c r="E903" s="2" t="s">
        <v>737</v>
      </c>
      <c r="F903" s="2" t="s">
        <v>451</v>
      </c>
      <c r="G903" s="2" t="s">
        <v>141</v>
      </c>
      <c r="H903" s="2" t="s">
        <v>415</v>
      </c>
      <c r="I903" t="s">
        <v>198</v>
      </c>
      <c r="J903" s="18">
        <v>13446.3</v>
      </c>
      <c r="K903" s="18"/>
      <c r="L903" s="18">
        <v>12676.4585009315</v>
      </c>
      <c r="M903" s="18">
        <v>775.95322434520097</v>
      </c>
      <c r="N903" s="18"/>
      <c r="O903" s="18"/>
      <c r="P903" s="3">
        <v>0</v>
      </c>
      <c r="Q903" s="3">
        <v>0</v>
      </c>
      <c r="R903" s="3">
        <v>0</v>
      </c>
      <c r="S903" s="3"/>
      <c r="T903" s="3" t="b">
        <v>0</v>
      </c>
      <c r="U903" s="3">
        <v>2732</v>
      </c>
      <c r="V903" s="3">
        <v>0</v>
      </c>
      <c r="W903" s="3">
        <v>2234</v>
      </c>
      <c r="X903" s="3">
        <v>16.399999999999999</v>
      </c>
    </row>
    <row r="904" spans="1:24" hidden="1">
      <c r="A904" s="1">
        <v>45200</v>
      </c>
      <c r="B904" s="1" t="s">
        <v>1175</v>
      </c>
      <c r="C904" s="2" t="s">
        <v>1154</v>
      </c>
      <c r="D904" s="2" t="s">
        <v>279</v>
      </c>
      <c r="E904" s="2" t="s">
        <v>737</v>
      </c>
      <c r="F904" s="2" t="s">
        <v>451</v>
      </c>
      <c r="G904" s="2" t="s">
        <v>141</v>
      </c>
      <c r="H904" s="2" t="s">
        <v>415</v>
      </c>
      <c r="I904" t="s">
        <v>198</v>
      </c>
      <c r="J904" s="18">
        <v>13425.44</v>
      </c>
      <c r="K904" s="18"/>
      <c r="L904" s="18">
        <v>12712.123664492699</v>
      </c>
      <c r="M904" s="18">
        <v>421.40324159018002</v>
      </c>
      <c r="N904" s="18"/>
      <c r="O904" s="18"/>
      <c r="P904" s="3">
        <v>0</v>
      </c>
      <c r="Q904" s="3">
        <v>0</v>
      </c>
      <c r="R904" s="3">
        <v>0</v>
      </c>
      <c r="S904" s="3"/>
      <c r="T904" s="3" t="b">
        <v>0</v>
      </c>
      <c r="U904" s="3">
        <v>3748</v>
      </c>
      <c r="V904" s="3">
        <v>1</v>
      </c>
      <c r="W904" s="3">
        <v>2858</v>
      </c>
      <c r="X904" s="3">
        <v>15.96</v>
      </c>
    </row>
    <row r="905" spans="1:24" hidden="1">
      <c r="A905" s="1">
        <v>45231</v>
      </c>
      <c r="B905" s="1" t="s">
        <v>1176</v>
      </c>
      <c r="C905" s="2" t="s">
        <v>1154</v>
      </c>
      <c r="D905" s="2" t="s">
        <v>279</v>
      </c>
      <c r="E905" s="2" t="s">
        <v>737</v>
      </c>
      <c r="F905" s="2" t="s">
        <v>451</v>
      </c>
      <c r="G905" s="2" t="s">
        <v>141</v>
      </c>
      <c r="H905" s="2" t="s">
        <v>415</v>
      </c>
      <c r="I905" t="s">
        <v>198</v>
      </c>
      <c r="J905" s="18">
        <v>13680.56</v>
      </c>
      <c r="K905" s="18"/>
      <c r="L905" s="18">
        <v>12748.9776667757</v>
      </c>
      <c r="M905" s="18">
        <v>368.23794144482702</v>
      </c>
      <c r="N905" s="18"/>
      <c r="O905" s="18"/>
      <c r="P905" s="3">
        <v>0</v>
      </c>
      <c r="Q905" s="3">
        <v>0</v>
      </c>
      <c r="R905" s="3">
        <v>0</v>
      </c>
      <c r="S905" s="3"/>
      <c r="T905" s="3" t="b">
        <v>0</v>
      </c>
      <c r="U905" s="3">
        <v>2423</v>
      </c>
      <c r="V905" s="3">
        <v>0</v>
      </c>
      <c r="W905" s="3">
        <v>1151</v>
      </c>
      <c r="X905" s="3">
        <v>15.39</v>
      </c>
    </row>
    <row r="906" spans="1:24" hidden="1">
      <c r="A906" s="1">
        <v>45261</v>
      </c>
      <c r="B906" s="1" t="s">
        <v>1177</v>
      </c>
      <c r="C906" s="2" t="s">
        <v>1154</v>
      </c>
      <c r="D906" s="2" t="s">
        <v>279</v>
      </c>
      <c r="E906" s="2" t="s">
        <v>737</v>
      </c>
      <c r="F906" s="2" t="s">
        <v>451</v>
      </c>
      <c r="G906" s="2" t="s">
        <v>141</v>
      </c>
      <c r="H906" s="2" t="s">
        <v>415</v>
      </c>
      <c r="I906" t="s">
        <v>198</v>
      </c>
      <c r="J906" s="18">
        <v>13595.58</v>
      </c>
      <c r="K906" s="18"/>
      <c r="L906" s="18">
        <v>12784.6428300757</v>
      </c>
      <c r="M906" s="18">
        <v>139.175092110793</v>
      </c>
      <c r="N906" s="18"/>
      <c r="O906" s="18"/>
      <c r="P906" s="3">
        <v>0</v>
      </c>
      <c r="Q906" s="3">
        <v>0</v>
      </c>
      <c r="R906" s="3">
        <v>0</v>
      </c>
      <c r="S906" s="3"/>
      <c r="T906" s="3" t="b">
        <v>0</v>
      </c>
      <c r="U906" s="3">
        <v>3591</v>
      </c>
      <c r="V906" s="3">
        <v>0</v>
      </c>
      <c r="W906" s="3">
        <v>2028</v>
      </c>
      <c r="X906" s="3">
        <v>16.170000000000002</v>
      </c>
    </row>
    <row r="907" spans="1:24" hidden="1">
      <c r="A907" s="1">
        <v>45292</v>
      </c>
      <c r="B907" s="1" t="s">
        <v>1178</v>
      </c>
      <c r="C907" s="2" t="s">
        <v>1154</v>
      </c>
      <c r="D907" s="2" t="s">
        <v>279</v>
      </c>
      <c r="E907" s="2" t="s">
        <v>737</v>
      </c>
      <c r="F907" s="2" t="s">
        <v>451</v>
      </c>
      <c r="G907" s="2" t="s">
        <v>141</v>
      </c>
      <c r="H907" s="2" t="s">
        <v>415</v>
      </c>
      <c r="I907" t="s">
        <v>198</v>
      </c>
      <c r="J907" s="18">
        <v>13617.88</v>
      </c>
      <c r="K907" s="18"/>
      <c r="L907" s="18">
        <v>12821.496832246199</v>
      </c>
      <c r="M907" s="18">
        <v>154.30391133950801</v>
      </c>
      <c r="N907" s="18"/>
      <c r="O907" s="18"/>
      <c r="P907" s="3">
        <v>0</v>
      </c>
      <c r="Q907" s="3">
        <v>0</v>
      </c>
      <c r="R907" s="3">
        <v>0</v>
      </c>
      <c r="S907" s="3"/>
      <c r="T907" s="3" t="b">
        <v>0</v>
      </c>
      <c r="U907" s="3">
        <v>2389</v>
      </c>
      <c r="V907" s="3">
        <v>0</v>
      </c>
      <c r="W907" s="3">
        <v>2218</v>
      </c>
      <c r="X907" s="3">
        <v>14.09</v>
      </c>
    </row>
    <row r="908" spans="1:24" hidden="1">
      <c r="A908" s="1">
        <v>45323</v>
      </c>
      <c r="B908" s="1" t="s">
        <v>1179</v>
      </c>
      <c r="C908" s="2" t="s">
        <v>1154</v>
      </c>
      <c r="D908" s="2" t="s">
        <v>279</v>
      </c>
      <c r="E908" s="2" t="s">
        <v>737</v>
      </c>
      <c r="F908" s="2" t="s">
        <v>451</v>
      </c>
      <c r="G908" s="2" t="s">
        <v>141</v>
      </c>
      <c r="H908" s="2" t="s">
        <v>415</v>
      </c>
      <c r="I908" t="s">
        <v>198</v>
      </c>
      <c r="J908" s="18">
        <v>13617.94</v>
      </c>
      <c r="K908" s="18"/>
      <c r="L908" s="18">
        <v>12858.350834442201</v>
      </c>
      <c r="M908" s="18">
        <v>-86.489680803610895</v>
      </c>
      <c r="N908" s="18"/>
      <c r="O908" s="18"/>
      <c r="P908" s="3">
        <v>0</v>
      </c>
      <c r="Q908" s="3">
        <v>0</v>
      </c>
      <c r="R908" s="3">
        <v>0</v>
      </c>
      <c r="S908" s="3"/>
      <c r="T908" s="3" t="b">
        <v>1</v>
      </c>
      <c r="U908" s="3">
        <v>2341</v>
      </c>
      <c r="V908" s="3">
        <v>1</v>
      </c>
      <c r="W908" s="3">
        <v>2977</v>
      </c>
      <c r="X908" s="3">
        <v>15.39</v>
      </c>
    </row>
    <row r="909" spans="1:24" hidden="1">
      <c r="A909" s="1">
        <v>45352</v>
      </c>
      <c r="B909" s="1" t="s">
        <v>1180</v>
      </c>
      <c r="C909" s="2" t="s">
        <v>1154</v>
      </c>
      <c r="D909" s="2" t="s">
        <v>279</v>
      </c>
      <c r="E909" s="2" t="s">
        <v>737</v>
      </c>
      <c r="F909" s="2" t="s">
        <v>451</v>
      </c>
      <c r="G909" s="2" t="s">
        <v>141</v>
      </c>
      <c r="H909" s="2" t="s">
        <v>415</v>
      </c>
      <c r="I909" t="s">
        <v>198</v>
      </c>
      <c r="J909" s="18">
        <v>7917.52</v>
      </c>
      <c r="K909" s="18"/>
      <c r="L909" s="18">
        <v>12892.8271590571</v>
      </c>
      <c r="M909" s="18">
        <v>-1161.85910113657</v>
      </c>
      <c r="N909" s="18"/>
      <c r="O909" s="18"/>
      <c r="P909" s="3">
        <v>0</v>
      </c>
      <c r="Q909" s="3">
        <v>0</v>
      </c>
      <c r="R909" s="3">
        <v>1</v>
      </c>
      <c r="S909" s="3"/>
      <c r="T909" s="3" t="b">
        <v>0</v>
      </c>
      <c r="U909" s="3">
        <v>2945</v>
      </c>
      <c r="V909" s="3">
        <v>0</v>
      </c>
      <c r="W909" s="3">
        <v>2306</v>
      </c>
      <c r="X909" s="3">
        <v>15.88</v>
      </c>
    </row>
    <row r="910" spans="1:24" hidden="1">
      <c r="A910" s="1">
        <v>45383</v>
      </c>
      <c r="B910" s="1" t="s">
        <v>1181</v>
      </c>
      <c r="C910" s="2" t="s">
        <v>1154</v>
      </c>
      <c r="D910" s="2" t="s">
        <v>279</v>
      </c>
      <c r="E910" s="2" t="s">
        <v>737</v>
      </c>
      <c r="F910" s="2" t="s">
        <v>451</v>
      </c>
      <c r="G910" s="2" t="s">
        <v>141</v>
      </c>
      <c r="H910" s="2" t="s">
        <v>415</v>
      </c>
      <c r="I910" t="s">
        <v>198</v>
      </c>
      <c r="J910" s="18">
        <v>13117.75</v>
      </c>
      <c r="K910" s="18"/>
      <c r="L910" s="18">
        <v>12929.6811612316</v>
      </c>
      <c r="M910" s="18">
        <v>423.674721666175</v>
      </c>
      <c r="N910" s="18"/>
      <c r="O910" s="18"/>
      <c r="P910" s="3">
        <v>0</v>
      </c>
      <c r="Q910" s="3">
        <v>0</v>
      </c>
      <c r="R910" s="3">
        <v>0</v>
      </c>
      <c r="S910" s="3"/>
      <c r="T910" s="3" t="b">
        <v>0</v>
      </c>
      <c r="U910" s="3">
        <v>2613</v>
      </c>
      <c r="V910" s="3">
        <v>2</v>
      </c>
      <c r="W910" s="3">
        <v>1463</v>
      </c>
      <c r="X910" s="3">
        <v>16.62</v>
      </c>
    </row>
    <row r="911" spans="1:24" hidden="1">
      <c r="A911" s="1">
        <v>45413</v>
      </c>
      <c r="B911" s="1" t="s">
        <v>1182</v>
      </c>
      <c r="C911" s="2" t="s">
        <v>1154</v>
      </c>
      <c r="D911" s="2" t="s">
        <v>279</v>
      </c>
      <c r="E911" s="2" t="s">
        <v>737</v>
      </c>
      <c r="F911" s="2" t="s">
        <v>451</v>
      </c>
      <c r="G911" s="2" t="s">
        <v>141</v>
      </c>
      <c r="H911" s="2" t="s">
        <v>415</v>
      </c>
      <c r="I911" t="s">
        <v>198</v>
      </c>
      <c r="J911" s="18">
        <v>13118.63</v>
      </c>
      <c r="K911" s="18"/>
      <c r="L911" s="18">
        <v>12965.3463246263</v>
      </c>
      <c r="M911" s="18">
        <v>-528.08894024858205</v>
      </c>
      <c r="N911" s="18"/>
      <c r="O911" s="18"/>
      <c r="P911" s="3">
        <v>0</v>
      </c>
      <c r="Q911" s="3">
        <v>0</v>
      </c>
      <c r="R911" s="3">
        <v>0</v>
      </c>
      <c r="S911" s="3"/>
      <c r="T911" s="3" t="b">
        <v>0</v>
      </c>
      <c r="U911" s="3">
        <v>2492</v>
      </c>
      <c r="V911" s="3">
        <v>0</v>
      </c>
      <c r="W911" s="3">
        <v>2136</v>
      </c>
      <c r="X911" s="3">
        <v>14.84</v>
      </c>
    </row>
    <row r="912" spans="1:24" hidden="1">
      <c r="A912" s="1">
        <v>45444</v>
      </c>
      <c r="B912" s="1" t="s">
        <v>1183</v>
      </c>
      <c r="C912" s="2" t="s">
        <v>1154</v>
      </c>
      <c r="D912" s="2" t="s">
        <v>279</v>
      </c>
      <c r="E912" s="2" t="s">
        <v>737</v>
      </c>
      <c r="F912" s="2" t="s">
        <v>451</v>
      </c>
      <c r="G912" s="2" t="s">
        <v>141</v>
      </c>
      <c r="H912" s="2" t="s">
        <v>415</v>
      </c>
      <c r="I912" t="s">
        <v>198</v>
      </c>
      <c r="J912" s="18">
        <v>13409.72</v>
      </c>
      <c r="K912" s="18"/>
      <c r="L912" s="18">
        <v>13002.200326800799</v>
      </c>
      <c r="M912" s="18">
        <v>847.42209994810401</v>
      </c>
      <c r="N912" s="18"/>
      <c r="O912" s="18"/>
      <c r="P912" s="3">
        <v>0</v>
      </c>
      <c r="Q912" s="3">
        <v>0</v>
      </c>
      <c r="R912" s="3">
        <v>0</v>
      </c>
      <c r="S912" s="3"/>
      <c r="T912" s="3" t="b">
        <v>0</v>
      </c>
      <c r="U912" s="3">
        <v>2191</v>
      </c>
      <c r="V912" s="3">
        <v>2</v>
      </c>
      <c r="W912" s="3">
        <v>1270</v>
      </c>
      <c r="X912" s="3">
        <v>14.86</v>
      </c>
    </row>
    <row r="913" spans="1:24" hidden="1">
      <c r="A913" s="1">
        <v>45474</v>
      </c>
      <c r="B913" s="1" t="s">
        <v>1184</v>
      </c>
      <c r="C913" s="2" t="s">
        <v>1154</v>
      </c>
      <c r="D913" s="2" t="s">
        <v>279</v>
      </c>
      <c r="E913" s="2" t="s">
        <v>737</v>
      </c>
      <c r="F913" s="2" t="s">
        <v>451</v>
      </c>
      <c r="G913" s="2" t="s">
        <v>141</v>
      </c>
      <c r="H913" s="2" t="s">
        <v>415</v>
      </c>
      <c r="I913" t="s">
        <v>198</v>
      </c>
      <c r="J913" s="18">
        <v>13192.75</v>
      </c>
      <c r="K913" s="18">
        <v>13194.88</v>
      </c>
      <c r="L913" s="18">
        <v>13037.8654901955</v>
      </c>
      <c r="M913" s="18">
        <v>-351.25815215927901</v>
      </c>
      <c r="N913" s="18">
        <v>13394.88</v>
      </c>
      <c r="O913" s="18">
        <v>12994.88</v>
      </c>
      <c r="P913" s="3">
        <v>0</v>
      </c>
      <c r="Q913" s="3">
        <v>0</v>
      </c>
      <c r="R913" s="3">
        <v>0</v>
      </c>
      <c r="S913" s="3"/>
      <c r="T913" s="3" t="b">
        <v>0</v>
      </c>
      <c r="U913" s="3">
        <v>2498</v>
      </c>
      <c r="V913" s="3">
        <v>1</v>
      </c>
      <c r="W913" s="3">
        <v>2186</v>
      </c>
      <c r="X913" s="3">
        <v>16.12</v>
      </c>
    </row>
    <row r="914" spans="1:24" hidden="1">
      <c r="A914" s="1">
        <v>45505</v>
      </c>
      <c r="B914" s="1" t="s">
        <v>1185</v>
      </c>
      <c r="C914" s="2" t="s">
        <v>1154</v>
      </c>
      <c r="D914" s="2" t="s">
        <v>279</v>
      </c>
      <c r="E914" s="2" t="s">
        <v>737</v>
      </c>
      <c r="F914" s="2" t="s">
        <v>451</v>
      </c>
      <c r="G914" s="2" t="s">
        <v>141</v>
      </c>
      <c r="H914" s="2" t="s">
        <v>415</v>
      </c>
      <c r="I914" t="s">
        <v>198</v>
      </c>
      <c r="J914" s="18">
        <v>13061.52</v>
      </c>
      <c r="K914" s="18">
        <v>13150.2</v>
      </c>
      <c r="L914" s="18">
        <v>13074.719492370001</v>
      </c>
      <c r="M914" s="18">
        <v>656.09099858379295</v>
      </c>
      <c r="N914" s="18">
        <v>13350.2</v>
      </c>
      <c r="O914" s="18">
        <v>12950.2</v>
      </c>
      <c r="P914" s="3">
        <v>0</v>
      </c>
      <c r="Q914" s="3">
        <v>0</v>
      </c>
      <c r="R914" s="3">
        <v>0</v>
      </c>
      <c r="S914" s="3"/>
      <c r="T914" s="3" t="b">
        <v>0</v>
      </c>
      <c r="U914" s="3">
        <v>2821</v>
      </c>
      <c r="V914" s="3">
        <v>0</v>
      </c>
      <c r="W914" s="3">
        <v>1459</v>
      </c>
      <c r="X914" s="3">
        <v>17.559999999999999</v>
      </c>
    </row>
    <row r="915" spans="1:24" hidden="1">
      <c r="A915" s="1">
        <v>45536</v>
      </c>
      <c r="B915" s="1" t="s">
        <v>1186</v>
      </c>
      <c r="C915" s="2" t="s">
        <v>1154</v>
      </c>
      <c r="D915" s="2" t="s">
        <v>279</v>
      </c>
      <c r="E915" s="2" t="s">
        <v>737</v>
      </c>
      <c r="F915" s="2" t="s">
        <v>451</v>
      </c>
      <c r="G915" s="2" t="s">
        <v>141</v>
      </c>
      <c r="H915" s="2" t="s">
        <v>415</v>
      </c>
      <c r="I915" t="s">
        <v>198</v>
      </c>
      <c r="J915" s="18">
        <v>13434.99</v>
      </c>
      <c r="K915" s="18">
        <v>13369.91</v>
      </c>
      <c r="L915" s="18">
        <v>13111.5734945445</v>
      </c>
      <c r="M915" s="18">
        <v>-197.02998444441801</v>
      </c>
      <c r="N915" s="18">
        <v>13569.91</v>
      </c>
      <c r="O915" s="18">
        <v>13169.91</v>
      </c>
      <c r="P915" s="3">
        <v>0</v>
      </c>
      <c r="Q915" s="3">
        <v>0</v>
      </c>
      <c r="R915" s="3">
        <v>0</v>
      </c>
      <c r="S915" s="3"/>
      <c r="T915" s="3" t="b">
        <v>0</v>
      </c>
      <c r="U915" s="3">
        <v>3735</v>
      </c>
      <c r="V915" s="3">
        <v>0</v>
      </c>
      <c r="W915" s="3">
        <v>1104</v>
      </c>
      <c r="X915" s="3">
        <v>40</v>
      </c>
    </row>
    <row r="916" spans="1:24" hidden="1">
      <c r="A916" s="1">
        <v>45566</v>
      </c>
      <c r="B916" s="1" t="s">
        <v>1187</v>
      </c>
      <c r="C916" s="2" t="s">
        <v>1154</v>
      </c>
      <c r="D916" s="2" t="s">
        <v>279</v>
      </c>
      <c r="E916" s="2" t="s">
        <v>737</v>
      </c>
      <c r="F916" s="2" t="s">
        <v>451</v>
      </c>
      <c r="G916" s="2" t="s">
        <v>141</v>
      </c>
      <c r="H916" s="2" t="s">
        <v>415</v>
      </c>
      <c r="I916" t="s">
        <v>224</v>
      </c>
      <c r="J916" s="18"/>
      <c r="K916" s="18">
        <v>13628.86</v>
      </c>
      <c r="L916" s="18">
        <v>13147.2386579392</v>
      </c>
      <c r="M916" s="18">
        <v>1390.48546638024</v>
      </c>
      <c r="N916" s="18">
        <v>13828.86</v>
      </c>
      <c r="O916" s="18">
        <v>13428.86</v>
      </c>
      <c r="P916" s="3"/>
      <c r="Q916" s="3"/>
      <c r="R916" s="3"/>
      <c r="S916" s="3"/>
      <c r="T916" s="3"/>
      <c r="U916" s="3"/>
      <c r="V916" s="3"/>
      <c r="W916" s="3">
        <v>2716</v>
      </c>
      <c r="X916" s="3">
        <v>15.51</v>
      </c>
    </row>
    <row r="917" spans="1:24" hidden="1">
      <c r="A917" s="1">
        <v>45597</v>
      </c>
      <c r="B917" s="1" t="s">
        <v>1188</v>
      </c>
      <c r="C917" s="2" t="s">
        <v>1154</v>
      </c>
      <c r="D917" s="2" t="s">
        <v>279</v>
      </c>
      <c r="E917" s="2" t="s">
        <v>737</v>
      </c>
      <c r="F917" s="2" t="s">
        <v>451</v>
      </c>
      <c r="G917" s="2" t="s">
        <v>141</v>
      </c>
      <c r="H917" s="2" t="s">
        <v>415</v>
      </c>
      <c r="I917" t="s">
        <v>224</v>
      </c>
      <c r="J917" s="18"/>
      <c r="K917" s="18">
        <v>13866.92</v>
      </c>
      <c r="L917" s="18">
        <v>13184.0926601137</v>
      </c>
      <c r="M917" s="18">
        <v>-605.61308362974899</v>
      </c>
      <c r="N917" s="18">
        <v>14066.92</v>
      </c>
      <c r="O917" s="18">
        <v>13666.92</v>
      </c>
      <c r="P917" s="3"/>
      <c r="Q917" s="3"/>
      <c r="R917" s="3"/>
      <c r="S917" s="3"/>
      <c r="T917" s="3"/>
      <c r="U917" s="3"/>
      <c r="V917" s="3"/>
      <c r="W917" s="3">
        <v>2579</v>
      </c>
      <c r="X917" s="3">
        <v>14.99</v>
      </c>
    </row>
    <row r="918" spans="1:24" hidden="1">
      <c r="A918" s="1">
        <v>45627</v>
      </c>
      <c r="B918" s="1" t="s">
        <v>1189</v>
      </c>
      <c r="C918" s="2" t="s">
        <v>1154</v>
      </c>
      <c r="D918" s="2" t="s">
        <v>279</v>
      </c>
      <c r="E918" s="2" t="s">
        <v>737</v>
      </c>
      <c r="F918" s="2" t="s">
        <v>451</v>
      </c>
      <c r="G918" s="2" t="s">
        <v>141</v>
      </c>
      <c r="H918" s="2" t="s">
        <v>415</v>
      </c>
      <c r="I918" t="s">
        <v>224</v>
      </c>
      <c r="J918" s="18"/>
      <c r="K918" s="18">
        <v>13755.19</v>
      </c>
      <c r="L918" s="18">
        <v>13219.7578235084</v>
      </c>
      <c r="M918" s="18">
        <v>1104.76985003862</v>
      </c>
      <c r="N918" s="18">
        <v>13955.19</v>
      </c>
      <c r="O918" s="18">
        <v>13555.19</v>
      </c>
      <c r="P918" s="3"/>
      <c r="Q918" s="3"/>
      <c r="R918" s="3"/>
      <c r="S918" s="3"/>
      <c r="T918" s="3"/>
      <c r="U918" s="3"/>
      <c r="V918" s="3"/>
      <c r="W918" s="3">
        <v>2305</v>
      </c>
      <c r="X918" s="3">
        <v>13.37</v>
      </c>
    </row>
    <row r="919" spans="1:24" hidden="1">
      <c r="A919" s="1">
        <v>44562</v>
      </c>
      <c r="B919" s="1" t="s">
        <v>1190</v>
      </c>
      <c r="C919" s="2" t="s">
        <v>1191</v>
      </c>
      <c r="D919" s="2" t="s">
        <v>279</v>
      </c>
      <c r="E919" s="2" t="s">
        <v>737</v>
      </c>
      <c r="F919" s="2" t="s">
        <v>451</v>
      </c>
      <c r="G919" s="2" t="s">
        <v>146</v>
      </c>
      <c r="H919" s="2" t="s">
        <v>1069</v>
      </c>
      <c r="I919" t="s">
        <v>198</v>
      </c>
      <c r="J919" s="18">
        <v>17673.900000000001</v>
      </c>
      <c r="K919" s="18"/>
      <c r="L919" s="18">
        <v>17769.205895210001</v>
      </c>
      <c r="M919" s="18">
        <v>-547.73414194943098</v>
      </c>
      <c r="N919" s="18"/>
      <c r="O919" s="18"/>
      <c r="P919" s="3">
        <v>0</v>
      </c>
      <c r="Q919" s="3">
        <v>0</v>
      </c>
      <c r="R919" s="3">
        <v>0</v>
      </c>
      <c r="S919" s="3"/>
      <c r="T919" s="3" t="b">
        <v>0</v>
      </c>
      <c r="U919" s="3">
        <v>4846</v>
      </c>
      <c r="V919" s="3">
        <v>0</v>
      </c>
      <c r="W919" s="3">
        <v>1192</v>
      </c>
      <c r="X919" s="3">
        <v>12.07</v>
      </c>
    </row>
    <row r="920" spans="1:24" hidden="1">
      <c r="A920" s="1">
        <v>44593</v>
      </c>
      <c r="B920" s="1" t="s">
        <v>1192</v>
      </c>
      <c r="C920" s="2" t="s">
        <v>1191</v>
      </c>
      <c r="D920" s="2" t="s">
        <v>279</v>
      </c>
      <c r="E920" s="2" t="s">
        <v>737</v>
      </c>
      <c r="F920" s="2" t="s">
        <v>451</v>
      </c>
      <c r="G920" s="2" t="s">
        <v>146</v>
      </c>
      <c r="H920" s="2" t="s">
        <v>1069</v>
      </c>
      <c r="I920" t="s">
        <v>198</v>
      </c>
      <c r="J920" s="18">
        <v>18604.57</v>
      </c>
      <c r="K920" s="18"/>
      <c r="L920" s="18">
        <v>17840.889484861302</v>
      </c>
      <c r="M920" s="18">
        <v>516.56615515780004</v>
      </c>
      <c r="N920" s="18"/>
      <c r="O920" s="18"/>
      <c r="P920" s="3">
        <v>0</v>
      </c>
      <c r="Q920" s="3">
        <v>0</v>
      </c>
      <c r="R920" s="3">
        <v>0</v>
      </c>
      <c r="S920" s="3"/>
      <c r="T920" s="3" t="b">
        <v>0</v>
      </c>
      <c r="U920" s="3">
        <v>3114</v>
      </c>
      <c r="V920" s="3">
        <v>0</v>
      </c>
      <c r="W920" s="3">
        <v>2678</v>
      </c>
      <c r="X920" s="3">
        <v>12.59</v>
      </c>
    </row>
    <row r="921" spans="1:24" hidden="1">
      <c r="A921" s="1">
        <v>44621</v>
      </c>
      <c r="B921" s="1" t="s">
        <v>1193</v>
      </c>
      <c r="C921" s="2" t="s">
        <v>1191</v>
      </c>
      <c r="D921" s="2" t="s">
        <v>279</v>
      </c>
      <c r="E921" s="2" t="s">
        <v>737</v>
      </c>
      <c r="F921" s="2" t="s">
        <v>451</v>
      </c>
      <c r="G921" s="2" t="s">
        <v>146</v>
      </c>
      <c r="H921" s="2" t="s">
        <v>1069</v>
      </c>
      <c r="I921" t="s">
        <v>198</v>
      </c>
      <c r="J921" s="18">
        <v>18694.189999999999</v>
      </c>
      <c r="K921" s="18"/>
      <c r="L921" s="18">
        <v>17905.635953183901</v>
      </c>
      <c r="M921" s="18">
        <v>205.90812822900901</v>
      </c>
      <c r="N921" s="18"/>
      <c r="O921" s="18"/>
      <c r="P921" s="3">
        <v>0</v>
      </c>
      <c r="Q921" s="3">
        <v>0</v>
      </c>
      <c r="R921" s="3">
        <v>0</v>
      </c>
      <c r="S921" s="3"/>
      <c r="T921" s="3" t="b">
        <v>0</v>
      </c>
      <c r="U921" s="3">
        <v>4527</v>
      </c>
      <c r="V921" s="3">
        <v>0</v>
      </c>
      <c r="W921" s="3">
        <v>1615</v>
      </c>
      <c r="X921" s="3">
        <v>11.75</v>
      </c>
    </row>
    <row r="922" spans="1:24" hidden="1">
      <c r="A922" s="1">
        <v>44652</v>
      </c>
      <c r="B922" s="1" t="s">
        <v>1194</v>
      </c>
      <c r="C922" s="2" t="s">
        <v>1191</v>
      </c>
      <c r="D922" s="2" t="s">
        <v>279</v>
      </c>
      <c r="E922" s="2" t="s">
        <v>737</v>
      </c>
      <c r="F922" s="2" t="s">
        <v>451</v>
      </c>
      <c r="G922" s="2" t="s">
        <v>146</v>
      </c>
      <c r="H922" s="2" t="s">
        <v>1069</v>
      </c>
      <c r="I922" t="s">
        <v>198</v>
      </c>
      <c r="J922" s="18">
        <v>19173.189999999999</v>
      </c>
      <c r="K922" s="18"/>
      <c r="L922" s="18">
        <v>17977.319543424299</v>
      </c>
      <c r="M922" s="18">
        <v>2791.8231283523201</v>
      </c>
      <c r="N922" s="18"/>
      <c r="O922" s="18"/>
      <c r="P922" s="3">
        <v>0</v>
      </c>
      <c r="Q922" s="3">
        <v>0</v>
      </c>
      <c r="R922" s="3">
        <v>0</v>
      </c>
      <c r="S922" s="3"/>
      <c r="T922" s="3" t="b">
        <v>0</v>
      </c>
      <c r="U922" s="3">
        <v>4620</v>
      </c>
      <c r="V922" s="3">
        <v>0</v>
      </c>
      <c r="W922" s="3">
        <v>2995</v>
      </c>
      <c r="X922" s="3">
        <v>11.12</v>
      </c>
    </row>
    <row r="923" spans="1:24" hidden="1">
      <c r="A923" s="1">
        <v>44682</v>
      </c>
      <c r="B923" s="1" t="s">
        <v>1195</v>
      </c>
      <c r="C923" s="2" t="s">
        <v>1191</v>
      </c>
      <c r="D923" s="2" t="s">
        <v>279</v>
      </c>
      <c r="E923" s="2" t="s">
        <v>737</v>
      </c>
      <c r="F923" s="2" t="s">
        <v>451</v>
      </c>
      <c r="G923" s="2" t="s">
        <v>146</v>
      </c>
      <c r="H923" s="2" t="s">
        <v>1069</v>
      </c>
      <c r="I923" t="s">
        <v>198</v>
      </c>
      <c r="J923" s="18">
        <v>19004.97</v>
      </c>
      <c r="K923" s="18"/>
      <c r="L923" s="18">
        <v>18046.690760056401</v>
      </c>
      <c r="M923" s="18">
        <v>366.373634395061</v>
      </c>
      <c r="N923" s="18"/>
      <c r="O923" s="18"/>
      <c r="P923" s="3">
        <v>0</v>
      </c>
      <c r="Q923" s="3">
        <v>0</v>
      </c>
      <c r="R923" s="3">
        <v>0</v>
      </c>
      <c r="S923" s="3"/>
      <c r="T923" s="3" t="b">
        <v>0</v>
      </c>
      <c r="U923" s="3">
        <v>4505</v>
      </c>
      <c r="V923" s="3">
        <v>0</v>
      </c>
      <c r="W923" s="3">
        <v>1405</v>
      </c>
      <c r="X923" s="3">
        <v>10.7</v>
      </c>
    </row>
    <row r="924" spans="1:24" hidden="1">
      <c r="A924" s="1">
        <v>44713</v>
      </c>
      <c r="B924" s="1" t="s">
        <v>1196</v>
      </c>
      <c r="C924" s="2" t="s">
        <v>1191</v>
      </c>
      <c r="D924" s="2" t="s">
        <v>279</v>
      </c>
      <c r="E924" s="2" t="s">
        <v>737</v>
      </c>
      <c r="F924" s="2" t="s">
        <v>451</v>
      </c>
      <c r="G924" s="2" t="s">
        <v>146</v>
      </c>
      <c r="H924" s="2" t="s">
        <v>1069</v>
      </c>
      <c r="I924" t="s">
        <v>198</v>
      </c>
      <c r="J924" s="18">
        <v>18562.310000000001</v>
      </c>
      <c r="K924" s="18"/>
      <c r="L924" s="18">
        <v>18118.3743505903</v>
      </c>
      <c r="M924" s="18">
        <v>-118.588487061317</v>
      </c>
      <c r="N924" s="18"/>
      <c r="O924" s="18"/>
      <c r="P924" s="3">
        <v>0</v>
      </c>
      <c r="Q924" s="3">
        <v>0</v>
      </c>
      <c r="R924" s="3">
        <v>0</v>
      </c>
      <c r="S924" s="3"/>
      <c r="T924" s="3" t="b">
        <v>0</v>
      </c>
      <c r="U924" s="3">
        <v>3474</v>
      </c>
      <c r="V924" s="3">
        <v>1</v>
      </c>
      <c r="W924" s="3">
        <v>2749</v>
      </c>
      <c r="X924" s="3">
        <v>11.85</v>
      </c>
    </row>
    <row r="925" spans="1:24" hidden="1">
      <c r="A925" s="1">
        <v>44743</v>
      </c>
      <c r="B925" s="1" t="s">
        <v>1197</v>
      </c>
      <c r="C925" s="2" t="s">
        <v>1191</v>
      </c>
      <c r="D925" s="2" t="s">
        <v>279</v>
      </c>
      <c r="E925" s="2" t="s">
        <v>737</v>
      </c>
      <c r="F925" s="2" t="s">
        <v>451</v>
      </c>
      <c r="G925" s="2" t="s">
        <v>146</v>
      </c>
      <c r="H925" s="2" t="s">
        <v>1069</v>
      </c>
      <c r="I925" t="s">
        <v>198</v>
      </c>
      <c r="J925" s="18">
        <v>18910.75</v>
      </c>
      <c r="K925" s="18"/>
      <c r="L925" s="18">
        <v>18187.745566980801</v>
      </c>
      <c r="M925" s="18">
        <v>361.76449357493698</v>
      </c>
      <c r="N925" s="18"/>
      <c r="O925" s="18"/>
      <c r="P925" s="3">
        <v>0</v>
      </c>
      <c r="Q925" s="3">
        <v>0</v>
      </c>
      <c r="R925" s="3">
        <v>0</v>
      </c>
      <c r="S925" s="3"/>
      <c r="T925" s="3" t="b">
        <v>1</v>
      </c>
      <c r="U925" s="3">
        <v>2364</v>
      </c>
      <c r="V925" s="3">
        <v>0</v>
      </c>
      <c r="W925" s="3">
        <v>2777</v>
      </c>
      <c r="X925" s="3">
        <v>11.71</v>
      </c>
    </row>
    <row r="926" spans="1:24" hidden="1">
      <c r="A926" s="1">
        <v>44774</v>
      </c>
      <c r="B926" s="1" t="s">
        <v>1198</v>
      </c>
      <c r="C926" s="2" t="s">
        <v>1191</v>
      </c>
      <c r="D926" s="2" t="s">
        <v>279</v>
      </c>
      <c r="E926" s="2" t="s">
        <v>737</v>
      </c>
      <c r="F926" s="2" t="s">
        <v>451</v>
      </c>
      <c r="G926" s="2" t="s">
        <v>146</v>
      </c>
      <c r="H926" s="2" t="s">
        <v>1069</v>
      </c>
      <c r="I926" t="s">
        <v>198</v>
      </c>
      <c r="J926" s="18">
        <v>18528.98</v>
      </c>
      <c r="K926" s="18"/>
      <c r="L926" s="18">
        <v>18259.4291573925</v>
      </c>
      <c r="M926" s="18">
        <v>-40.618239878441798</v>
      </c>
      <c r="N926" s="18"/>
      <c r="O926" s="18"/>
      <c r="P926" s="3">
        <v>0</v>
      </c>
      <c r="Q926" s="3">
        <v>0</v>
      </c>
      <c r="R926" s="3">
        <v>0</v>
      </c>
      <c r="S926" s="3"/>
      <c r="T926" s="3" t="b">
        <v>0</v>
      </c>
      <c r="U926" s="3">
        <v>4906</v>
      </c>
      <c r="V926" s="3">
        <v>0</v>
      </c>
      <c r="W926" s="3">
        <v>1942</v>
      </c>
      <c r="X926" s="3">
        <v>12.22</v>
      </c>
    </row>
    <row r="927" spans="1:24" hidden="1">
      <c r="A927" s="1">
        <v>44805</v>
      </c>
      <c r="B927" s="1" t="s">
        <v>1199</v>
      </c>
      <c r="C927" s="2" t="s">
        <v>1191</v>
      </c>
      <c r="D927" s="2" t="s">
        <v>279</v>
      </c>
      <c r="E927" s="2" t="s">
        <v>737</v>
      </c>
      <c r="F927" s="2" t="s">
        <v>451</v>
      </c>
      <c r="G927" s="2" t="s">
        <v>146</v>
      </c>
      <c r="H927" s="2" t="s">
        <v>1069</v>
      </c>
      <c r="I927" t="s">
        <v>198</v>
      </c>
      <c r="J927" s="18">
        <v>18926.27</v>
      </c>
      <c r="K927" s="18"/>
      <c r="L927" s="18">
        <v>18331.1127479354</v>
      </c>
      <c r="M927" s="18">
        <v>152.27917071869501</v>
      </c>
      <c r="N927" s="18"/>
      <c r="O927" s="18"/>
      <c r="P927" s="3">
        <v>0</v>
      </c>
      <c r="Q927" s="3">
        <v>0</v>
      </c>
      <c r="R927" s="3">
        <v>0</v>
      </c>
      <c r="S927" s="3"/>
      <c r="T927" s="3" t="b">
        <v>0</v>
      </c>
      <c r="U927" s="3">
        <v>3698</v>
      </c>
      <c r="V927" s="3">
        <v>0</v>
      </c>
      <c r="W927" s="3">
        <v>1720</v>
      </c>
      <c r="X927" s="3">
        <v>11.33</v>
      </c>
    </row>
    <row r="928" spans="1:24" hidden="1">
      <c r="A928" s="1">
        <v>44835</v>
      </c>
      <c r="B928" s="1" t="s">
        <v>1200</v>
      </c>
      <c r="C928" s="2" t="s">
        <v>1191</v>
      </c>
      <c r="D928" s="2" t="s">
        <v>279</v>
      </c>
      <c r="E928" s="2" t="s">
        <v>737</v>
      </c>
      <c r="F928" s="2" t="s">
        <v>451</v>
      </c>
      <c r="G928" s="2" t="s">
        <v>146</v>
      </c>
      <c r="H928" s="2" t="s">
        <v>1069</v>
      </c>
      <c r="I928" t="s">
        <v>198</v>
      </c>
      <c r="J928" s="18">
        <v>18271.55</v>
      </c>
      <c r="K928" s="18"/>
      <c r="L928" s="18">
        <v>18400.48396456</v>
      </c>
      <c r="M928" s="18">
        <v>221.38235725758699</v>
      </c>
      <c r="N928" s="18"/>
      <c r="O928" s="18"/>
      <c r="P928" s="3">
        <v>0</v>
      </c>
      <c r="Q928" s="3">
        <v>0</v>
      </c>
      <c r="R928" s="3">
        <v>0</v>
      </c>
      <c r="S928" s="3"/>
      <c r="T928" s="3" t="b">
        <v>0</v>
      </c>
      <c r="U928" s="3">
        <v>2350</v>
      </c>
      <c r="V928" s="3">
        <v>0</v>
      </c>
      <c r="W928" s="3">
        <v>1092</v>
      </c>
      <c r="X928" s="3">
        <v>12.15</v>
      </c>
    </row>
    <row r="929" spans="1:24" hidden="1">
      <c r="A929" s="1">
        <v>44866</v>
      </c>
      <c r="B929" s="1" t="s">
        <v>1201</v>
      </c>
      <c r="C929" s="2" t="s">
        <v>1191</v>
      </c>
      <c r="D929" s="2" t="s">
        <v>279</v>
      </c>
      <c r="E929" s="2" t="s">
        <v>737</v>
      </c>
      <c r="F929" s="2" t="s">
        <v>451</v>
      </c>
      <c r="G929" s="2" t="s">
        <v>146</v>
      </c>
      <c r="H929" s="2" t="s">
        <v>1069</v>
      </c>
      <c r="I929" t="s">
        <v>198</v>
      </c>
      <c r="J929" s="18">
        <v>18148.78</v>
      </c>
      <c r="K929" s="18"/>
      <c r="L929" s="18">
        <v>18472.167554915799</v>
      </c>
      <c r="M929" s="18">
        <v>-223.716817846754</v>
      </c>
      <c r="N929" s="18"/>
      <c r="O929" s="18"/>
      <c r="P929" s="3">
        <v>0</v>
      </c>
      <c r="Q929" s="3">
        <v>0</v>
      </c>
      <c r="R929" s="3">
        <v>0</v>
      </c>
      <c r="S929" s="3"/>
      <c r="T929" s="3" t="b">
        <v>0</v>
      </c>
      <c r="U929" s="3">
        <v>4300</v>
      </c>
      <c r="V929" s="3">
        <v>1</v>
      </c>
      <c r="W929" s="3">
        <v>1429</v>
      </c>
      <c r="X929" s="3">
        <v>10.72</v>
      </c>
    </row>
    <row r="930" spans="1:24" hidden="1">
      <c r="A930" s="1">
        <v>44896</v>
      </c>
      <c r="B930" s="1" t="s">
        <v>1202</v>
      </c>
      <c r="C930" s="2" t="s">
        <v>1191</v>
      </c>
      <c r="D930" s="2" t="s">
        <v>279</v>
      </c>
      <c r="E930" s="2" t="s">
        <v>737</v>
      </c>
      <c r="F930" s="2" t="s">
        <v>451</v>
      </c>
      <c r="G930" s="2" t="s">
        <v>146</v>
      </c>
      <c r="H930" s="2" t="s">
        <v>1069</v>
      </c>
      <c r="I930" t="s">
        <v>198</v>
      </c>
      <c r="J930" s="18">
        <v>17971.150000000001</v>
      </c>
      <c r="K930" s="18"/>
      <c r="L930" s="18">
        <v>18541.5387712755</v>
      </c>
      <c r="M930" s="18">
        <v>-1805.3142383475999</v>
      </c>
      <c r="N930" s="18"/>
      <c r="O930" s="18"/>
      <c r="P930" s="3">
        <v>0</v>
      </c>
      <c r="Q930" s="3">
        <v>0</v>
      </c>
      <c r="R930" s="3">
        <v>0</v>
      </c>
      <c r="S930" s="3"/>
      <c r="T930" s="3" t="b">
        <v>0</v>
      </c>
      <c r="U930" s="3">
        <v>4828</v>
      </c>
      <c r="V930" s="3">
        <v>0</v>
      </c>
      <c r="W930" s="3">
        <v>1653</v>
      </c>
      <c r="X930" s="3">
        <v>13.08</v>
      </c>
    </row>
    <row r="931" spans="1:24" hidden="1">
      <c r="A931" s="1">
        <v>44927</v>
      </c>
      <c r="B931" s="1" t="s">
        <v>1203</v>
      </c>
      <c r="C931" s="2" t="s">
        <v>1191</v>
      </c>
      <c r="D931" s="2" t="s">
        <v>279</v>
      </c>
      <c r="E931" s="2" t="s">
        <v>737</v>
      </c>
      <c r="F931" s="2" t="s">
        <v>451</v>
      </c>
      <c r="G931" s="2" t="s">
        <v>146</v>
      </c>
      <c r="H931" s="2" t="s">
        <v>1069</v>
      </c>
      <c r="I931" t="s">
        <v>198</v>
      </c>
      <c r="J931" s="18">
        <v>18156.02</v>
      </c>
      <c r="K931" s="18"/>
      <c r="L931" s="18">
        <v>18613.222361751501</v>
      </c>
      <c r="M931" s="18">
        <v>-160.41700419266499</v>
      </c>
      <c r="N931" s="18"/>
      <c r="O931" s="18"/>
      <c r="P931" s="3">
        <v>0</v>
      </c>
      <c r="Q931" s="3">
        <v>0</v>
      </c>
      <c r="R931" s="3">
        <v>0</v>
      </c>
      <c r="S931" s="3"/>
      <c r="T931" s="3" t="b">
        <v>0</v>
      </c>
      <c r="U931" s="3">
        <v>3904</v>
      </c>
      <c r="V931" s="3">
        <v>0</v>
      </c>
      <c r="W931" s="3">
        <v>2457</v>
      </c>
      <c r="X931" s="3">
        <v>11.66</v>
      </c>
    </row>
    <row r="932" spans="1:24" hidden="1">
      <c r="A932" s="1">
        <v>44958</v>
      </c>
      <c r="B932" s="1" t="s">
        <v>1204</v>
      </c>
      <c r="C932" s="2" t="s">
        <v>1191</v>
      </c>
      <c r="D932" s="2" t="s">
        <v>279</v>
      </c>
      <c r="E932" s="2" t="s">
        <v>737</v>
      </c>
      <c r="F932" s="2" t="s">
        <v>451</v>
      </c>
      <c r="G932" s="2" t="s">
        <v>146</v>
      </c>
      <c r="H932" s="2" t="s">
        <v>1069</v>
      </c>
      <c r="I932" t="s">
        <v>198</v>
      </c>
      <c r="J932" s="18">
        <v>18135.03</v>
      </c>
      <c r="K932" s="18"/>
      <c r="L932" s="18">
        <v>18684.905955125501</v>
      </c>
      <c r="M932" s="18">
        <v>154.36911070676999</v>
      </c>
      <c r="N932" s="18"/>
      <c r="O932" s="18"/>
      <c r="P932" s="3">
        <v>0</v>
      </c>
      <c r="Q932" s="3">
        <v>0</v>
      </c>
      <c r="R932" s="3">
        <v>0</v>
      </c>
      <c r="S932" s="3"/>
      <c r="T932" s="3" t="b">
        <v>0</v>
      </c>
      <c r="U932" s="3">
        <v>4850</v>
      </c>
      <c r="V932" s="3">
        <v>0</v>
      </c>
      <c r="W932" s="3">
        <v>2427</v>
      </c>
      <c r="X932" s="3">
        <v>11</v>
      </c>
    </row>
    <row r="933" spans="1:24" hidden="1">
      <c r="A933" s="1">
        <v>44986</v>
      </c>
      <c r="B933" s="1" t="s">
        <v>1205</v>
      </c>
      <c r="C933" s="2" t="s">
        <v>1191</v>
      </c>
      <c r="D933" s="2" t="s">
        <v>279</v>
      </c>
      <c r="E933" s="2" t="s">
        <v>737</v>
      </c>
      <c r="F933" s="2" t="s">
        <v>451</v>
      </c>
      <c r="G933" s="2" t="s">
        <v>146</v>
      </c>
      <c r="H933" s="2" t="s">
        <v>1069</v>
      </c>
      <c r="I933" t="s">
        <v>198</v>
      </c>
      <c r="J933" s="18">
        <v>18103.52</v>
      </c>
      <c r="K933" s="18"/>
      <c r="L933" s="18">
        <v>18749.7085733557</v>
      </c>
      <c r="M933" s="18">
        <v>556.58983781981794</v>
      </c>
      <c r="N933" s="18"/>
      <c r="O933" s="18"/>
      <c r="P933" s="3">
        <v>0</v>
      </c>
      <c r="Q933" s="3">
        <v>0</v>
      </c>
      <c r="R933" s="3">
        <v>0</v>
      </c>
      <c r="S933" s="3"/>
      <c r="T933" s="3" t="b">
        <v>0</v>
      </c>
      <c r="U933" s="3">
        <v>3011</v>
      </c>
      <c r="V933" s="3">
        <v>0</v>
      </c>
      <c r="W933" s="3">
        <v>1433</v>
      </c>
      <c r="X933" s="3">
        <v>11.11</v>
      </c>
    </row>
    <row r="934" spans="1:24" hidden="1">
      <c r="A934" s="1">
        <v>45017</v>
      </c>
      <c r="B934" s="1" t="s">
        <v>1206</v>
      </c>
      <c r="C934" s="2" t="s">
        <v>1191</v>
      </c>
      <c r="D934" s="2" t="s">
        <v>279</v>
      </c>
      <c r="E934" s="2" t="s">
        <v>737</v>
      </c>
      <c r="F934" s="2" t="s">
        <v>451</v>
      </c>
      <c r="G934" s="2" t="s">
        <v>146</v>
      </c>
      <c r="H934" s="2" t="s">
        <v>1069</v>
      </c>
      <c r="I934" t="s">
        <v>198</v>
      </c>
      <c r="J934" s="18">
        <v>18897.38</v>
      </c>
      <c r="K934" s="18"/>
      <c r="L934" s="18">
        <v>18821.483802654198</v>
      </c>
      <c r="M934" s="18">
        <v>2397.7668277513399</v>
      </c>
      <c r="N934" s="18"/>
      <c r="O934" s="18"/>
      <c r="P934" s="3">
        <v>0</v>
      </c>
      <c r="Q934" s="3">
        <v>0</v>
      </c>
      <c r="R934" s="3">
        <v>0</v>
      </c>
      <c r="S934" s="3"/>
      <c r="T934" s="3" t="b">
        <v>0</v>
      </c>
      <c r="U934" s="3">
        <v>4506</v>
      </c>
      <c r="V934" s="3">
        <v>0</v>
      </c>
      <c r="W934" s="3">
        <v>2135</v>
      </c>
      <c r="X934" s="3">
        <v>8.6</v>
      </c>
    </row>
    <row r="935" spans="1:24" hidden="1">
      <c r="A935" s="1">
        <v>45047</v>
      </c>
      <c r="B935" s="1" t="s">
        <v>1207</v>
      </c>
      <c r="C935" s="2" t="s">
        <v>1191</v>
      </c>
      <c r="D935" s="2" t="s">
        <v>279</v>
      </c>
      <c r="E935" s="2" t="s">
        <v>737</v>
      </c>
      <c r="F935" s="2" t="s">
        <v>451</v>
      </c>
      <c r="G935" s="2" t="s">
        <v>146</v>
      </c>
      <c r="H935" s="2" t="s">
        <v>1069</v>
      </c>
      <c r="I935" t="s">
        <v>198</v>
      </c>
      <c r="J935" s="18">
        <v>18798.810000000001</v>
      </c>
      <c r="K935" s="18"/>
      <c r="L935" s="18">
        <v>18891.012166151999</v>
      </c>
      <c r="M935" s="18">
        <v>793.34932730505204</v>
      </c>
      <c r="N935" s="18"/>
      <c r="O935" s="18"/>
      <c r="P935" s="3">
        <v>0</v>
      </c>
      <c r="Q935" s="3">
        <v>0</v>
      </c>
      <c r="R935" s="3">
        <v>0</v>
      </c>
      <c r="S935" s="3"/>
      <c r="T935" s="3" t="b">
        <v>0</v>
      </c>
      <c r="U935" s="3">
        <v>4964</v>
      </c>
      <c r="V935" s="3">
        <v>0</v>
      </c>
      <c r="W935" s="3">
        <v>2952</v>
      </c>
      <c r="X935" s="3">
        <v>10.95</v>
      </c>
    </row>
    <row r="936" spans="1:24" hidden="1">
      <c r="A936" s="1">
        <v>45078</v>
      </c>
      <c r="B936" s="1" t="s">
        <v>1208</v>
      </c>
      <c r="C936" s="2" t="s">
        <v>1191</v>
      </c>
      <c r="D936" s="2" t="s">
        <v>279</v>
      </c>
      <c r="E936" s="2" t="s">
        <v>737</v>
      </c>
      <c r="F936" s="2" t="s">
        <v>451</v>
      </c>
      <c r="G936" s="2" t="s">
        <v>146</v>
      </c>
      <c r="H936" s="2" t="s">
        <v>1069</v>
      </c>
      <c r="I936" t="s">
        <v>198</v>
      </c>
      <c r="J936" s="18">
        <v>19001.41</v>
      </c>
      <c r="K936" s="18"/>
      <c r="L936" s="18">
        <v>18962.926814611299</v>
      </c>
      <c r="M936" s="18">
        <v>-539.98830448602996</v>
      </c>
      <c r="N936" s="18"/>
      <c r="O936" s="18"/>
      <c r="P936" s="3">
        <v>0</v>
      </c>
      <c r="Q936" s="3">
        <v>0</v>
      </c>
      <c r="R936" s="3">
        <v>0</v>
      </c>
      <c r="S936" s="3"/>
      <c r="T936" s="3" t="b">
        <v>0</v>
      </c>
      <c r="U936" s="3">
        <v>2498</v>
      </c>
      <c r="V936" s="3">
        <v>0</v>
      </c>
      <c r="W936" s="3">
        <v>1374</v>
      </c>
      <c r="X936" s="3">
        <v>12.3</v>
      </c>
    </row>
    <row r="937" spans="1:24" hidden="1">
      <c r="A937" s="1">
        <v>45108</v>
      </c>
      <c r="B937" s="1" t="s">
        <v>1209</v>
      </c>
      <c r="C937" s="2" t="s">
        <v>1191</v>
      </c>
      <c r="D937" s="2" t="s">
        <v>279</v>
      </c>
      <c r="E937" s="2" t="s">
        <v>737</v>
      </c>
      <c r="F937" s="2" t="s">
        <v>451</v>
      </c>
      <c r="G937" s="2" t="s">
        <v>146</v>
      </c>
      <c r="H937" s="2" t="s">
        <v>1069</v>
      </c>
      <c r="I937" t="s">
        <v>198</v>
      </c>
      <c r="J937" s="18">
        <v>19474.310000000001</v>
      </c>
      <c r="K937" s="18"/>
      <c r="L937" s="18">
        <v>19032.522365221801</v>
      </c>
      <c r="M937" s="18">
        <v>784.15560574619894</v>
      </c>
      <c r="N937" s="18"/>
      <c r="O937" s="18"/>
      <c r="P937" s="3">
        <v>0</v>
      </c>
      <c r="Q937" s="3">
        <v>0</v>
      </c>
      <c r="R937" s="3">
        <v>0</v>
      </c>
      <c r="S937" s="3"/>
      <c r="T937" s="3" t="b">
        <v>0</v>
      </c>
      <c r="U937" s="3">
        <v>2949</v>
      </c>
      <c r="V937" s="3">
        <v>1</v>
      </c>
      <c r="W937" s="3">
        <v>2082</v>
      </c>
      <c r="X937" s="3">
        <v>11.39</v>
      </c>
    </row>
    <row r="938" spans="1:24" hidden="1">
      <c r="A938" s="1">
        <v>45139</v>
      </c>
      <c r="B938" s="1" t="s">
        <v>1210</v>
      </c>
      <c r="C938" s="2" t="s">
        <v>1191</v>
      </c>
      <c r="D938" s="2" t="s">
        <v>279</v>
      </c>
      <c r="E938" s="2" t="s">
        <v>737</v>
      </c>
      <c r="F938" s="2" t="s">
        <v>451</v>
      </c>
      <c r="G938" s="2" t="s">
        <v>146</v>
      </c>
      <c r="H938" s="2" t="s">
        <v>1069</v>
      </c>
      <c r="I938" t="s">
        <v>198</v>
      </c>
      <c r="J938" s="18">
        <v>19433.849999999999</v>
      </c>
      <c r="K938" s="18"/>
      <c r="L938" s="18">
        <v>19104.437770749701</v>
      </c>
      <c r="M938" s="18">
        <v>-471.57455540530401</v>
      </c>
      <c r="N938" s="18"/>
      <c r="O938" s="18"/>
      <c r="P938" s="3">
        <v>0</v>
      </c>
      <c r="Q938" s="3">
        <v>0</v>
      </c>
      <c r="R938" s="3">
        <v>0</v>
      </c>
      <c r="S938" s="3"/>
      <c r="T938" s="3" t="b">
        <v>0</v>
      </c>
      <c r="U938" s="3">
        <v>3994</v>
      </c>
      <c r="V938" s="3">
        <v>0</v>
      </c>
      <c r="W938" s="3">
        <v>2066</v>
      </c>
      <c r="X938" s="3">
        <v>13.07</v>
      </c>
    </row>
    <row r="939" spans="1:24" hidden="1">
      <c r="A939" s="1">
        <v>45170</v>
      </c>
      <c r="B939" s="1" t="s">
        <v>1211</v>
      </c>
      <c r="C939" s="2" t="s">
        <v>1191</v>
      </c>
      <c r="D939" s="2" t="s">
        <v>279</v>
      </c>
      <c r="E939" s="2" t="s">
        <v>737</v>
      </c>
      <c r="F939" s="2" t="s">
        <v>451</v>
      </c>
      <c r="G939" s="2" t="s">
        <v>146</v>
      </c>
      <c r="H939" s="2" t="s">
        <v>1069</v>
      </c>
      <c r="I939" t="s">
        <v>198</v>
      </c>
      <c r="J939" s="18">
        <v>19426.29</v>
      </c>
      <c r="K939" s="18"/>
      <c r="L939" s="18">
        <v>19176.353176321401</v>
      </c>
      <c r="M939" s="18">
        <v>573.39952346190705</v>
      </c>
      <c r="N939" s="18"/>
      <c r="O939" s="18"/>
      <c r="P939" s="3">
        <v>0</v>
      </c>
      <c r="Q939" s="3">
        <v>0</v>
      </c>
      <c r="R939" s="3">
        <v>0</v>
      </c>
      <c r="S939" s="3"/>
      <c r="T939" s="3" t="b">
        <v>0</v>
      </c>
      <c r="U939" s="3">
        <v>4046</v>
      </c>
      <c r="V939" s="3">
        <v>1</v>
      </c>
      <c r="W939" s="3">
        <v>1206</v>
      </c>
      <c r="X939" s="3">
        <v>11.38</v>
      </c>
    </row>
    <row r="940" spans="1:24" hidden="1">
      <c r="A940" s="1">
        <v>45200</v>
      </c>
      <c r="B940" s="1" t="s">
        <v>1212</v>
      </c>
      <c r="C940" s="2" t="s">
        <v>1191</v>
      </c>
      <c r="D940" s="2" t="s">
        <v>279</v>
      </c>
      <c r="E940" s="2" t="s">
        <v>737</v>
      </c>
      <c r="F940" s="2" t="s">
        <v>451</v>
      </c>
      <c r="G940" s="2" t="s">
        <v>146</v>
      </c>
      <c r="H940" s="2" t="s">
        <v>1069</v>
      </c>
      <c r="I940" t="s">
        <v>198</v>
      </c>
      <c r="J940" s="18">
        <v>19379.55</v>
      </c>
      <c r="K940" s="18"/>
      <c r="L940" s="18">
        <v>19245.948730332198</v>
      </c>
      <c r="M940" s="18">
        <v>-196.96559949576101</v>
      </c>
      <c r="N940" s="18"/>
      <c r="O940" s="18"/>
      <c r="P940" s="3">
        <v>0</v>
      </c>
      <c r="Q940" s="3">
        <v>0</v>
      </c>
      <c r="R940" s="3">
        <v>0</v>
      </c>
      <c r="S940" s="3"/>
      <c r="T940" s="3" t="b">
        <v>0</v>
      </c>
      <c r="U940" s="3">
        <v>2507</v>
      </c>
      <c r="V940" s="3">
        <v>0</v>
      </c>
      <c r="W940" s="3">
        <v>1779</v>
      </c>
      <c r="X940" s="3">
        <v>12.13</v>
      </c>
    </row>
    <row r="941" spans="1:24" hidden="1">
      <c r="A941" s="1">
        <v>45231</v>
      </c>
      <c r="B941" s="1" t="s">
        <v>1213</v>
      </c>
      <c r="C941" s="2" t="s">
        <v>1191</v>
      </c>
      <c r="D941" s="2" t="s">
        <v>279</v>
      </c>
      <c r="E941" s="2" t="s">
        <v>737</v>
      </c>
      <c r="F941" s="2" t="s">
        <v>451</v>
      </c>
      <c r="G941" s="2" t="s">
        <v>146</v>
      </c>
      <c r="H941" s="2" t="s">
        <v>1069</v>
      </c>
      <c r="I941" t="s">
        <v>198</v>
      </c>
      <c r="J941" s="18">
        <v>19641.5</v>
      </c>
      <c r="K941" s="18"/>
      <c r="L941" s="18">
        <v>19317.864135886899</v>
      </c>
      <c r="M941" s="18">
        <v>201.91667417523101</v>
      </c>
      <c r="N941" s="18"/>
      <c r="O941" s="18"/>
      <c r="P941" s="3">
        <v>0</v>
      </c>
      <c r="Q941" s="3">
        <v>0</v>
      </c>
      <c r="R941" s="3">
        <v>0</v>
      </c>
      <c r="S941" s="3"/>
      <c r="T941" s="3" t="b">
        <v>0</v>
      </c>
      <c r="U941" s="3">
        <v>3327</v>
      </c>
      <c r="V941" s="3">
        <v>1</v>
      </c>
      <c r="W941" s="3">
        <v>2319</v>
      </c>
      <c r="X941" s="3">
        <v>10.38</v>
      </c>
    </row>
    <row r="942" spans="1:24" hidden="1">
      <c r="A942" s="1">
        <v>45261</v>
      </c>
      <c r="B942" s="1" t="s">
        <v>1214</v>
      </c>
      <c r="C942" s="2" t="s">
        <v>1191</v>
      </c>
      <c r="D942" s="2" t="s">
        <v>279</v>
      </c>
      <c r="E942" s="2" t="s">
        <v>737</v>
      </c>
      <c r="F942" s="2" t="s">
        <v>451</v>
      </c>
      <c r="G942" s="2" t="s">
        <v>146</v>
      </c>
      <c r="H942" s="2" t="s">
        <v>1069</v>
      </c>
      <c r="I942" t="s">
        <v>198</v>
      </c>
      <c r="J942" s="18">
        <v>15936.61</v>
      </c>
      <c r="K942" s="18"/>
      <c r="L942" s="18">
        <v>19387.459689896099</v>
      </c>
      <c r="M942" s="18">
        <v>-2210.8478665643502</v>
      </c>
      <c r="N942" s="18"/>
      <c r="O942" s="18"/>
      <c r="P942" s="3">
        <v>0</v>
      </c>
      <c r="Q942" s="3">
        <v>0</v>
      </c>
      <c r="R942" s="3">
        <v>1</v>
      </c>
      <c r="S942" s="3"/>
      <c r="T942" s="3" t="b">
        <v>0</v>
      </c>
      <c r="U942" s="3">
        <v>4548</v>
      </c>
      <c r="V942" s="3">
        <v>1</v>
      </c>
      <c r="W942" s="3">
        <v>2141</v>
      </c>
      <c r="X942" s="3">
        <v>11.85</v>
      </c>
    </row>
    <row r="943" spans="1:24" hidden="1">
      <c r="A943" s="1">
        <v>45292</v>
      </c>
      <c r="B943" s="1" t="s">
        <v>1215</v>
      </c>
      <c r="C943" s="2" t="s">
        <v>1191</v>
      </c>
      <c r="D943" s="2" t="s">
        <v>279</v>
      </c>
      <c r="E943" s="2" t="s">
        <v>737</v>
      </c>
      <c r="F943" s="2" t="s">
        <v>451</v>
      </c>
      <c r="G943" s="2" t="s">
        <v>146</v>
      </c>
      <c r="H943" s="2" t="s">
        <v>1069</v>
      </c>
      <c r="I943" t="s">
        <v>198</v>
      </c>
      <c r="J943" s="18">
        <v>19531.259999999998</v>
      </c>
      <c r="K943" s="18"/>
      <c r="L943" s="18">
        <v>19459.375096032301</v>
      </c>
      <c r="M943" s="18">
        <v>226.99858825512001</v>
      </c>
      <c r="N943" s="18"/>
      <c r="O943" s="18"/>
      <c r="P943" s="3">
        <v>0</v>
      </c>
      <c r="Q943" s="3">
        <v>0</v>
      </c>
      <c r="R943" s="3">
        <v>0</v>
      </c>
      <c r="S943" s="3"/>
      <c r="T943" s="3" t="b">
        <v>0</v>
      </c>
      <c r="U943" s="3">
        <v>4850</v>
      </c>
      <c r="V943" s="3">
        <v>0</v>
      </c>
      <c r="W943" s="3">
        <v>1531</v>
      </c>
      <c r="X943" s="3">
        <v>11.41</v>
      </c>
    </row>
    <row r="944" spans="1:24" hidden="1">
      <c r="A944" s="1">
        <v>45323</v>
      </c>
      <c r="B944" s="1" t="s">
        <v>1216</v>
      </c>
      <c r="C944" s="2" t="s">
        <v>1191</v>
      </c>
      <c r="D944" s="2" t="s">
        <v>279</v>
      </c>
      <c r="E944" s="2" t="s">
        <v>737</v>
      </c>
      <c r="F944" s="2" t="s">
        <v>451</v>
      </c>
      <c r="G944" s="2" t="s">
        <v>146</v>
      </c>
      <c r="H944" s="2" t="s">
        <v>1069</v>
      </c>
      <c r="I944" t="s">
        <v>198</v>
      </c>
      <c r="J944" s="18">
        <v>19767.45</v>
      </c>
      <c r="K944" s="18"/>
      <c r="L944" s="18">
        <v>19531.290502169901</v>
      </c>
      <c r="M944" s="18">
        <v>-208.801234340131</v>
      </c>
      <c r="N944" s="18"/>
      <c r="O944" s="18"/>
      <c r="P944" s="3">
        <v>0</v>
      </c>
      <c r="Q944" s="3">
        <v>0</v>
      </c>
      <c r="R944" s="3">
        <v>0</v>
      </c>
      <c r="S944" s="3"/>
      <c r="T944" s="3" t="b">
        <v>0</v>
      </c>
      <c r="U944" s="3">
        <v>4645</v>
      </c>
      <c r="V944" s="3">
        <v>1</v>
      </c>
      <c r="W944" s="3">
        <v>2245</v>
      </c>
      <c r="X944" s="3">
        <v>11.93</v>
      </c>
    </row>
    <row r="945" spans="1:24" hidden="1">
      <c r="A945" s="1">
        <v>45352</v>
      </c>
      <c r="B945" s="1" t="s">
        <v>1217</v>
      </c>
      <c r="C945" s="2" t="s">
        <v>1191</v>
      </c>
      <c r="D945" s="2" t="s">
        <v>279</v>
      </c>
      <c r="E945" s="2" t="s">
        <v>737</v>
      </c>
      <c r="F945" s="2" t="s">
        <v>451</v>
      </c>
      <c r="G945" s="2" t="s">
        <v>146</v>
      </c>
      <c r="H945" s="2" t="s">
        <v>1069</v>
      </c>
      <c r="I945" t="s">
        <v>198</v>
      </c>
      <c r="J945" s="18">
        <v>19790.45</v>
      </c>
      <c r="K945" s="18"/>
      <c r="L945" s="18">
        <v>19598.566204696799</v>
      </c>
      <c r="M945" s="18">
        <v>-496.66559083890297</v>
      </c>
      <c r="N945" s="18"/>
      <c r="O945" s="18"/>
      <c r="P945" s="3">
        <v>0</v>
      </c>
      <c r="Q945" s="3">
        <v>0</v>
      </c>
      <c r="R945" s="3">
        <v>0</v>
      </c>
      <c r="S945" s="3"/>
      <c r="T945" s="3" t="b">
        <v>0</v>
      </c>
      <c r="U945" s="3">
        <v>2165</v>
      </c>
      <c r="V945" s="3">
        <v>0</v>
      </c>
      <c r="W945" s="3">
        <v>1165</v>
      </c>
      <c r="X945" s="3">
        <v>9.56</v>
      </c>
    </row>
    <row r="946" spans="1:24" hidden="1">
      <c r="A946" s="1">
        <v>45383</v>
      </c>
      <c r="B946" s="1" t="s">
        <v>1218</v>
      </c>
      <c r="C946" s="2" t="s">
        <v>1191</v>
      </c>
      <c r="D946" s="2" t="s">
        <v>279</v>
      </c>
      <c r="E946" s="2" t="s">
        <v>737</v>
      </c>
      <c r="F946" s="2" t="s">
        <v>451</v>
      </c>
      <c r="G946" s="2" t="s">
        <v>146</v>
      </c>
      <c r="H946" s="2" t="s">
        <v>1069</v>
      </c>
      <c r="I946" t="s">
        <v>198</v>
      </c>
      <c r="J946" s="18">
        <v>27174.07</v>
      </c>
      <c r="K946" s="18"/>
      <c r="L946" s="18">
        <v>19670.4816108462</v>
      </c>
      <c r="M946" s="18">
        <v>3577.9552257854298</v>
      </c>
      <c r="N946" s="18"/>
      <c r="O946" s="18"/>
      <c r="P946" s="3">
        <v>0</v>
      </c>
      <c r="Q946" s="3">
        <v>0</v>
      </c>
      <c r="R946" s="3">
        <v>1</v>
      </c>
      <c r="S946" s="3"/>
      <c r="T946" s="3" t="b">
        <v>0</v>
      </c>
      <c r="U946" s="3">
        <v>4509</v>
      </c>
      <c r="V946" s="3">
        <v>1</v>
      </c>
      <c r="W946" s="3">
        <v>1642</v>
      </c>
      <c r="X946" s="3">
        <v>11.62</v>
      </c>
    </row>
    <row r="947" spans="1:24" hidden="1">
      <c r="A947" s="1">
        <v>45413</v>
      </c>
      <c r="B947" s="1" t="s">
        <v>1219</v>
      </c>
      <c r="C947" s="2" t="s">
        <v>1191</v>
      </c>
      <c r="D947" s="2" t="s">
        <v>279</v>
      </c>
      <c r="E947" s="2" t="s">
        <v>737</v>
      </c>
      <c r="F947" s="2" t="s">
        <v>451</v>
      </c>
      <c r="G947" s="2" t="s">
        <v>146</v>
      </c>
      <c r="H947" s="2" t="s">
        <v>1069</v>
      </c>
      <c r="I947" t="s">
        <v>198</v>
      </c>
      <c r="J947" s="18">
        <v>19442.66</v>
      </c>
      <c r="K947" s="18"/>
      <c r="L947" s="18">
        <v>19740.077165184401</v>
      </c>
      <c r="M947" s="18">
        <v>-487.76950909658501</v>
      </c>
      <c r="N947" s="18"/>
      <c r="O947" s="18"/>
      <c r="P947" s="3">
        <v>0</v>
      </c>
      <c r="Q947" s="3">
        <v>0</v>
      </c>
      <c r="R947" s="3">
        <v>0</v>
      </c>
      <c r="S947" s="3"/>
      <c r="T947" s="3" t="b">
        <v>0</v>
      </c>
      <c r="U947" s="3">
        <v>2919</v>
      </c>
      <c r="V947" s="3">
        <v>0</v>
      </c>
      <c r="W947" s="3">
        <v>2179</v>
      </c>
      <c r="X947" s="3">
        <v>9.4600000000000009</v>
      </c>
    </row>
    <row r="948" spans="1:24" hidden="1">
      <c r="A948" s="1">
        <v>45444</v>
      </c>
      <c r="B948" s="1" t="s">
        <v>1220</v>
      </c>
      <c r="C948" s="2" t="s">
        <v>1191</v>
      </c>
      <c r="D948" s="2" t="s">
        <v>279</v>
      </c>
      <c r="E948" s="2" t="s">
        <v>737</v>
      </c>
      <c r="F948" s="2" t="s">
        <v>451</v>
      </c>
      <c r="G948" s="2" t="s">
        <v>146</v>
      </c>
      <c r="H948" s="2" t="s">
        <v>1069</v>
      </c>
      <c r="I948" t="s">
        <v>198</v>
      </c>
      <c r="J948" s="18">
        <v>19429.54</v>
      </c>
      <c r="K948" s="18"/>
      <c r="L948" s="18">
        <v>19811.992571333802</v>
      </c>
      <c r="M948" s="18">
        <v>723.55949802447503</v>
      </c>
      <c r="N948" s="18"/>
      <c r="O948" s="18"/>
      <c r="P948" s="3">
        <v>0</v>
      </c>
      <c r="Q948" s="3">
        <v>0</v>
      </c>
      <c r="R948" s="3">
        <v>0</v>
      </c>
      <c r="S948" s="3"/>
      <c r="T948" s="3" t="b">
        <v>1</v>
      </c>
      <c r="U948" s="3">
        <v>2113</v>
      </c>
      <c r="V948" s="3">
        <v>0</v>
      </c>
      <c r="W948" s="3">
        <v>2207</v>
      </c>
      <c r="X948" s="3">
        <v>10.48</v>
      </c>
    </row>
    <row r="949" spans="1:24" hidden="1">
      <c r="A949" s="1">
        <v>45474</v>
      </c>
      <c r="B949" s="1" t="s">
        <v>1221</v>
      </c>
      <c r="C949" s="2" t="s">
        <v>1191</v>
      </c>
      <c r="D949" s="2" t="s">
        <v>279</v>
      </c>
      <c r="E949" s="2" t="s">
        <v>737</v>
      </c>
      <c r="F949" s="2" t="s">
        <v>451</v>
      </c>
      <c r="G949" s="2" t="s">
        <v>146</v>
      </c>
      <c r="H949" s="2" t="s">
        <v>1069</v>
      </c>
      <c r="I949" t="s">
        <v>198</v>
      </c>
      <c r="J949" s="18">
        <v>19363.05</v>
      </c>
      <c r="K949" s="18">
        <v>19319.11</v>
      </c>
      <c r="L949" s="18">
        <v>19881.588125671999</v>
      </c>
      <c r="M949" s="18">
        <v>-484.21414838094199</v>
      </c>
      <c r="N949" s="18">
        <v>19519.11</v>
      </c>
      <c r="O949" s="18">
        <v>19119.11</v>
      </c>
      <c r="P949" s="3">
        <v>0</v>
      </c>
      <c r="Q949" s="3">
        <v>0</v>
      </c>
      <c r="R949" s="3">
        <v>0</v>
      </c>
      <c r="S949" s="3"/>
      <c r="T949" s="3" t="b">
        <v>0</v>
      </c>
      <c r="U949" s="3">
        <v>2991</v>
      </c>
      <c r="V949" s="3">
        <v>0</v>
      </c>
      <c r="W949" s="3">
        <v>1089</v>
      </c>
      <c r="X949" s="3">
        <v>10.81</v>
      </c>
    </row>
    <row r="950" spans="1:24" hidden="1">
      <c r="A950" s="1">
        <v>45505</v>
      </c>
      <c r="B950" s="1" t="s">
        <v>1222</v>
      </c>
      <c r="C950" s="2" t="s">
        <v>1191</v>
      </c>
      <c r="D950" s="2" t="s">
        <v>279</v>
      </c>
      <c r="E950" s="2" t="s">
        <v>737</v>
      </c>
      <c r="F950" s="2" t="s">
        <v>451</v>
      </c>
      <c r="G950" s="2" t="s">
        <v>146</v>
      </c>
      <c r="H950" s="2" t="s">
        <v>1069</v>
      </c>
      <c r="I950" t="s">
        <v>198</v>
      </c>
      <c r="J950" s="18">
        <v>19659.96</v>
      </c>
      <c r="K950" s="18">
        <v>19823.240000000002</v>
      </c>
      <c r="L950" s="18">
        <v>19953.5035318214</v>
      </c>
      <c r="M950" s="18">
        <v>821.26828994083303</v>
      </c>
      <c r="N950" s="18">
        <v>20023.240000000002</v>
      </c>
      <c r="O950" s="18">
        <v>19623.240000000002</v>
      </c>
      <c r="P950" s="3">
        <v>0</v>
      </c>
      <c r="Q950" s="3">
        <v>0</v>
      </c>
      <c r="R950" s="3">
        <v>0</v>
      </c>
      <c r="S950" s="3"/>
      <c r="T950" s="3" t="b">
        <v>0</v>
      </c>
      <c r="U950" s="3">
        <v>3951</v>
      </c>
      <c r="V950" s="3">
        <v>2</v>
      </c>
      <c r="W950" s="3">
        <v>2117</v>
      </c>
      <c r="X950" s="3">
        <v>10.93</v>
      </c>
    </row>
    <row r="951" spans="1:24" hidden="1">
      <c r="A951" s="1">
        <v>45536</v>
      </c>
      <c r="B951" s="1" t="s">
        <v>1223</v>
      </c>
      <c r="C951" s="2" t="s">
        <v>1191</v>
      </c>
      <c r="D951" s="2" t="s">
        <v>279</v>
      </c>
      <c r="E951" s="2" t="s">
        <v>737</v>
      </c>
      <c r="F951" s="2" t="s">
        <v>451</v>
      </c>
      <c r="G951" s="2" t="s">
        <v>146</v>
      </c>
      <c r="H951" s="2" t="s">
        <v>1069</v>
      </c>
      <c r="I951" t="s">
        <v>198</v>
      </c>
      <c r="J951" s="18">
        <v>19244.22</v>
      </c>
      <c r="K951" s="18">
        <v>19177.27</v>
      </c>
      <c r="L951" s="18">
        <v>20025.4189379708</v>
      </c>
      <c r="M951" s="18">
        <v>-688.65256737249001</v>
      </c>
      <c r="N951" s="18">
        <v>19377.27</v>
      </c>
      <c r="O951" s="18">
        <v>18977.27</v>
      </c>
      <c r="P951" s="3">
        <v>0</v>
      </c>
      <c r="Q951" s="3">
        <v>0</v>
      </c>
      <c r="R951" s="3">
        <v>0</v>
      </c>
      <c r="S951" s="3"/>
      <c r="T951" s="3" t="b">
        <v>0</v>
      </c>
      <c r="U951" s="3">
        <v>4254</v>
      </c>
      <c r="V951" s="3">
        <v>0</v>
      </c>
      <c r="W951" s="3">
        <v>1012</v>
      </c>
      <c r="X951" s="3">
        <v>10.9</v>
      </c>
    </row>
    <row r="952" spans="1:24" hidden="1">
      <c r="A952" s="1">
        <v>45566</v>
      </c>
      <c r="B952" s="1" t="s">
        <v>1224</v>
      </c>
      <c r="C952" s="2" t="s">
        <v>1191</v>
      </c>
      <c r="D952" s="2" t="s">
        <v>279</v>
      </c>
      <c r="E952" s="2" t="s">
        <v>737</v>
      </c>
      <c r="F952" s="2" t="s">
        <v>451</v>
      </c>
      <c r="G952" s="2" t="s">
        <v>146</v>
      </c>
      <c r="H952" s="2" t="s">
        <v>1069</v>
      </c>
      <c r="I952" t="s">
        <v>224</v>
      </c>
      <c r="J952" s="18"/>
      <c r="K952" s="18">
        <v>19698.169999999998</v>
      </c>
      <c r="L952" s="18">
        <v>20095.014492309001</v>
      </c>
      <c r="M952" s="18">
        <v>1058.4253632013299</v>
      </c>
      <c r="N952" s="18">
        <v>19898.169999999998</v>
      </c>
      <c r="O952" s="18">
        <v>19498.169999999998</v>
      </c>
      <c r="P952" s="3"/>
      <c r="Q952" s="3"/>
      <c r="R952" s="3"/>
      <c r="S952" s="3"/>
      <c r="T952" s="3"/>
      <c r="U952" s="3"/>
      <c r="V952" s="3"/>
      <c r="W952" s="3">
        <v>1972</v>
      </c>
      <c r="X952" s="3">
        <v>13.22</v>
      </c>
    </row>
    <row r="953" spans="1:24" hidden="1">
      <c r="A953" s="1">
        <v>45597</v>
      </c>
      <c r="B953" s="1" t="s">
        <v>1225</v>
      </c>
      <c r="C953" s="2" t="s">
        <v>1191</v>
      </c>
      <c r="D953" s="2" t="s">
        <v>279</v>
      </c>
      <c r="E953" s="2" t="s">
        <v>737</v>
      </c>
      <c r="F953" s="2" t="s">
        <v>451</v>
      </c>
      <c r="G953" s="2" t="s">
        <v>146</v>
      </c>
      <c r="H953" s="2" t="s">
        <v>1069</v>
      </c>
      <c r="I953" t="s">
        <v>224</v>
      </c>
      <c r="J953" s="18"/>
      <c r="K953" s="18">
        <v>19545.54</v>
      </c>
      <c r="L953" s="18">
        <v>20166.929898458398</v>
      </c>
      <c r="M953" s="18">
        <v>-1074.15584891906</v>
      </c>
      <c r="N953" s="18">
        <v>19745.54</v>
      </c>
      <c r="O953" s="18">
        <v>19345.54</v>
      </c>
      <c r="P953" s="3"/>
      <c r="Q953" s="3"/>
      <c r="R953" s="3"/>
      <c r="S953" s="3"/>
      <c r="T953" s="3"/>
      <c r="U953" s="3"/>
      <c r="V953" s="3"/>
      <c r="W953" s="3">
        <v>2857</v>
      </c>
      <c r="X953" s="3">
        <v>11.58</v>
      </c>
    </row>
    <row r="954" spans="1:24" hidden="1">
      <c r="A954" s="1">
        <v>45627</v>
      </c>
      <c r="B954" s="1" t="s">
        <v>1226</v>
      </c>
      <c r="C954" s="2" t="s">
        <v>1191</v>
      </c>
      <c r="D954" s="2" t="s">
        <v>279</v>
      </c>
      <c r="E954" s="2" t="s">
        <v>737</v>
      </c>
      <c r="F954" s="2" t="s">
        <v>451</v>
      </c>
      <c r="G954" s="2" t="s">
        <v>146</v>
      </c>
      <c r="H954" s="2" t="s">
        <v>1069</v>
      </c>
      <c r="I954" t="s">
        <v>224</v>
      </c>
      <c r="J954" s="18"/>
      <c r="K954" s="18">
        <v>19713.68</v>
      </c>
      <c r="L954" s="18">
        <v>20236.525452796599</v>
      </c>
      <c r="M954" s="18">
        <v>-992.93196357676004</v>
      </c>
      <c r="N954" s="18">
        <v>19913.68</v>
      </c>
      <c r="O954" s="18">
        <v>19513.68</v>
      </c>
      <c r="P954" s="3"/>
      <c r="Q954" s="3"/>
      <c r="R954" s="3"/>
      <c r="S954" s="3"/>
      <c r="T954" s="3"/>
      <c r="U954" s="3"/>
      <c r="V954" s="3"/>
      <c r="W954" s="3">
        <v>1804</v>
      </c>
      <c r="X954" s="3">
        <v>40</v>
      </c>
    </row>
    <row r="955" spans="1:24" hidden="1">
      <c r="A955" s="1">
        <v>44593</v>
      </c>
      <c r="B955" s="1" t="s">
        <v>1227</v>
      </c>
      <c r="C955" s="2" t="s">
        <v>1228</v>
      </c>
      <c r="D955" s="2" t="s">
        <v>279</v>
      </c>
      <c r="E955" s="2" t="s">
        <v>737</v>
      </c>
      <c r="F955" s="2" t="s">
        <v>489</v>
      </c>
      <c r="G955" s="2" t="s">
        <v>146</v>
      </c>
      <c r="H955" s="2" t="s">
        <v>359</v>
      </c>
      <c r="I955" t="s">
        <v>198</v>
      </c>
      <c r="J955" s="18">
        <v>10887.88</v>
      </c>
      <c r="K955" s="18"/>
      <c r="L955" s="18">
        <v>7504.6824761199996</v>
      </c>
      <c r="M955" s="18">
        <v>1290.71952478353</v>
      </c>
      <c r="N955" s="18"/>
      <c r="O955" s="18"/>
      <c r="P955" s="3">
        <v>0</v>
      </c>
      <c r="Q955" s="3">
        <v>0</v>
      </c>
      <c r="R955" s="3">
        <v>0</v>
      </c>
      <c r="S955" s="3"/>
      <c r="T955" s="3" t="b">
        <v>1</v>
      </c>
      <c r="U955" s="3">
        <v>2105</v>
      </c>
      <c r="V955" s="3">
        <v>0</v>
      </c>
      <c r="W955" s="3">
        <v>2925</v>
      </c>
      <c r="X955" s="3">
        <v>10.55</v>
      </c>
    </row>
    <row r="956" spans="1:24" hidden="1">
      <c r="A956" s="1">
        <v>44866</v>
      </c>
      <c r="B956" s="1" t="s">
        <v>1229</v>
      </c>
      <c r="C956" s="2" t="s">
        <v>1228</v>
      </c>
      <c r="D956" s="2" t="s">
        <v>279</v>
      </c>
      <c r="E956" s="2" t="s">
        <v>737</v>
      </c>
      <c r="F956" s="2" t="s">
        <v>489</v>
      </c>
      <c r="G956" s="2" t="s">
        <v>146</v>
      </c>
      <c r="H956" s="2" t="s">
        <v>359</v>
      </c>
      <c r="I956" t="s">
        <v>198</v>
      </c>
      <c r="J956" s="18">
        <v>11011.05</v>
      </c>
      <c r="K956" s="18"/>
      <c r="L956" s="18">
        <v>10384.305244536999</v>
      </c>
      <c r="M956" s="18">
        <v>1241.5111708301099</v>
      </c>
      <c r="N956" s="18"/>
      <c r="O956" s="18"/>
      <c r="P956" s="3">
        <v>0</v>
      </c>
      <c r="Q956" s="3">
        <v>0</v>
      </c>
      <c r="R956" s="3">
        <v>0</v>
      </c>
      <c r="S956" s="3"/>
      <c r="T956" s="3" t="b">
        <v>1</v>
      </c>
      <c r="U956" s="3">
        <v>2109</v>
      </c>
      <c r="V956" s="3">
        <v>0</v>
      </c>
      <c r="W956" s="3">
        <v>2842</v>
      </c>
      <c r="X956" s="3">
        <v>9.93</v>
      </c>
    </row>
    <row r="957" spans="1:24" hidden="1">
      <c r="A957" s="1">
        <v>44896</v>
      </c>
      <c r="B957" s="1" t="s">
        <v>1230</v>
      </c>
      <c r="C957" s="2" t="s">
        <v>1228</v>
      </c>
      <c r="D957" s="2" t="s">
        <v>279</v>
      </c>
      <c r="E957" s="2" t="s">
        <v>737</v>
      </c>
      <c r="F957" s="2" t="s">
        <v>489</v>
      </c>
      <c r="G957" s="2" t="s">
        <v>146</v>
      </c>
      <c r="H957" s="2" t="s">
        <v>359</v>
      </c>
      <c r="I957" t="s">
        <v>198</v>
      </c>
      <c r="J957" s="18">
        <v>11140.34</v>
      </c>
      <c r="K957" s="18"/>
      <c r="L957" s="18">
        <v>10700.8698711585</v>
      </c>
      <c r="M957" s="18">
        <v>1100.36719389838</v>
      </c>
      <c r="N957" s="18"/>
      <c r="O957" s="18"/>
      <c r="P957" s="3">
        <v>0</v>
      </c>
      <c r="Q957" s="3">
        <v>0</v>
      </c>
      <c r="R957" s="3">
        <v>0</v>
      </c>
      <c r="S957" s="3"/>
      <c r="T957" s="3" t="b">
        <v>0</v>
      </c>
      <c r="U957" s="3">
        <v>3664</v>
      </c>
      <c r="V957" s="3">
        <v>0</v>
      </c>
      <c r="W957" s="3">
        <v>1699</v>
      </c>
      <c r="X957" s="3">
        <v>12.24</v>
      </c>
    </row>
    <row r="958" spans="1:24" hidden="1">
      <c r="A958" s="1">
        <v>44927</v>
      </c>
      <c r="B958" s="1" t="s">
        <v>1231</v>
      </c>
      <c r="C958" s="2" t="s">
        <v>1228</v>
      </c>
      <c r="D958" s="2" t="s">
        <v>279</v>
      </c>
      <c r="E958" s="2" t="s">
        <v>737</v>
      </c>
      <c r="F958" s="2" t="s">
        <v>489</v>
      </c>
      <c r="G958" s="2" t="s">
        <v>146</v>
      </c>
      <c r="H958" s="2" t="s">
        <v>359</v>
      </c>
      <c r="I958" t="s">
        <v>198</v>
      </c>
      <c r="J958" s="18">
        <v>9286.7000000000007</v>
      </c>
      <c r="K958" s="18"/>
      <c r="L958" s="18">
        <v>11028.295542129599</v>
      </c>
      <c r="M958" s="18">
        <v>-72.904840274427599</v>
      </c>
      <c r="N958" s="18"/>
      <c r="O958" s="18"/>
      <c r="P958" s="3">
        <v>0</v>
      </c>
      <c r="Q958" s="3">
        <v>0</v>
      </c>
      <c r="R958" s="3">
        <v>1</v>
      </c>
      <c r="S958" s="3"/>
      <c r="T958" s="3" t="b">
        <v>0</v>
      </c>
      <c r="U958" s="3">
        <v>4632</v>
      </c>
      <c r="V958" s="3">
        <v>1</v>
      </c>
      <c r="W958" s="3">
        <v>1581</v>
      </c>
      <c r="X958" s="3">
        <v>9.01</v>
      </c>
    </row>
    <row r="959" spans="1:24" hidden="1">
      <c r="A959" s="1">
        <v>44958</v>
      </c>
      <c r="B959" s="1" t="s">
        <v>1232</v>
      </c>
      <c r="C959" s="2" t="s">
        <v>1228</v>
      </c>
      <c r="D959" s="2" t="s">
        <v>279</v>
      </c>
      <c r="E959" s="2" t="s">
        <v>737</v>
      </c>
      <c r="F959" s="2" t="s">
        <v>489</v>
      </c>
      <c r="G959" s="2" t="s">
        <v>146</v>
      </c>
      <c r="H959" s="2" t="s">
        <v>359</v>
      </c>
      <c r="I959" t="s">
        <v>198</v>
      </c>
      <c r="J959" s="18">
        <v>10836.4</v>
      </c>
      <c r="K959" s="18"/>
      <c r="L959" s="18">
        <v>11355.748087296701</v>
      </c>
      <c r="M959" s="18">
        <v>1136.2824374522199</v>
      </c>
      <c r="N959" s="18"/>
      <c r="O959" s="18"/>
      <c r="P959" s="3">
        <v>0</v>
      </c>
      <c r="Q959" s="3">
        <v>0</v>
      </c>
      <c r="R959" s="3">
        <v>0</v>
      </c>
      <c r="S959" s="3"/>
      <c r="T959" s="3" t="b">
        <v>1</v>
      </c>
      <c r="U959" s="3">
        <v>2339</v>
      </c>
      <c r="V959" s="3">
        <v>0</v>
      </c>
      <c r="W959" s="3">
        <v>2828</v>
      </c>
      <c r="X959" s="3">
        <v>9.94</v>
      </c>
    </row>
    <row r="960" spans="1:24" hidden="1">
      <c r="A960" s="1">
        <v>44986</v>
      </c>
      <c r="B960" s="1" t="s">
        <v>1233</v>
      </c>
      <c r="C960" s="2" t="s">
        <v>1228</v>
      </c>
      <c r="D960" s="2" t="s">
        <v>279</v>
      </c>
      <c r="E960" s="2" t="s">
        <v>737</v>
      </c>
      <c r="F960" s="2" t="s">
        <v>489</v>
      </c>
      <c r="G960" s="2" t="s">
        <v>146</v>
      </c>
      <c r="H960" s="2" t="s">
        <v>359</v>
      </c>
      <c r="I960" t="s">
        <v>198</v>
      </c>
      <c r="J960" s="18">
        <v>11555.43</v>
      </c>
      <c r="K960" s="18"/>
      <c r="L960" s="18">
        <v>11651.803737787901</v>
      </c>
      <c r="M960" s="18">
        <v>329.19085484544797</v>
      </c>
      <c r="N960" s="18"/>
      <c r="O960" s="18"/>
      <c r="P960" s="3">
        <v>0</v>
      </c>
      <c r="Q960" s="3">
        <v>0</v>
      </c>
      <c r="R960" s="3">
        <v>0</v>
      </c>
      <c r="S960" s="3"/>
      <c r="T960" s="3" t="b">
        <v>0</v>
      </c>
      <c r="U960" s="3">
        <v>3588</v>
      </c>
      <c r="V960" s="3">
        <v>0</v>
      </c>
      <c r="W960" s="3">
        <v>2310</v>
      </c>
      <c r="X960" s="3">
        <v>10.5</v>
      </c>
    </row>
    <row r="961" spans="1:24" hidden="1">
      <c r="A961" s="1">
        <v>45017</v>
      </c>
      <c r="B961" s="1" t="s">
        <v>1234</v>
      </c>
      <c r="C961" s="2" t="s">
        <v>1228</v>
      </c>
      <c r="D961" s="2" t="s">
        <v>279</v>
      </c>
      <c r="E961" s="2" t="s">
        <v>737</v>
      </c>
      <c r="F961" s="2" t="s">
        <v>489</v>
      </c>
      <c r="G961" s="2" t="s">
        <v>146</v>
      </c>
      <c r="H961" s="2" t="s">
        <v>359</v>
      </c>
      <c r="I961" t="s">
        <v>198</v>
      </c>
      <c r="J961" s="18">
        <v>11606.58</v>
      </c>
      <c r="K961" s="18"/>
      <c r="L961" s="18">
        <v>11979.781989193099</v>
      </c>
      <c r="M961" s="18">
        <v>-660.85003059998598</v>
      </c>
      <c r="N961" s="18"/>
      <c r="O961" s="18"/>
      <c r="P961" s="3">
        <v>0</v>
      </c>
      <c r="Q961" s="3">
        <v>0</v>
      </c>
      <c r="R961" s="3">
        <v>0</v>
      </c>
      <c r="S961" s="3"/>
      <c r="T961" s="3" t="b">
        <v>0</v>
      </c>
      <c r="U961" s="3">
        <v>2978</v>
      </c>
      <c r="V961" s="3">
        <v>0</v>
      </c>
      <c r="W961" s="3">
        <v>1993</v>
      </c>
      <c r="X961" s="3">
        <v>8.92</v>
      </c>
    </row>
    <row r="962" spans="1:24" hidden="1">
      <c r="A962" s="1">
        <v>45047</v>
      </c>
      <c r="B962" s="1" t="s">
        <v>1235</v>
      </c>
      <c r="C962" s="2" t="s">
        <v>1228</v>
      </c>
      <c r="D962" s="2" t="s">
        <v>279</v>
      </c>
      <c r="E962" s="2" t="s">
        <v>737</v>
      </c>
      <c r="F962" s="2" t="s">
        <v>489</v>
      </c>
      <c r="G962" s="2" t="s">
        <v>146</v>
      </c>
      <c r="H962" s="2" t="s">
        <v>359</v>
      </c>
      <c r="I962" t="s">
        <v>198</v>
      </c>
      <c r="J962" s="18">
        <v>11613.64</v>
      </c>
      <c r="K962" s="18"/>
      <c r="L962" s="18">
        <v>12297.180739473901</v>
      </c>
      <c r="M962" s="18">
        <v>-487.862651049242</v>
      </c>
      <c r="N962" s="18"/>
      <c r="O962" s="18"/>
      <c r="P962" s="3">
        <v>0</v>
      </c>
      <c r="Q962" s="3">
        <v>0</v>
      </c>
      <c r="R962" s="3">
        <v>0</v>
      </c>
      <c r="S962" s="3"/>
      <c r="T962" s="3" t="b">
        <v>0</v>
      </c>
      <c r="U962" s="3">
        <v>4403</v>
      </c>
      <c r="V962" s="3">
        <v>1</v>
      </c>
      <c r="W962" s="3">
        <v>1168</v>
      </c>
      <c r="X962" s="3">
        <v>9.65</v>
      </c>
    </row>
    <row r="963" spans="1:24" hidden="1">
      <c r="A963" s="1">
        <v>45078</v>
      </c>
      <c r="B963" s="1" t="s">
        <v>1236</v>
      </c>
      <c r="C963" s="2" t="s">
        <v>1228</v>
      </c>
      <c r="D963" s="2" t="s">
        <v>279</v>
      </c>
      <c r="E963" s="2" t="s">
        <v>737</v>
      </c>
      <c r="F963" s="2" t="s">
        <v>489</v>
      </c>
      <c r="G963" s="2" t="s">
        <v>146</v>
      </c>
      <c r="H963" s="2" t="s">
        <v>359</v>
      </c>
      <c r="I963" t="s">
        <v>198</v>
      </c>
      <c r="J963" s="18">
        <v>11892.05</v>
      </c>
      <c r="K963" s="18"/>
      <c r="L963" s="18">
        <v>12625.1662166076</v>
      </c>
      <c r="M963" s="18">
        <v>-972.97070330720396</v>
      </c>
      <c r="N963" s="18"/>
      <c r="O963" s="18"/>
      <c r="P963" s="3">
        <v>0</v>
      </c>
      <c r="Q963" s="3">
        <v>0</v>
      </c>
      <c r="R963" s="3">
        <v>0</v>
      </c>
      <c r="S963" s="3"/>
      <c r="T963" s="3" t="b">
        <v>0</v>
      </c>
      <c r="U963" s="3">
        <v>3915</v>
      </c>
      <c r="V963" s="3">
        <v>0</v>
      </c>
      <c r="W963" s="3">
        <v>2085</v>
      </c>
      <c r="X963" s="3">
        <v>11.07</v>
      </c>
    </row>
    <row r="964" spans="1:24" hidden="1">
      <c r="A964" s="1">
        <v>45108</v>
      </c>
      <c r="B964" s="1" t="s">
        <v>1237</v>
      </c>
      <c r="C964" s="2" t="s">
        <v>1228</v>
      </c>
      <c r="D964" s="2" t="s">
        <v>279</v>
      </c>
      <c r="E964" s="2" t="s">
        <v>737</v>
      </c>
      <c r="F964" s="2" t="s">
        <v>489</v>
      </c>
      <c r="G964" s="2" t="s">
        <v>146</v>
      </c>
      <c r="H964" s="2" t="s">
        <v>359</v>
      </c>
      <c r="I964" t="s">
        <v>198</v>
      </c>
      <c r="J964" s="18">
        <v>12432.52</v>
      </c>
      <c r="K964" s="18"/>
      <c r="L964" s="18">
        <v>12942.5715164256</v>
      </c>
      <c r="M964" s="18">
        <v>-420.26998508071898</v>
      </c>
      <c r="N964" s="18"/>
      <c r="O964" s="18"/>
      <c r="P964" s="3">
        <v>0</v>
      </c>
      <c r="Q964" s="3">
        <v>0</v>
      </c>
      <c r="R964" s="3">
        <v>0</v>
      </c>
      <c r="S964" s="3"/>
      <c r="T964" s="3" t="b">
        <v>1</v>
      </c>
      <c r="U964" s="3">
        <v>2167</v>
      </c>
      <c r="V964" s="3">
        <v>0</v>
      </c>
      <c r="W964" s="3">
        <v>2372</v>
      </c>
      <c r="X964" s="3">
        <v>10.52</v>
      </c>
    </row>
    <row r="965" spans="1:24" hidden="1">
      <c r="A965" s="1">
        <v>45139</v>
      </c>
      <c r="B965" s="1" t="s">
        <v>1238</v>
      </c>
      <c r="C965" s="2" t="s">
        <v>1228</v>
      </c>
      <c r="D965" s="2" t="s">
        <v>279</v>
      </c>
      <c r="E965" s="2" t="s">
        <v>737</v>
      </c>
      <c r="F965" s="2" t="s">
        <v>489</v>
      </c>
      <c r="G965" s="2" t="s">
        <v>146</v>
      </c>
      <c r="H965" s="2" t="s">
        <v>359</v>
      </c>
      <c r="I965" t="s">
        <v>198</v>
      </c>
      <c r="J965" s="18">
        <v>12264.3</v>
      </c>
      <c r="K965" s="18"/>
      <c r="L965" s="18">
        <v>13270.5569931793</v>
      </c>
      <c r="M965" s="18">
        <v>-1358.4728718823701</v>
      </c>
      <c r="N965" s="18"/>
      <c r="O965" s="18"/>
      <c r="P965" s="3">
        <v>0</v>
      </c>
      <c r="Q965" s="3">
        <v>0</v>
      </c>
      <c r="R965" s="3">
        <v>0</v>
      </c>
      <c r="S965" s="3"/>
      <c r="T965" s="3" t="b">
        <v>0</v>
      </c>
      <c r="U965" s="3">
        <v>2556</v>
      </c>
      <c r="V965" s="3">
        <v>1</v>
      </c>
      <c r="W965" s="3">
        <v>2465</v>
      </c>
      <c r="X965" s="3">
        <v>3</v>
      </c>
    </row>
    <row r="966" spans="1:24" hidden="1">
      <c r="A966" s="1">
        <v>45170</v>
      </c>
      <c r="B966" s="1" t="s">
        <v>1239</v>
      </c>
      <c r="C966" s="2" t="s">
        <v>1228</v>
      </c>
      <c r="D966" s="2" t="s">
        <v>279</v>
      </c>
      <c r="E966" s="2" t="s">
        <v>737</v>
      </c>
      <c r="F966" s="2" t="s">
        <v>489</v>
      </c>
      <c r="G966" s="2" t="s">
        <v>146</v>
      </c>
      <c r="H966" s="2" t="s">
        <v>359</v>
      </c>
      <c r="I966" t="s">
        <v>198</v>
      </c>
      <c r="J966" s="18">
        <v>12891.16</v>
      </c>
      <c r="K966" s="18"/>
      <c r="L966" s="18">
        <v>13598.5424687091</v>
      </c>
      <c r="M966" s="18">
        <v>-963.50152564171697</v>
      </c>
      <c r="N966" s="18"/>
      <c r="O966" s="18"/>
      <c r="P966" s="3">
        <v>0</v>
      </c>
      <c r="Q966" s="3">
        <v>0</v>
      </c>
      <c r="R966" s="3">
        <v>0</v>
      </c>
      <c r="S966" s="3"/>
      <c r="T966" s="3" t="b">
        <v>0</v>
      </c>
      <c r="U966" s="3">
        <v>2904</v>
      </c>
      <c r="V966" s="3">
        <v>0</v>
      </c>
      <c r="W966" s="3">
        <v>1013</v>
      </c>
      <c r="X966" s="3">
        <v>9.5399999999999991</v>
      </c>
    </row>
    <row r="967" spans="1:24" hidden="1">
      <c r="A967" s="1">
        <v>45200</v>
      </c>
      <c r="B967" s="1" t="s">
        <v>1240</v>
      </c>
      <c r="C967" s="2" t="s">
        <v>1228</v>
      </c>
      <c r="D967" s="2" t="s">
        <v>279</v>
      </c>
      <c r="E967" s="2" t="s">
        <v>737</v>
      </c>
      <c r="F967" s="2" t="s">
        <v>489</v>
      </c>
      <c r="G967" s="2" t="s">
        <v>146</v>
      </c>
      <c r="H967" s="2" t="s">
        <v>359</v>
      </c>
      <c r="I967" t="s">
        <v>198</v>
      </c>
      <c r="J967" s="18">
        <v>15903.01</v>
      </c>
      <c r="K967" s="18"/>
      <c r="L967" s="18">
        <v>13915.9477688884</v>
      </c>
      <c r="M967" s="18">
        <v>1991.9734470298699</v>
      </c>
      <c r="N967" s="18"/>
      <c r="O967" s="18"/>
      <c r="P967" s="3">
        <v>1</v>
      </c>
      <c r="Q967" s="3">
        <v>0</v>
      </c>
      <c r="R967" s="3">
        <v>0</v>
      </c>
      <c r="S967" s="3"/>
      <c r="T967" s="3" t="b">
        <v>0</v>
      </c>
      <c r="U967" s="3">
        <v>2104</v>
      </c>
      <c r="V967" s="3">
        <v>0</v>
      </c>
      <c r="W967" s="3">
        <v>1163</v>
      </c>
      <c r="X967" s="3">
        <v>10.9</v>
      </c>
    </row>
    <row r="968" spans="1:24" hidden="1">
      <c r="A968" s="1">
        <v>45231</v>
      </c>
      <c r="B968" s="1" t="s">
        <v>1241</v>
      </c>
      <c r="C968" s="2" t="s">
        <v>1228</v>
      </c>
      <c r="D968" s="2" t="s">
        <v>279</v>
      </c>
      <c r="E968" s="2" t="s">
        <v>737</v>
      </c>
      <c r="F968" s="2" t="s">
        <v>489</v>
      </c>
      <c r="G968" s="2" t="s">
        <v>146</v>
      </c>
      <c r="H968" s="2" t="s">
        <v>359</v>
      </c>
      <c r="I968" t="s">
        <v>198</v>
      </c>
      <c r="J968" s="18">
        <v>16277.52</v>
      </c>
      <c r="K968" s="18"/>
      <c r="L968" s="18">
        <v>14243.933246312899</v>
      </c>
      <c r="M968" s="18">
        <v>1413.5051818508</v>
      </c>
      <c r="N968" s="18"/>
      <c r="O968" s="18"/>
      <c r="P968" s="3">
        <v>1</v>
      </c>
      <c r="Q968" s="3">
        <v>0</v>
      </c>
      <c r="R968" s="3">
        <v>0</v>
      </c>
      <c r="S968" s="3"/>
      <c r="T968" s="3" t="b">
        <v>0</v>
      </c>
      <c r="U968" s="3">
        <v>4047</v>
      </c>
      <c r="V968" s="3">
        <v>0</v>
      </c>
      <c r="W968" s="3">
        <v>2443</v>
      </c>
      <c r="X968" s="3">
        <v>12.58</v>
      </c>
    </row>
    <row r="969" spans="1:24" hidden="1">
      <c r="A969" s="1">
        <v>45261</v>
      </c>
      <c r="B969" s="1" t="s">
        <v>1242</v>
      </c>
      <c r="C969" s="2" t="s">
        <v>1228</v>
      </c>
      <c r="D969" s="2" t="s">
        <v>279</v>
      </c>
      <c r="E969" s="2" t="s">
        <v>737</v>
      </c>
      <c r="F969" s="2" t="s">
        <v>489</v>
      </c>
      <c r="G969" s="2" t="s">
        <v>146</v>
      </c>
      <c r="H969" s="2" t="s">
        <v>359</v>
      </c>
      <c r="I969" t="s">
        <v>198</v>
      </c>
      <c r="J969" s="18">
        <v>16153.82</v>
      </c>
      <c r="K969" s="18"/>
      <c r="L969" s="18">
        <v>14561.3385475663</v>
      </c>
      <c r="M969" s="18">
        <v>942.72108860090498</v>
      </c>
      <c r="N969" s="18"/>
      <c r="O969" s="18"/>
      <c r="P969" s="3">
        <v>1</v>
      </c>
      <c r="Q969" s="3">
        <v>0</v>
      </c>
      <c r="R969" s="3">
        <v>0</v>
      </c>
      <c r="S969" s="3"/>
      <c r="T969" s="3" t="b">
        <v>0</v>
      </c>
      <c r="U969" s="3">
        <v>4197</v>
      </c>
      <c r="V969" s="3">
        <v>1</v>
      </c>
      <c r="W969" s="3">
        <v>1756</v>
      </c>
      <c r="X969" s="3">
        <v>11.78</v>
      </c>
    </row>
    <row r="970" spans="1:24" hidden="1">
      <c r="A970" s="1">
        <v>45292</v>
      </c>
      <c r="B970" s="1" t="s">
        <v>1243</v>
      </c>
      <c r="C970" s="2" t="s">
        <v>1228</v>
      </c>
      <c r="D970" s="2" t="s">
        <v>279</v>
      </c>
      <c r="E970" s="2" t="s">
        <v>737</v>
      </c>
      <c r="F970" s="2" t="s">
        <v>489</v>
      </c>
      <c r="G970" s="2" t="s">
        <v>146</v>
      </c>
      <c r="H970" s="2" t="s">
        <v>359</v>
      </c>
      <c r="I970" t="s">
        <v>198</v>
      </c>
      <c r="J970" s="18">
        <v>16659.82</v>
      </c>
      <c r="K970" s="18"/>
      <c r="L970" s="18">
        <v>14889.3240263072</v>
      </c>
      <c r="M970" s="18">
        <v>89.964151364350599</v>
      </c>
      <c r="N970" s="18"/>
      <c r="O970" s="18"/>
      <c r="P970" s="3">
        <v>1</v>
      </c>
      <c r="Q970" s="3">
        <v>0</v>
      </c>
      <c r="R970" s="3">
        <v>0</v>
      </c>
      <c r="S970" s="3"/>
      <c r="T970" s="3" t="b">
        <v>1</v>
      </c>
      <c r="U970" s="3">
        <v>2145</v>
      </c>
      <c r="V970" s="3">
        <v>0</v>
      </c>
      <c r="W970" s="3">
        <v>2870</v>
      </c>
      <c r="X970" s="3">
        <v>9.73</v>
      </c>
    </row>
    <row r="971" spans="1:24" hidden="1">
      <c r="A971" s="1">
        <v>45323</v>
      </c>
      <c r="B971" s="1" t="s">
        <v>1244</v>
      </c>
      <c r="C971" s="2" t="s">
        <v>1228</v>
      </c>
      <c r="D971" s="2" t="s">
        <v>279</v>
      </c>
      <c r="E971" s="2" t="s">
        <v>737</v>
      </c>
      <c r="F971" s="2" t="s">
        <v>489</v>
      </c>
      <c r="G971" s="2" t="s">
        <v>146</v>
      </c>
      <c r="H971" s="2" t="s">
        <v>359</v>
      </c>
      <c r="I971" t="s">
        <v>198</v>
      </c>
      <c r="J971" s="18">
        <v>15793.45</v>
      </c>
      <c r="K971" s="18"/>
      <c r="L971" s="18">
        <v>15217.309503462</v>
      </c>
      <c r="M971" s="18">
        <v>981.17788736013995</v>
      </c>
      <c r="N971" s="18"/>
      <c r="O971" s="18"/>
      <c r="P971" s="3">
        <v>1</v>
      </c>
      <c r="Q971" s="3">
        <v>0</v>
      </c>
      <c r="R971" s="3">
        <v>0</v>
      </c>
      <c r="S971" s="3"/>
      <c r="T971" s="3" t="b">
        <v>0</v>
      </c>
      <c r="U971" s="3">
        <v>4763</v>
      </c>
      <c r="V971" s="3">
        <v>2</v>
      </c>
      <c r="W971" s="3">
        <v>2543</v>
      </c>
      <c r="X971" s="3">
        <v>8.99</v>
      </c>
    </row>
    <row r="972" spans="1:24" hidden="1">
      <c r="A972" s="1">
        <v>45352</v>
      </c>
      <c r="B972" s="1" t="s">
        <v>1245</v>
      </c>
      <c r="C972" s="2" t="s">
        <v>1228</v>
      </c>
      <c r="D972" s="2" t="s">
        <v>279</v>
      </c>
      <c r="E972" s="2" t="s">
        <v>737</v>
      </c>
      <c r="F972" s="2" t="s">
        <v>489</v>
      </c>
      <c r="G972" s="2" t="s">
        <v>146</v>
      </c>
      <c r="H972" s="2" t="s">
        <v>359</v>
      </c>
      <c r="I972" t="s">
        <v>198</v>
      </c>
      <c r="J972" s="18">
        <v>15749.98</v>
      </c>
      <c r="K972" s="18"/>
      <c r="L972" s="18">
        <v>15524.1346279597</v>
      </c>
      <c r="M972" s="18">
        <v>-158.37047537422799</v>
      </c>
      <c r="N972" s="18"/>
      <c r="O972" s="18"/>
      <c r="P972" s="3">
        <v>1</v>
      </c>
      <c r="Q972" s="3">
        <v>0</v>
      </c>
      <c r="R972" s="3">
        <v>0</v>
      </c>
      <c r="S972" s="3"/>
      <c r="T972" s="3" t="b">
        <v>0</v>
      </c>
      <c r="U972" s="3">
        <v>2873</v>
      </c>
      <c r="V972" s="3">
        <v>0</v>
      </c>
      <c r="W972" s="3">
        <v>2689</v>
      </c>
      <c r="X972" s="3">
        <v>10.58</v>
      </c>
    </row>
    <row r="973" spans="1:24" hidden="1">
      <c r="A973" s="1">
        <v>45383</v>
      </c>
      <c r="B973" s="1" t="s">
        <v>1246</v>
      </c>
      <c r="C973" s="2" t="s">
        <v>1228</v>
      </c>
      <c r="D973" s="2" t="s">
        <v>279</v>
      </c>
      <c r="E973" s="2" t="s">
        <v>737</v>
      </c>
      <c r="F973" s="2" t="s">
        <v>489</v>
      </c>
      <c r="G973" s="2" t="s">
        <v>146</v>
      </c>
      <c r="H973" s="2" t="s">
        <v>359</v>
      </c>
      <c r="I973" t="s">
        <v>198</v>
      </c>
      <c r="J973" s="18">
        <v>15388.09</v>
      </c>
      <c r="K973" s="18"/>
      <c r="L973" s="18">
        <v>15852.120104919901</v>
      </c>
      <c r="M973" s="18">
        <v>-188.90118447598601</v>
      </c>
      <c r="N973" s="18"/>
      <c r="O973" s="18"/>
      <c r="P973" s="3">
        <v>1</v>
      </c>
      <c r="Q973" s="3">
        <v>0</v>
      </c>
      <c r="R973" s="3">
        <v>0</v>
      </c>
      <c r="S973" s="3"/>
      <c r="T973" s="3" t="b">
        <v>1</v>
      </c>
      <c r="U973" s="3">
        <v>2298</v>
      </c>
      <c r="V973" s="3">
        <v>0</v>
      </c>
      <c r="W973" s="3">
        <v>2571</v>
      </c>
      <c r="X973" s="3">
        <v>11.58</v>
      </c>
    </row>
    <row r="974" spans="1:24" hidden="1">
      <c r="A974" s="1">
        <v>45413</v>
      </c>
      <c r="B974" s="1" t="s">
        <v>1247</v>
      </c>
      <c r="C974" s="2" t="s">
        <v>1228</v>
      </c>
      <c r="D974" s="2" t="s">
        <v>279</v>
      </c>
      <c r="E974" s="2" t="s">
        <v>737</v>
      </c>
      <c r="F974" s="2" t="s">
        <v>489</v>
      </c>
      <c r="G974" s="2" t="s">
        <v>146</v>
      </c>
      <c r="H974" s="2" t="s">
        <v>359</v>
      </c>
      <c r="I974" t="s">
        <v>198</v>
      </c>
      <c r="J974" s="18">
        <v>15382.43</v>
      </c>
      <c r="K974" s="18"/>
      <c r="L974" s="18">
        <v>16169.525404697701</v>
      </c>
      <c r="M974" s="18">
        <v>-977.36662277951098</v>
      </c>
      <c r="N974" s="18"/>
      <c r="O974" s="18"/>
      <c r="P974" s="3">
        <v>1</v>
      </c>
      <c r="Q974" s="3">
        <v>0</v>
      </c>
      <c r="R974" s="3">
        <v>0</v>
      </c>
      <c r="S974" s="3"/>
      <c r="T974" s="3" t="b">
        <v>0</v>
      </c>
      <c r="U974" s="3">
        <v>3736</v>
      </c>
      <c r="V974" s="3">
        <v>2</v>
      </c>
      <c r="W974" s="3">
        <v>2583</v>
      </c>
      <c r="X974" s="3">
        <v>12.02</v>
      </c>
    </row>
    <row r="975" spans="1:24" hidden="1">
      <c r="A975" s="1">
        <v>45444</v>
      </c>
      <c r="B975" s="1" t="s">
        <v>1248</v>
      </c>
      <c r="C975" s="2" t="s">
        <v>1228</v>
      </c>
      <c r="D975" s="2" t="s">
        <v>279</v>
      </c>
      <c r="E975" s="2" t="s">
        <v>737</v>
      </c>
      <c r="F975" s="2" t="s">
        <v>489</v>
      </c>
      <c r="G975" s="2" t="s">
        <v>146</v>
      </c>
      <c r="H975" s="2" t="s">
        <v>359</v>
      </c>
      <c r="I975" t="s">
        <v>198</v>
      </c>
      <c r="J975" s="18">
        <v>15773.18</v>
      </c>
      <c r="K975" s="18"/>
      <c r="L975" s="18">
        <v>16497.510881134702</v>
      </c>
      <c r="M975" s="18">
        <v>-483.338363807669</v>
      </c>
      <c r="N975" s="18"/>
      <c r="O975" s="18"/>
      <c r="P975" s="3">
        <v>1</v>
      </c>
      <c r="Q975" s="3">
        <v>0</v>
      </c>
      <c r="R975" s="3">
        <v>0</v>
      </c>
      <c r="S975" s="3"/>
      <c r="T975" s="3" t="b">
        <v>0</v>
      </c>
      <c r="U975" s="3">
        <v>2645</v>
      </c>
      <c r="V975" s="3">
        <v>0</v>
      </c>
      <c r="W975" s="3">
        <v>2620</v>
      </c>
      <c r="X975" s="3">
        <v>9.18</v>
      </c>
    </row>
    <row r="976" spans="1:24" hidden="1">
      <c r="A976" s="1">
        <v>45474</v>
      </c>
      <c r="B976" s="1" t="s">
        <v>1249</v>
      </c>
      <c r="C976" s="2" t="s">
        <v>1228</v>
      </c>
      <c r="D976" s="2" t="s">
        <v>279</v>
      </c>
      <c r="E976" s="2" t="s">
        <v>737</v>
      </c>
      <c r="F976" s="2" t="s">
        <v>489</v>
      </c>
      <c r="G976" s="2" t="s">
        <v>146</v>
      </c>
      <c r="H976" s="2" t="s">
        <v>359</v>
      </c>
      <c r="I976" t="s">
        <v>198</v>
      </c>
      <c r="J976" s="18">
        <v>15999.97</v>
      </c>
      <c r="K976" s="18">
        <v>12714.86</v>
      </c>
      <c r="L976" s="18">
        <v>16814.9161809125</v>
      </c>
      <c r="M976" s="18">
        <v>-909.58718333459603</v>
      </c>
      <c r="N976" s="18">
        <v>12914.86</v>
      </c>
      <c r="O976" s="18">
        <v>12514.86</v>
      </c>
      <c r="P976" s="3">
        <v>1</v>
      </c>
      <c r="Q976" s="3">
        <v>0</v>
      </c>
      <c r="R976" s="3">
        <v>0</v>
      </c>
      <c r="S976" s="3"/>
      <c r="T976" s="3" t="b">
        <v>0</v>
      </c>
      <c r="U976" s="3">
        <v>4770</v>
      </c>
      <c r="V976" s="3">
        <v>0</v>
      </c>
      <c r="W976" s="3">
        <v>2051</v>
      </c>
      <c r="X976" s="3">
        <v>10.15</v>
      </c>
    </row>
    <row r="977" spans="1:24" hidden="1">
      <c r="A977" s="1">
        <v>45505</v>
      </c>
      <c r="B977" s="1" t="s">
        <v>1250</v>
      </c>
      <c r="C977" s="2" t="s">
        <v>1228</v>
      </c>
      <c r="D977" s="2" t="s">
        <v>279</v>
      </c>
      <c r="E977" s="2" t="s">
        <v>737</v>
      </c>
      <c r="F977" s="2" t="s">
        <v>489</v>
      </c>
      <c r="G977" s="2" t="s">
        <v>146</v>
      </c>
      <c r="H977" s="2" t="s">
        <v>359</v>
      </c>
      <c r="I977" t="s">
        <v>198</v>
      </c>
      <c r="J977" s="18">
        <v>15889.79</v>
      </c>
      <c r="K977" s="18">
        <v>12794.96</v>
      </c>
      <c r="L977" s="18">
        <v>17142.901657349601</v>
      </c>
      <c r="M977" s="18">
        <v>-887.40647046168306</v>
      </c>
      <c r="N977" s="18">
        <v>12994.96</v>
      </c>
      <c r="O977" s="18">
        <v>12594.96</v>
      </c>
      <c r="P977" s="3">
        <v>1</v>
      </c>
      <c r="Q977" s="3">
        <v>0</v>
      </c>
      <c r="R977" s="3">
        <v>0</v>
      </c>
      <c r="S977" s="3"/>
      <c r="T977" s="3" t="b">
        <v>1</v>
      </c>
      <c r="U977" s="3">
        <v>2637</v>
      </c>
      <c r="V977" s="3">
        <v>0</v>
      </c>
      <c r="W977" s="3">
        <v>2731</v>
      </c>
      <c r="X977" s="3">
        <v>10.93</v>
      </c>
    </row>
    <row r="978" spans="1:24" hidden="1">
      <c r="A978" s="1">
        <v>45536</v>
      </c>
      <c r="B978" s="1" t="s">
        <v>1251</v>
      </c>
      <c r="C978" s="2" t="s">
        <v>1228</v>
      </c>
      <c r="D978" s="2" t="s">
        <v>279</v>
      </c>
      <c r="E978" s="2" t="s">
        <v>737</v>
      </c>
      <c r="F978" s="2" t="s">
        <v>489</v>
      </c>
      <c r="G978" s="2" t="s">
        <v>146</v>
      </c>
      <c r="H978" s="2" t="s">
        <v>359</v>
      </c>
      <c r="I978" t="s">
        <v>198</v>
      </c>
      <c r="J978" s="18">
        <v>15843.95</v>
      </c>
      <c r="K978" s="18">
        <v>12750.79</v>
      </c>
      <c r="L978" s="18">
        <v>17470.8871337866</v>
      </c>
      <c r="M978" s="18">
        <v>-1388.4488278410399</v>
      </c>
      <c r="N978" s="18">
        <v>12950.79</v>
      </c>
      <c r="O978" s="18">
        <v>12550.79</v>
      </c>
      <c r="P978" s="3">
        <v>1</v>
      </c>
      <c r="Q978" s="3">
        <v>0</v>
      </c>
      <c r="R978" s="3">
        <v>0</v>
      </c>
      <c r="S978" s="3"/>
      <c r="T978" s="3" t="b">
        <v>0</v>
      </c>
      <c r="U978" s="3">
        <v>4286</v>
      </c>
      <c r="V978" s="3">
        <v>0</v>
      </c>
      <c r="W978" s="3">
        <v>1445</v>
      </c>
      <c r="X978" s="3">
        <v>11.17</v>
      </c>
    </row>
    <row r="979" spans="1:24" hidden="1">
      <c r="A979" s="1">
        <v>45566</v>
      </c>
      <c r="B979" s="1" t="s">
        <v>1252</v>
      </c>
      <c r="C979" s="2" t="s">
        <v>1228</v>
      </c>
      <c r="D979" s="2" t="s">
        <v>279</v>
      </c>
      <c r="E979" s="2" t="s">
        <v>737</v>
      </c>
      <c r="F979" s="2" t="s">
        <v>489</v>
      </c>
      <c r="G979" s="2" t="s">
        <v>146</v>
      </c>
      <c r="H979" s="2" t="s">
        <v>359</v>
      </c>
      <c r="I979" t="s">
        <v>224</v>
      </c>
      <c r="J979" s="18"/>
      <c r="K979" s="18">
        <v>12758.17</v>
      </c>
      <c r="L979" s="18">
        <v>17788.292433564398</v>
      </c>
      <c r="M979" s="18">
        <v>2517.36843102586</v>
      </c>
      <c r="N979" s="18">
        <v>12958.17</v>
      </c>
      <c r="O979" s="18">
        <v>12558.17</v>
      </c>
      <c r="P979" s="3"/>
      <c r="Q979" s="3"/>
      <c r="R979" s="3"/>
      <c r="S979" s="3"/>
      <c r="T979" s="3"/>
      <c r="U979" s="3"/>
      <c r="V979" s="3"/>
      <c r="W979" s="3">
        <v>2231</v>
      </c>
      <c r="X979" s="3">
        <v>9.93</v>
      </c>
    </row>
    <row r="980" spans="1:24" hidden="1">
      <c r="A980" s="1">
        <v>45597</v>
      </c>
      <c r="B980" s="1" t="s">
        <v>1253</v>
      </c>
      <c r="C980" s="2" t="s">
        <v>1228</v>
      </c>
      <c r="D980" s="2" t="s">
        <v>279</v>
      </c>
      <c r="E980" s="2" t="s">
        <v>737</v>
      </c>
      <c r="F980" s="2" t="s">
        <v>489</v>
      </c>
      <c r="G980" s="2" t="s">
        <v>146</v>
      </c>
      <c r="H980" s="2" t="s">
        <v>359</v>
      </c>
      <c r="I980" t="s">
        <v>224</v>
      </c>
      <c r="J980" s="18"/>
      <c r="K980" s="18">
        <v>13125</v>
      </c>
      <c r="L980" s="18">
        <v>18116.2779100015</v>
      </c>
      <c r="M980" s="18">
        <v>898.67041107723196</v>
      </c>
      <c r="N980" s="18">
        <v>13325</v>
      </c>
      <c r="O980" s="18">
        <v>12925</v>
      </c>
      <c r="P980" s="3"/>
      <c r="Q980" s="3"/>
      <c r="R980" s="3"/>
      <c r="S980" s="3"/>
      <c r="T980" s="3"/>
      <c r="U980" s="3"/>
      <c r="V980" s="3"/>
      <c r="W980" s="3">
        <v>2493</v>
      </c>
      <c r="X980" s="3">
        <v>9.9499999999999993</v>
      </c>
    </row>
    <row r="981" spans="1:24" hidden="1">
      <c r="A981" s="1">
        <v>45627</v>
      </c>
      <c r="B981" s="1" t="s">
        <v>1254</v>
      </c>
      <c r="C981" s="2" t="s">
        <v>1228</v>
      </c>
      <c r="D981" s="2" t="s">
        <v>279</v>
      </c>
      <c r="E981" s="2" t="s">
        <v>737</v>
      </c>
      <c r="F981" s="2" t="s">
        <v>489</v>
      </c>
      <c r="G981" s="2" t="s">
        <v>146</v>
      </c>
      <c r="H981" s="2" t="s">
        <v>359</v>
      </c>
      <c r="I981" t="s">
        <v>224</v>
      </c>
      <c r="J981" s="18"/>
      <c r="K981" s="18">
        <v>13104.93</v>
      </c>
      <c r="L981" s="18">
        <v>18433.683209779301</v>
      </c>
      <c r="M981" s="18">
        <v>1415.1805524251099</v>
      </c>
      <c r="N981" s="18">
        <v>13304.93</v>
      </c>
      <c r="O981" s="18">
        <v>12904.93</v>
      </c>
      <c r="P981" s="3"/>
      <c r="Q981" s="3"/>
      <c r="R981" s="3"/>
      <c r="S981" s="3"/>
      <c r="T981" s="3"/>
      <c r="U981" s="3"/>
      <c r="V981" s="3"/>
      <c r="W981" s="3">
        <v>1715</v>
      </c>
      <c r="X981" s="3">
        <v>11.5</v>
      </c>
    </row>
    <row r="982" spans="1:24" hidden="1">
      <c r="A982" s="1">
        <v>45017</v>
      </c>
      <c r="B982" s="1" t="s">
        <v>1255</v>
      </c>
      <c r="C982" s="2" t="s">
        <v>1256</v>
      </c>
      <c r="D982" s="2" t="s">
        <v>279</v>
      </c>
      <c r="E982" s="2" t="s">
        <v>737</v>
      </c>
      <c r="F982" s="2" t="s">
        <v>489</v>
      </c>
      <c r="G982" s="2" t="s">
        <v>141</v>
      </c>
      <c r="H982" s="2" t="s">
        <v>597</v>
      </c>
      <c r="I982" t="s">
        <v>198</v>
      </c>
      <c r="J982" s="18">
        <v>19874.25</v>
      </c>
      <c r="K982" s="18"/>
      <c r="L982" s="18">
        <v>19954.74742208</v>
      </c>
      <c r="M982" s="18">
        <v>161.43293506989801</v>
      </c>
      <c r="N982" s="18"/>
      <c r="O982" s="18"/>
      <c r="P982" s="3">
        <v>0</v>
      </c>
      <c r="Q982" s="3">
        <v>0</v>
      </c>
      <c r="R982" s="3">
        <v>0</v>
      </c>
      <c r="S982" s="3"/>
      <c r="T982" s="3" t="b">
        <v>0</v>
      </c>
      <c r="U982" s="3">
        <v>2894</v>
      </c>
      <c r="V982" s="3">
        <v>0</v>
      </c>
      <c r="W982" s="3">
        <v>1608</v>
      </c>
      <c r="X982" s="3">
        <v>16.440000000000001</v>
      </c>
    </row>
    <row r="983" spans="1:24" hidden="1">
      <c r="A983" s="1">
        <v>45047</v>
      </c>
      <c r="B983" s="1" t="s">
        <v>1257</v>
      </c>
      <c r="C983" s="2" t="s">
        <v>1256</v>
      </c>
      <c r="D983" s="2" t="s">
        <v>279</v>
      </c>
      <c r="E983" s="2" t="s">
        <v>737</v>
      </c>
      <c r="F983" s="2" t="s">
        <v>489</v>
      </c>
      <c r="G983" s="2" t="s">
        <v>141</v>
      </c>
      <c r="H983" s="2" t="s">
        <v>597</v>
      </c>
      <c r="I983" t="s">
        <v>198</v>
      </c>
      <c r="J983" s="18">
        <v>19995.560000000001</v>
      </c>
      <c r="K983" s="18"/>
      <c r="L983" s="18">
        <v>19979.376877421499</v>
      </c>
      <c r="M983" s="18">
        <v>-1007.43274848847</v>
      </c>
      <c r="N983" s="18"/>
      <c r="O983" s="18"/>
      <c r="P983" s="3">
        <v>0</v>
      </c>
      <c r="Q983" s="3">
        <v>0</v>
      </c>
      <c r="R983" s="3">
        <v>0</v>
      </c>
      <c r="S983" s="3"/>
      <c r="T983" s="3" t="b">
        <v>1</v>
      </c>
      <c r="U983" s="3">
        <v>2470</v>
      </c>
      <c r="V983" s="3">
        <v>0</v>
      </c>
      <c r="W983" s="3">
        <v>2747</v>
      </c>
      <c r="X983" s="3">
        <v>16.239999999999998</v>
      </c>
    </row>
    <row r="984" spans="1:24" hidden="1">
      <c r="A984" s="1">
        <v>45078</v>
      </c>
      <c r="B984" s="1" t="s">
        <v>1258</v>
      </c>
      <c r="C984" s="2" t="s">
        <v>1256</v>
      </c>
      <c r="D984" s="2" t="s">
        <v>279</v>
      </c>
      <c r="E984" s="2" t="s">
        <v>737</v>
      </c>
      <c r="F984" s="2" t="s">
        <v>489</v>
      </c>
      <c r="G984" s="2" t="s">
        <v>141</v>
      </c>
      <c r="H984" s="2" t="s">
        <v>597</v>
      </c>
      <c r="I984" t="s">
        <v>198</v>
      </c>
      <c r="J984" s="18">
        <v>20232.18</v>
      </c>
      <c r="K984" s="18"/>
      <c r="L984" s="18">
        <v>20004.827331475401</v>
      </c>
      <c r="M984" s="18">
        <v>200.672737035918</v>
      </c>
      <c r="N984" s="18"/>
      <c r="O984" s="18"/>
      <c r="P984" s="3">
        <v>0</v>
      </c>
      <c r="Q984" s="3">
        <v>0</v>
      </c>
      <c r="R984" s="3">
        <v>0</v>
      </c>
      <c r="S984" s="3"/>
      <c r="T984" s="3" t="b">
        <v>0</v>
      </c>
      <c r="U984" s="3">
        <v>4578</v>
      </c>
      <c r="V984" s="3">
        <v>1</v>
      </c>
      <c r="W984" s="3">
        <v>2309</v>
      </c>
      <c r="X984" s="3">
        <v>14.18</v>
      </c>
    </row>
    <row r="985" spans="1:24" hidden="1">
      <c r="A985" s="1">
        <v>45139</v>
      </c>
      <c r="B985" s="1" t="s">
        <v>1259</v>
      </c>
      <c r="C985" s="2" t="s">
        <v>1256</v>
      </c>
      <c r="D985" s="2" t="s">
        <v>279</v>
      </c>
      <c r="E985" s="2" t="s">
        <v>737</v>
      </c>
      <c r="F985" s="2" t="s">
        <v>489</v>
      </c>
      <c r="G985" s="2" t="s">
        <v>141</v>
      </c>
      <c r="H985" s="2" t="s">
        <v>597</v>
      </c>
      <c r="I985" t="s">
        <v>198</v>
      </c>
      <c r="J985" s="18">
        <v>21069.88</v>
      </c>
      <c r="K985" s="18"/>
      <c r="L985" s="18">
        <v>20054.907306669102</v>
      </c>
      <c r="M985" s="18">
        <v>792.21265890591701</v>
      </c>
      <c r="N985" s="18"/>
      <c r="O985" s="18"/>
      <c r="P985" s="3">
        <v>0</v>
      </c>
      <c r="Q985" s="3">
        <v>0</v>
      </c>
      <c r="R985" s="3">
        <v>0</v>
      </c>
      <c r="S985" s="3"/>
      <c r="T985" s="3" t="b">
        <v>0</v>
      </c>
      <c r="U985" s="3">
        <v>4899</v>
      </c>
      <c r="V985" s="3">
        <v>1</v>
      </c>
      <c r="W985" s="3">
        <v>1007</v>
      </c>
      <c r="X985" s="3">
        <v>14.06</v>
      </c>
    </row>
    <row r="986" spans="1:24" hidden="1">
      <c r="A986" s="1">
        <v>45170</v>
      </c>
      <c r="B986" s="1" t="s">
        <v>1260</v>
      </c>
      <c r="C986" s="2" t="s">
        <v>1256</v>
      </c>
      <c r="D986" s="2" t="s">
        <v>279</v>
      </c>
      <c r="E986" s="2" t="s">
        <v>737</v>
      </c>
      <c r="F986" s="2" t="s">
        <v>489</v>
      </c>
      <c r="G986" s="2" t="s">
        <v>141</v>
      </c>
      <c r="H986" s="2" t="s">
        <v>597</v>
      </c>
      <c r="I986" t="s">
        <v>198</v>
      </c>
      <c r="J986" s="18">
        <v>21410.22</v>
      </c>
      <c r="K986" s="18"/>
      <c r="L986" s="18">
        <v>20081.2399016659</v>
      </c>
      <c r="M986" s="18">
        <v>2348.0303499142301</v>
      </c>
      <c r="N986" s="18"/>
      <c r="O986" s="18"/>
      <c r="P986" s="3">
        <v>0</v>
      </c>
      <c r="Q986" s="3">
        <v>0</v>
      </c>
      <c r="R986" s="3">
        <v>0</v>
      </c>
      <c r="S986" s="3"/>
      <c r="T986" s="3" t="b">
        <v>0</v>
      </c>
      <c r="U986" s="3">
        <v>3446</v>
      </c>
      <c r="V986" s="3">
        <v>1</v>
      </c>
      <c r="W986" s="3">
        <v>1805</v>
      </c>
      <c r="X986" s="3">
        <v>13.79</v>
      </c>
    </row>
    <row r="987" spans="1:24" hidden="1">
      <c r="A987" s="1">
        <v>45200</v>
      </c>
      <c r="B987" s="1" t="s">
        <v>1261</v>
      </c>
      <c r="C987" s="2" t="s">
        <v>1256</v>
      </c>
      <c r="D987" s="2" t="s">
        <v>279</v>
      </c>
      <c r="E987" s="2" t="s">
        <v>737</v>
      </c>
      <c r="F987" s="2" t="s">
        <v>489</v>
      </c>
      <c r="G987" s="2" t="s">
        <v>141</v>
      </c>
      <c r="H987" s="2" t="s">
        <v>597</v>
      </c>
      <c r="I987" t="s">
        <v>198</v>
      </c>
      <c r="J987" s="18">
        <v>21678.63</v>
      </c>
      <c r="K987" s="18"/>
      <c r="L987" s="18">
        <v>20106.8329960474</v>
      </c>
      <c r="M987" s="18">
        <v>1598.17481200516</v>
      </c>
      <c r="N987" s="18"/>
      <c r="O987" s="18"/>
      <c r="P987" s="3">
        <v>0</v>
      </c>
      <c r="Q987" s="3">
        <v>0</v>
      </c>
      <c r="R987" s="3">
        <v>0</v>
      </c>
      <c r="S987" s="3"/>
      <c r="T987" s="3" t="b">
        <v>0</v>
      </c>
      <c r="U987" s="3">
        <v>2347</v>
      </c>
      <c r="V987" s="3">
        <v>1</v>
      </c>
      <c r="W987" s="3">
        <v>1188</v>
      </c>
      <c r="X987" s="3">
        <v>13.49</v>
      </c>
    </row>
    <row r="988" spans="1:24" hidden="1">
      <c r="A988" s="1">
        <v>45231</v>
      </c>
      <c r="B988" s="1" t="s">
        <v>1262</v>
      </c>
      <c r="C988" s="2" t="s">
        <v>1256</v>
      </c>
      <c r="D988" s="2" t="s">
        <v>279</v>
      </c>
      <c r="E988" s="2" t="s">
        <v>737</v>
      </c>
      <c r="F988" s="2" t="s">
        <v>489</v>
      </c>
      <c r="G988" s="2" t="s">
        <v>141</v>
      </c>
      <c r="H988" s="2" t="s">
        <v>597</v>
      </c>
      <c r="I988" t="s">
        <v>198</v>
      </c>
      <c r="J988" s="18">
        <v>19377.509999999998</v>
      </c>
      <c r="K988" s="18"/>
      <c r="L988" s="18">
        <v>20133.798578723799</v>
      </c>
      <c r="M988" s="18">
        <v>-769.178430747726</v>
      </c>
      <c r="N988" s="18"/>
      <c r="O988" s="18"/>
      <c r="P988" s="3">
        <v>0</v>
      </c>
      <c r="Q988" s="3">
        <v>1</v>
      </c>
      <c r="R988" s="3">
        <v>0</v>
      </c>
      <c r="S988" s="3"/>
      <c r="T988" s="3" t="b">
        <v>0</v>
      </c>
      <c r="U988" s="3">
        <v>2693</v>
      </c>
      <c r="V988" s="3">
        <v>0</v>
      </c>
      <c r="W988" s="3">
        <v>1080</v>
      </c>
      <c r="X988" s="3">
        <v>14.67</v>
      </c>
    </row>
    <row r="989" spans="1:24" hidden="1">
      <c r="A989" s="1">
        <v>45261</v>
      </c>
      <c r="B989" s="1" t="s">
        <v>1263</v>
      </c>
      <c r="C989" s="2" t="s">
        <v>1256</v>
      </c>
      <c r="D989" s="2" t="s">
        <v>279</v>
      </c>
      <c r="E989" s="2" t="s">
        <v>737</v>
      </c>
      <c r="F989" s="2" t="s">
        <v>489</v>
      </c>
      <c r="G989" s="2" t="s">
        <v>141</v>
      </c>
      <c r="H989" s="2" t="s">
        <v>597</v>
      </c>
      <c r="I989" t="s">
        <v>198</v>
      </c>
      <c r="J989" s="18">
        <v>19601.060000000001</v>
      </c>
      <c r="K989" s="18"/>
      <c r="L989" s="18">
        <v>20160.164962396801</v>
      </c>
      <c r="M989" s="18">
        <v>-548.77628253068099</v>
      </c>
      <c r="N989" s="18"/>
      <c r="O989" s="18"/>
      <c r="P989" s="3">
        <v>0</v>
      </c>
      <c r="Q989" s="3">
        <v>1</v>
      </c>
      <c r="R989" s="3">
        <v>0</v>
      </c>
      <c r="S989" s="3"/>
      <c r="T989" s="3" t="b">
        <v>0</v>
      </c>
      <c r="U989" s="3">
        <v>2934</v>
      </c>
      <c r="V989" s="3">
        <v>0</v>
      </c>
      <c r="W989" s="3">
        <v>1107</v>
      </c>
      <c r="X989" s="3">
        <v>15.08</v>
      </c>
    </row>
    <row r="990" spans="1:24" hidden="1">
      <c r="A990" s="1">
        <v>45292</v>
      </c>
      <c r="B990" s="1" t="s">
        <v>1264</v>
      </c>
      <c r="C990" s="2" t="s">
        <v>1256</v>
      </c>
      <c r="D990" s="2" t="s">
        <v>279</v>
      </c>
      <c r="E990" s="2" t="s">
        <v>737</v>
      </c>
      <c r="F990" s="2" t="s">
        <v>489</v>
      </c>
      <c r="G990" s="2" t="s">
        <v>141</v>
      </c>
      <c r="H990" s="2" t="s">
        <v>597</v>
      </c>
      <c r="I990" t="s">
        <v>198</v>
      </c>
      <c r="J990" s="18">
        <v>19754.07</v>
      </c>
      <c r="K990" s="18"/>
      <c r="L990" s="18">
        <v>20188.420767506101</v>
      </c>
      <c r="M990" s="18">
        <v>-443.43877437291297</v>
      </c>
      <c r="N990" s="18"/>
      <c r="O990" s="18"/>
      <c r="P990" s="3">
        <v>0</v>
      </c>
      <c r="Q990" s="3">
        <v>1</v>
      </c>
      <c r="R990" s="3">
        <v>0</v>
      </c>
      <c r="S990" s="3"/>
      <c r="T990" s="3" t="b">
        <v>0</v>
      </c>
      <c r="U990" s="3">
        <v>2912</v>
      </c>
      <c r="V990" s="3">
        <v>0</v>
      </c>
      <c r="W990" s="3">
        <v>2344</v>
      </c>
      <c r="X990" s="3">
        <v>16.239999999999998</v>
      </c>
    </row>
    <row r="991" spans="1:24" hidden="1">
      <c r="A991" s="1">
        <v>45323</v>
      </c>
      <c r="B991" s="1" t="s">
        <v>1265</v>
      </c>
      <c r="C991" s="2" t="s">
        <v>1256</v>
      </c>
      <c r="D991" s="2" t="s">
        <v>279</v>
      </c>
      <c r="E991" s="2" t="s">
        <v>737</v>
      </c>
      <c r="F991" s="2" t="s">
        <v>489</v>
      </c>
      <c r="G991" s="2" t="s">
        <v>141</v>
      </c>
      <c r="H991" s="2" t="s">
        <v>597</v>
      </c>
      <c r="I991" t="s">
        <v>198</v>
      </c>
      <c r="J991" s="18">
        <v>19780.21</v>
      </c>
      <c r="K991" s="18"/>
      <c r="L991" s="18">
        <v>20216.932615841899</v>
      </c>
      <c r="M991" s="18">
        <v>-424.95863285018902</v>
      </c>
      <c r="N991" s="18"/>
      <c r="O991" s="18"/>
      <c r="P991" s="3">
        <v>0</v>
      </c>
      <c r="Q991" s="3">
        <v>1</v>
      </c>
      <c r="R991" s="3">
        <v>0</v>
      </c>
      <c r="S991" s="3"/>
      <c r="T991" s="3" t="b">
        <v>1</v>
      </c>
      <c r="U991" s="3">
        <v>2146</v>
      </c>
      <c r="V991" s="3">
        <v>0</v>
      </c>
      <c r="W991" s="3">
        <v>2602</v>
      </c>
      <c r="X991" s="3">
        <v>40</v>
      </c>
    </row>
    <row r="992" spans="1:24" hidden="1">
      <c r="A992" s="1">
        <v>45352</v>
      </c>
      <c r="B992" s="1" t="s">
        <v>1266</v>
      </c>
      <c r="C992" s="2" t="s">
        <v>1256</v>
      </c>
      <c r="D992" s="2" t="s">
        <v>279</v>
      </c>
      <c r="E992" s="2" t="s">
        <v>737</v>
      </c>
      <c r="F992" s="2" t="s">
        <v>489</v>
      </c>
      <c r="G992" s="2" t="s">
        <v>141</v>
      </c>
      <c r="H992" s="2" t="s">
        <v>597</v>
      </c>
      <c r="I992" t="s">
        <v>198</v>
      </c>
      <c r="J992" s="18">
        <v>19524.96</v>
      </c>
      <c r="K992" s="18"/>
      <c r="L992" s="18">
        <v>20244.496297837301</v>
      </c>
      <c r="M992" s="18">
        <v>-736.86858697973696</v>
      </c>
      <c r="N992" s="18"/>
      <c r="O992" s="18"/>
      <c r="P992" s="3">
        <v>0</v>
      </c>
      <c r="Q992" s="3">
        <v>1</v>
      </c>
      <c r="R992" s="3">
        <v>0</v>
      </c>
      <c r="S992" s="3"/>
      <c r="T992" s="3" t="b">
        <v>0</v>
      </c>
      <c r="U992" s="3">
        <v>3711</v>
      </c>
      <c r="V992" s="3">
        <v>0</v>
      </c>
      <c r="W992" s="3">
        <v>1685</v>
      </c>
      <c r="X992" s="3">
        <v>15.01</v>
      </c>
    </row>
    <row r="993" spans="1:24" hidden="1">
      <c r="A993" s="1">
        <v>45383</v>
      </c>
      <c r="B993" s="1" t="s">
        <v>1267</v>
      </c>
      <c r="C993" s="2" t="s">
        <v>1256</v>
      </c>
      <c r="D993" s="2" t="s">
        <v>279</v>
      </c>
      <c r="E993" s="2" t="s">
        <v>737</v>
      </c>
      <c r="F993" s="2" t="s">
        <v>489</v>
      </c>
      <c r="G993" s="2" t="s">
        <v>141</v>
      </c>
      <c r="H993" s="2" t="s">
        <v>597</v>
      </c>
      <c r="I993" t="s">
        <v>198</v>
      </c>
      <c r="J993" s="18">
        <v>19455.47</v>
      </c>
      <c r="K993" s="18"/>
      <c r="L993" s="18">
        <v>20274.694297759899</v>
      </c>
      <c r="M993" s="18">
        <v>-1037.9297485622501</v>
      </c>
      <c r="N993" s="18"/>
      <c r="O993" s="18"/>
      <c r="P993" s="3">
        <v>0</v>
      </c>
      <c r="Q993" s="3">
        <v>1</v>
      </c>
      <c r="R993" s="3">
        <v>0</v>
      </c>
      <c r="S993" s="3"/>
      <c r="T993" s="3" t="b">
        <v>0</v>
      </c>
      <c r="U993" s="3">
        <v>2674</v>
      </c>
      <c r="V993" s="3">
        <v>0</v>
      </c>
      <c r="W993" s="3">
        <v>1345</v>
      </c>
      <c r="X993" s="3">
        <v>15.82</v>
      </c>
    </row>
    <row r="994" spans="1:24" hidden="1">
      <c r="A994" s="1">
        <v>45413</v>
      </c>
      <c r="B994" s="1" t="s">
        <v>1268</v>
      </c>
      <c r="C994" s="2" t="s">
        <v>1256</v>
      </c>
      <c r="D994" s="2" t="s">
        <v>279</v>
      </c>
      <c r="E994" s="2" t="s">
        <v>737</v>
      </c>
      <c r="F994" s="2" t="s">
        <v>489</v>
      </c>
      <c r="G994" s="2" t="s">
        <v>141</v>
      </c>
      <c r="H994" s="2" t="s">
        <v>597</v>
      </c>
      <c r="I994" t="s">
        <v>198</v>
      </c>
      <c r="J994" s="18">
        <v>19504.41</v>
      </c>
      <c r="K994" s="18"/>
      <c r="L994" s="18">
        <v>20305.218441081699</v>
      </c>
      <c r="M994" s="18">
        <v>232.115819803823</v>
      </c>
      <c r="N994" s="18"/>
      <c r="O994" s="18"/>
      <c r="P994" s="3">
        <v>0</v>
      </c>
      <c r="Q994" s="3">
        <v>1</v>
      </c>
      <c r="R994" s="3">
        <v>0</v>
      </c>
      <c r="S994" s="3"/>
      <c r="T994" s="3" t="b">
        <v>0</v>
      </c>
      <c r="U994" s="3">
        <v>3439</v>
      </c>
      <c r="V994" s="3">
        <v>0</v>
      </c>
      <c r="W994" s="3">
        <v>2886</v>
      </c>
      <c r="X994" s="3">
        <v>14.91</v>
      </c>
    </row>
    <row r="995" spans="1:24" hidden="1">
      <c r="A995" s="1">
        <v>45444</v>
      </c>
      <c r="B995" s="1" t="s">
        <v>1269</v>
      </c>
      <c r="C995" s="2" t="s">
        <v>1256</v>
      </c>
      <c r="D995" s="2" t="s">
        <v>279</v>
      </c>
      <c r="E995" s="2" t="s">
        <v>737</v>
      </c>
      <c r="F995" s="2" t="s">
        <v>489</v>
      </c>
      <c r="G995" s="2" t="s">
        <v>141</v>
      </c>
      <c r="H995" s="2" t="s">
        <v>597</v>
      </c>
      <c r="I995" t="s">
        <v>198</v>
      </c>
      <c r="J995" s="18">
        <v>19272.02</v>
      </c>
      <c r="K995" s="18"/>
      <c r="L995" s="18">
        <v>20337.308169778302</v>
      </c>
      <c r="M995" s="18">
        <v>-1073.5009025501799</v>
      </c>
      <c r="N995" s="18"/>
      <c r="O995" s="18"/>
      <c r="P995" s="3">
        <v>0</v>
      </c>
      <c r="Q995" s="3">
        <v>1</v>
      </c>
      <c r="R995" s="3">
        <v>0</v>
      </c>
      <c r="S995" s="3"/>
      <c r="T995" s="3" t="b">
        <v>0</v>
      </c>
      <c r="U995" s="3">
        <v>4734</v>
      </c>
      <c r="V995" s="3">
        <v>0</v>
      </c>
      <c r="W995" s="3">
        <v>1327</v>
      </c>
      <c r="X995" s="3">
        <v>15.93</v>
      </c>
    </row>
    <row r="996" spans="1:24" hidden="1">
      <c r="A996" s="1">
        <v>45474</v>
      </c>
      <c r="B996" s="1" t="s">
        <v>1270</v>
      </c>
      <c r="C996" s="2" t="s">
        <v>1256</v>
      </c>
      <c r="D996" s="2" t="s">
        <v>279</v>
      </c>
      <c r="E996" s="2" t="s">
        <v>737</v>
      </c>
      <c r="F996" s="2" t="s">
        <v>489</v>
      </c>
      <c r="G996" s="2" t="s">
        <v>141</v>
      </c>
      <c r="H996" s="2" t="s">
        <v>597</v>
      </c>
      <c r="I996" t="s">
        <v>198</v>
      </c>
      <c r="J996" s="18">
        <v>19500.21</v>
      </c>
      <c r="K996" s="18">
        <v>21788.59</v>
      </c>
      <c r="L996" s="18">
        <v>20368.3627459362</v>
      </c>
      <c r="M996" s="18">
        <v>-840.06967028473196</v>
      </c>
      <c r="N996" s="18">
        <v>21988.59</v>
      </c>
      <c r="O996" s="18">
        <v>21588.59</v>
      </c>
      <c r="P996" s="3">
        <v>0</v>
      </c>
      <c r="Q996" s="3">
        <v>1</v>
      </c>
      <c r="R996" s="3">
        <v>0</v>
      </c>
      <c r="S996" s="3"/>
      <c r="T996" s="3" t="b">
        <v>0</v>
      </c>
      <c r="U996" s="3">
        <v>3517</v>
      </c>
      <c r="V996" s="3">
        <v>0</v>
      </c>
      <c r="W996" s="3">
        <v>1554</v>
      </c>
      <c r="X996" s="3">
        <v>13.75</v>
      </c>
    </row>
    <row r="997" spans="1:24" hidden="1">
      <c r="A997" s="1">
        <v>45505</v>
      </c>
      <c r="B997" s="1" t="s">
        <v>1271</v>
      </c>
      <c r="C997" s="2" t="s">
        <v>1256</v>
      </c>
      <c r="D997" s="2" t="s">
        <v>279</v>
      </c>
      <c r="E997" s="2" t="s">
        <v>737</v>
      </c>
      <c r="F997" s="2" t="s">
        <v>489</v>
      </c>
      <c r="G997" s="2" t="s">
        <v>141</v>
      </c>
      <c r="H997" s="2" t="s">
        <v>597</v>
      </c>
      <c r="I997" t="s">
        <v>198</v>
      </c>
      <c r="J997" s="18">
        <v>19781.05</v>
      </c>
      <c r="K997" s="18">
        <v>22096.15</v>
      </c>
      <c r="L997" s="18">
        <v>20400.452474632799</v>
      </c>
      <c r="M997" s="18">
        <v>-427.21391241068898</v>
      </c>
      <c r="N997" s="18">
        <v>22296.15</v>
      </c>
      <c r="O997" s="18">
        <v>21896.15</v>
      </c>
      <c r="P997" s="3">
        <v>0</v>
      </c>
      <c r="Q997" s="3">
        <v>1</v>
      </c>
      <c r="R997" s="3">
        <v>0</v>
      </c>
      <c r="S997" s="3"/>
      <c r="T997" s="3" t="b">
        <v>0</v>
      </c>
      <c r="U997" s="3">
        <v>3279</v>
      </c>
      <c r="V997" s="3">
        <v>1</v>
      </c>
      <c r="W997" s="3">
        <v>2722</v>
      </c>
      <c r="X997" s="3">
        <v>14.44</v>
      </c>
    </row>
    <row r="998" spans="1:24" hidden="1">
      <c r="A998" s="1">
        <v>45536</v>
      </c>
      <c r="B998" s="1" t="s">
        <v>1272</v>
      </c>
      <c r="C998" s="2" t="s">
        <v>1256</v>
      </c>
      <c r="D998" s="2" t="s">
        <v>279</v>
      </c>
      <c r="E998" s="2" t="s">
        <v>737</v>
      </c>
      <c r="F998" s="2" t="s">
        <v>489</v>
      </c>
      <c r="G998" s="2" t="s">
        <v>141</v>
      </c>
      <c r="H998" s="2" t="s">
        <v>597</v>
      </c>
      <c r="I998" t="s">
        <v>198</v>
      </c>
      <c r="J998" s="18">
        <v>25086.080000000002</v>
      </c>
      <c r="K998" s="18">
        <v>22067.16</v>
      </c>
      <c r="L998" s="18">
        <v>20432.5422033293</v>
      </c>
      <c r="M998" s="18">
        <v>3631.6019104787802</v>
      </c>
      <c r="N998" s="18">
        <v>22267.16</v>
      </c>
      <c r="O998" s="18">
        <v>21867.16</v>
      </c>
      <c r="P998" s="3">
        <v>0</v>
      </c>
      <c r="Q998" s="3">
        <v>1</v>
      </c>
      <c r="R998" s="3">
        <v>1</v>
      </c>
      <c r="S998" s="3"/>
      <c r="T998" s="3" t="b">
        <v>0</v>
      </c>
      <c r="U998" s="3">
        <v>2685</v>
      </c>
      <c r="V998" s="3">
        <v>0</v>
      </c>
      <c r="W998" s="3">
        <v>1301</v>
      </c>
      <c r="X998" s="3">
        <v>15.33</v>
      </c>
    </row>
    <row r="999" spans="1:24" hidden="1">
      <c r="A999" s="1">
        <v>45566</v>
      </c>
      <c r="B999" s="1" t="s">
        <v>1273</v>
      </c>
      <c r="C999" s="2" t="s">
        <v>1256</v>
      </c>
      <c r="D999" s="2" t="s">
        <v>279</v>
      </c>
      <c r="E999" s="2" t="s">
        <v>737</v>
      </c>
      <c r="F999" s="2" t="s">
        <v>489</v>
      </c>
      <c r="G999" s="2" t="s">
        <v>141</v>
      </c>
      <c r="H999" s="2" t="s">
        <v>597</v>
      </c>
      <c r="I999" t="s">
        <v>224</v>
      </c>
      <c r="J999" s="18"/>
      <c r="K999" s="18">
        <v>22317.02</v>
      </c>
      <c r="L999" s="18">
        <v>20463.596779487201</v>
      </c>
      <c r="M999" s="18">
        <v>271.08532447326502</v>
      </c>
      <c r="N999" s="18">
        <v>22517.02</v>
      </c>
      <c r="O999" s="18">
        <v>22117.02</v>
      </c>
      <c r="P999" s="3"/>
      <c r="Q999" s="3"/>
      <c r="R999" s="3"/>
      <c r="S999" s="3"/>
      <c r="T999" s="3"/>
      <c r="U999" s="3"/>
      <c r="V999" s="3"/>
      <c r="W999" s="3">
        <v>1199</v>
      </c>
      <c r="X999" s="3">
        <v>14.68</v>
      </c>
    </row>
    <row r="1000" spans="1:24" hidden="1">
      <c r="A1000" s="1">
        <v>45597</v>
      </c>
      <c r="B1000" s="1" t="s">
        <v>1274</v>
      </c>
      <c r="C1000" s="2" t="s">
        <v>1256</v>
      </c>
      <c r="D1000" s="2" t="s">
        <v>279</v>
      </c>
      <c r="E1000" s="2" t="s">
        <v>737</v>
      </c>
      <c r="F1000" s="2" t="s">
        <v>489</v>
      </c>
      <c r="G1000" s="2" t="s">
        <v>141</v>
      </c>
      <c r="H1000" s="2" t="s">
        <v>597</v>
      </c>
      <c r="I1000" t="s">
        <v>224</v>
      </c>
      <c r="J1000" s="18"/>
      <c r="K1000" s="18">
        <v>22781</v>
      </c>
      <c r="L1000" s="18">
        <v>20495.6865081838</v>
      </c>
      <c r="M1000" s="18">
        <v>469.73909397065199</v>
      </c>
      <c r="N1000" s="18">
        <v>22981</v>
      </c>
      <c r="O1000" s="18">
        <v>22581</v>
      </c>
      <c r="P1000" s="3"/>
      <c r="Q1000" s="3"/>
      <c r="R1000" s="3"/>
      <c r="S1000" s="3"/>
      <c r="T1000" s="3"/>
      <c r="U1000" s="3"/>
      <c r="V1000" s="3"/>
      <c r="W1000" s="3">
        <v>1892</v>
      </c>
      <c r="X1000" s="3">
        <v>15.97</v>
      </c>
    </row>
    <row r="1001" spans="1:24" hidden="1">
      <c r="A1001" s="1">
        <v>45627</v>
      </c>
      <c r="B1001" s="1" t="s">
        <v>1275</v>
      </c>
      <c r="C1001" s="2" t="s">
        <v>1256</v>
      </c>
      <c r="D1001" s="2" t="s">
        <v>279</v>
      </c>
      <c r="E1001" s="2" t="s">
        <v>737</v>
      </c>
      <c r="F1001" s="2" t="s">
        <v>489</v>
      </c>
      <c r="G1001" s="2" t="s">
        <v>141</v>
      </c>
      <c r="H1001" s="2" t="s">
        <v>597</v>
      </c>
      <c r="I1001" t="s">
        <v>224</v>
      </c>
      <c r="J1001" s="18"/>
      <c r="K1001" s="18">
        <v>22918.71</v>
      </c>
      <c r="L1001" s="18">
        <v>20526.741084341698</v>
      </c>
      <c r="M1001" s="18">
        <v>-1799.44985614862</v>
      </c>
      <c r="N1001" s="18">
        <v>23118.71</v>
      </c>
      <c r="O1001" s="18">
        <v>22718.71</v>
      </c>
      <c r="P1001" s="3"/>
      <c r="Q1001" s="3"/>
      <c r="R1001" s="3"/>
      <c r="S1001" s="3"/>
      <c r="T1001" s="3"/>
      <c r="U1001" s="3"/>
      <c r="V1001" s="3"/>
      <c r="W1001" s="3">
        <v>2442</v>
      </c>
      <c r="X1001" s="3">
        <v>15.87</v>
      </c>
    </row>
    <row r="1002" spans="1:24" hidden="1">
      <c r="A1002" s="1">
        <v>45017</v>
      </c>
      <c r="B1002" s="1" t="s">
        <v>1276</v>
      </c>
      <c r="C1002" s="2" t="s">
        <v>1277</v>
      </c>
      <c r="D1002" s="2" t="s">
        <v>279</v>
      </c>
      <c r="E1002" s="2" t="s">
        <v>737</v>
      </c>
      <c r="F1002" s="2" t="s">
        <v>522</v>
      </c>
      <c r="G1002" s="2" t="s">
        <v>141</v>
      </c>
      <c r="H1002" s="2" t="s">
        <v>315</v>
      </c>
      <c r="I1002" t="s">
        <v>198</v>
      </c>
      <c r="J1002" s="18">
        <v>19795.669999999998</v>
      </c>
      <c r="K1002" s="18"/>
      <c r="L1002" s="18">
        <v>16176.34198236</v>
      </c>
      <c r="M1002" s="18">
        <v>3619.4941979119999</v>
      </c>
      <c r="N1002" s="18"/>
      <c r="O1002" s="18"/>
      <c r="P1002" s="3">
        <v>0</v>
      </c>
      <c r="Q1002" s="3">
        <v>0</v>
      </c>
      <c r="R1002" s="3">
        <v>0</v>
      </c>
      <c r="S1002" s="3"/>
      <c r="T1002" s="3" t="b">
        <v>0</v>
      </c>
      <c r="U1002" s="3">
        <v>2992</v>
      </c>
      <c r="V1002" s="3">
        <v>2</v>
      </c>
      <c r="W1002" s="3">
        <v>2881</v>
      </c>
      <c r="X1002" s="3">
        <v>11.26</v>
      </c>
    </row>
    <row r="1003" spans="1:24" hidden="1">
      <c r="A1003" s="1">
        <v>45047</v>
      </c>
      <c r="B1003" s="1" t="s">
        <v>1278</v>
      </c>
      <c r="C1003" s="2" t="s">
        <v>1277</v>
      </c>
      <c r="D1003" s="2" t="s">
        <v>279</v>
      </c>
      <c r="E1003" s="2" t="s">
        <v>737</v>
      </c>
      <c r="F1003" s="2" t="s">
        <v>522</v>
      </c>
      <c r="G1003" s="2" t="s">
        <v>141</v>
      </c>
      <c r="H1003" s="2" t="s">
        <v>315</v>
      </c>
      <c r="I1003" t="s">
        <v>198</v>
      </c>
      <c r="J1003" s="18">
        <v>20638.95</v>
      </c>
      <c r="K1003" s="18"/>
      <c r="L1003" s="18">
        <v>22001.066998294398</v>
      </c>
      <c r="M1003" s="18">
        <v>-1362.29857304394</v>
      </c>
      <c r="N1003" s="18"/>
      <c r="O1003" s="18"/>
      <c r="P1003" s="3">
        <v>0</v>
      </c>
      <c r="Q1003" s="3">
        <v>0</v>
      </c>
      <c r="R1003" s="3">
        <v>0</v>
      </c>
      <c r="S1003" s="3"/>
      <c r="T1003" s="3" t="b">
        <v>0</v>
      </c>
      <c r="U1003" s="3">
        <v>4292</v>
      </c>
      <c r="V1003" s="3">
        <v>0</v>
      </c>
      <c r="W1003" s="3">
        <v>1491</v>
      </c>
      <c r="X1003" s="3">
        <v>10.6</v>
      </c>
    </row>
    <row r="1004" spans="1:24" hidden="1">
      <c r="A1004" s="1">
        <v>45078</v>
      </c>
      <c r="B1004" s="1" t="s">
        <v>1279</v>
      </c>
      <c r="C1004" s="2" t="s">
        <v>1277</v>
      </c>
      <c r="D1004" s="2" t="s">
        <v>279</v>
      </c>
      <c r="E1004" s="2" t="s">
        <v>737</v>
      </c>
      <c r="F1004" s="2" t="s">
        <v>522</v>
      </c>
      <c r="G1004" s="2" t="s">
        <v>141</v>
      </c>
      <c r="H1004" s="2" t="s">
        <v>315</v>
      </c>
      <c r="I1004" t="s">
        <v>198</v>
      </c>
      <c r="J1004" s="18">
        <v>20960.84</v>
      </c>
      <c r="K1004" s="18"/>
      <c r="L1004" s="18">
        <v>28019.949521824601</v>
      </c>
      <c r="M1004" s="18">
        <v>-7058.9339760187604</v>
      </c>
      <c r="N1004" s="18"/>
      <c r="O1004" s="18"/>
      <c r="P1004" s="3">
        <v>0</v>
      </c>
      <c r="Q1004" s="3">
        <v>0</v>
      </c>
      <c r="R1004" s="3">
        <v>0</v>
      </c>
      <c r="S1004" s="3"/>
      <c r="T1004" s="3" t="b">
        <v>0</v>
      </c>
      <c r="U1004" s="3">
        <v>3323</v>
      </c>
      <c r="V1004" s="3">
        <v>1</v>
      </c>
      <c r="W1004" s="3">
        <v>2931</v>
      </c>
      <c r="X1004" s="3">
        <v>11.29</v>
      </c>
    </row>
    <row r="1005" spans="1:24" hidden="1">
      <c r="A1005" s="1">
        <v>45108</v>
      </c>
      <c r="B1005" s="1" t="s">
        <v>1280</v>
      </c>
      <c r="C1005" s="2" t="s">
        <v>1277</v>
      </c>
      <c r="D1005" s="2" t="s">
        <v>279</v>
      </c>
      <c r="E1005" s="2" t="s">
        <v>737</v>
      </c>
      <c r="F1005" s="2" t="s">
        <v>522</v>
      </c>
      <c r="G1005" s="2" t="s">
        <v>141</v>
      </c>
      <c r="H1005" s="2" t="s">
        <v>315</v>
      </c>
      <c r="I1005" t="s">
        <v>198</v>
      </c>
      <c r="J1005" s="18">
        <v>21107.43</v>
      </c>
      <c r="K1005" s="18"/>
      <c r="L1005" s="18">
        <v>33844.674548959498</v>
      </c>
      <c r="M1005" s="18">
        <v>-12737.4243277393</v>
      </c>
      <c r="N1005" s="18"/>
      <c r="O1005" s="18"/>
      <c r="P1005" s="3">
        <v>0</v>
      </c>
      <c r="Q1005" s="3">
        <v>0</v>
      </c>
      <c r="R1005" s="3">
        <v>0</v>
      </c>
      <c r="S1005" s="3"/>
      <c r="T1005" s="3" t="b">
        <v>0</v>
      </c>
      <c r="U1005" s="3">
        <v>3385</v>
      </c>
      <c r="V1005" s="3">
        <v>0</v>
      </c>
      <c r="W1005" s="3">
        <v>2617</v>
      </c>
      <c r="X1005" s="3">
        <v>3</v>
      </c>
    </row>
    <row r="1006" spans="1:24" hidden="1">
      <c r="A1006" s="1">
        <v>45139</v>
      </c>
      <c r="B1006" s="1" t="s">
        <v>1281</v>
      </c>
      <c r="C1006" s="2" t="s">
        <v>1277</v>
      </c>
      <c r="D1006" s="2" t="s">
        <v>279</v>
      </c>
      <c r="E1006" s="2" t="s">
        <v>737</v>
      </c>
      <c r="F1006" s="2" t="s">
        <v>522</v>
      </c>
      <c r="G1006" s="2" t="s">
        <v>141</v>
      </c>
      <c r="H1006" s="2" t="s">
        <v>315</v>
      </c>
      <c r="I1006" t="s">
        <v>198</v>
      </c>
      <c r="J1006" s="18">
        <v>21279.53</v>
      </c>
      <c r="K1006" s="18"/>
      <c r="L1006" s="18">
        <v>39863.557080726998</v>
      </c>
      <c r="M1006" s="18">
        <v>-18583.9455002539</v>
      </c>
      <c r="N1006" s="18"/>
      <c r="O1006" s="18"/>
      <c r="P1006" s="3">
        <v>0</v>
      </c>
      <c r="Q1006" s="3">
        <v>0</v>
      </c>
      <c r="R1006" s="3">
        <v>0</v>
      </c>
      <c r="S1006" s="3"/>
      <c r="T1006" s="3" t="b">
        <v>0</v>
      </c>
      <c r="U1006" s="3">
        <v>4433</v>
      </c>
      <c r="V1006" s="3">
        <v>2</v>
      </c>
      <c r="W1006" s="3">
        <v>1008</v>
      </c>
      <c r="X1006" s="3">
        <v>10.33</v>
      </c>
    </row>
    <row r="1007" spans="1:24" hidden="1">
      <c r="A1007" s="1">
        <v>45170</v>
      </c>
      <c r="B1007" s="1" t="s">
        <v>1282</v>
      </c>
      <c r="C1007" s="2" t="s">
        <v>1277</v>
      </c>
      <c r="D1007" s="2" t="s">
        <v>279</v>
      </c>
      <c r="E1007" s="2" t="s">
        <v>737</v>
      </c>
      <c r="F1007" s="2" t="s">
        <v>522</v>
      </c>
      <c r="G1007" s="2" t="s">
        <v>141</v>
      </c>
      <c r="H1007" s="2" t="s">
        <v>315</v>
      </c>
      <c r="I1007" t="s">
        <v>198</v>
      </c>
      <c r="J1007" s="18">
        <v>22007.83</v>
      </c>
      <c r="K1007" s="18"/>
      <c r="L1007" s="18">
        <v>45882.439696039699</v>
      </c>
      <c r="M1007" s="18">
        <v>-23874.945718047002</v>
      </c>
      <c r="N1007" s="18"/>
      <c r="O1007" s="18"/>
      <c r="P1007" s="3">
        <v>0</v>
      </c>
      <c r="Q1007" s="3">
        <v>0</v>
      </c>
      <c r="R1007" s="3">
        <v>0</v>
      </c>
      <c r="S1007" s="3"/>
      <c r="T1007" s="3" t="b">
        <v>0</v>
      </c>
      <c r="U1007" s="3">
        <v>4806</v>
      </c>
      <c r="V1007" s="3">
        <v>0</v>
      </c>
      <c r="W1007" s="3">
        <v>2520</v>
      </c>
      <c r="X1007" s="3">
        <v>12.67</v>
      </c>
    </row>
    <row r="1008" spans="1:24" hidden="1">
      <c r="A1008" s="1">
        <v>45200</v>
      </c>
      <c r="B1008" s="1" t="s">
        <v>1283</v>
      </c>
      <c r="C1008" s="2" t="s">
        <v>1277</v>
      </c>
      <c r="D1008" s="2" t="s">
        <v>279</v>
      </c>
      <c r="E1008" s="2" t="s">
        <v>737</v>
      </c>
      <c r="F1008" s="2" t="s">
        <v>522</v>
      </c>
      <c r="G1008" s="2" t="s">
        <v>141</v>
      </c>
      <c r="H1008" s="2" t="s">
        <v>315</v>
      </c>
      <c r="I1008" t="s">
        <v>198</v>
      </c>
      <c r="J1008" s="18">
        <v>22515.08</v>
      </c>
      <c r="K1008" s="18"/>
      <c r="L1008" s="18">
        <v>51707.164794744</v>
      </c>
      <c r="M1008" s="18">
        <v>-29191.973276785298</v>
      </c>
      <c r="N1008" s="18"/>
      <c r="O1008" s="18"/>
      <c r="P1008" s="3">
        <v>0</v>
      </c>
      <c r="Q1008" s="3">
        <v>0</v>
      </c>
      <c r="R1008" s="3">
        <v>0</v>
      </c>
      <c r="S1008" s="3"/>
      <c r="T1008" s="3" t="b">
        <v>0</v>
      </c>
      <c r="U1008" s="3">
        <v>4461</v>
      </c>
      <c r="V1008" s="3">
        <v>0</v>
      </c>
      <c r="W1008" s="3">
        <v>2748</v>
      </c>
      <c r="X1008" s="3">
        <v>13.11</v>
      </c>
    </row>
    <row r="1009" spans="1:24" hidden="1">
      <c r="A1009" s="1">
        <v>45231</v>
      </c>
      <c r="B1009" s="1" t="s">
        <v>1284</v>
      </c>
      <c r="C1009" s="2" t="s">
        <v>1277</v>
      </c>
      <c r="D1009" s="2" t="s">
        <v>279</v>
      </c>
      <c r="E1009" s="2" t="s">
        <v>737</v>
      </c>
      <c r="F1009" s="2" t="s">
        <v>522</v>
      </c>
      <c r="G1009" s="2" t="s">
        <v>141</v>
      </c>
      <c r="H1009" s="2" t="s">
        <v>315</v>
      </c>
      <c r="I1009" t="s">
        <v>198</v>
      </c>
      <c r="J1009" s="18">
        <v>21997.96</v>
      </c>
      <c r="K1009" s="18"/>
      <c r="L1009" s="18">
        <v>57726.0474430381</v>
      </c>
      <c r="M1009" s="18">
        <v>-35728.179680361303</v>
      </c>
      <c r="N1009" s="18"/>
      <c r="O1009" s="18"/>
      <c r="P1009" s="3">
        <v>0</v>
      </c>
      <c r="Q1009" s="3">
        <v>0</v>
      </c>
      <c r="R1009" s="3">
        <v>0</v>
      </c>
      <c r="S1009" s="3"/>
      <c r="T1009" s="3" t="b">
        <v>0</v>
      </c>
      <c r="U1009" s="3">
        <v>3301</v>
      </c>
      <c r="V1009" s="3">
        <v>1</v>
      </c>
      <c r="W1009" s="3">
        <v>2583</v>
      </c>
      <c r="X1009" s="3">
        <v>12.69</v>
      </c>
    </row>
    <row r="1010" spans="1:24" hidden="1">
      <c r="A1010" s="1">
        <v>45261</v>
      </c>
      <c r="B1010" s="1" t="s">
        <v>1285</v>
      </c>
      <c r="C1010" s="2" t="s">
        <v>1277</v>
      </c>
      <c r="D1010" s="2" t="s">
        <v>279</v>
      </c>
      <c r="E1010" s="2" t="s">
        <v>737</v>
      </c>
      <c r="F1010" s="2" t="s">
        <v>522</v>
      </c>
      <c r="G1010" s="2" t="s">
        <v>141</v>
      </c>
      <c r="H1010" s="2" t="s">
        <v>315</v>
      </c>
      <c r="I1010" t="s">
        <v>198</v>
      </c>
      <c r="J1010" s="18">
        <v>22496.16</v>
      </c>
      <c r="K1010" s="18"/>
      <c r="L1010" s="18">
        <v>63550.772590432702</v>
      </c>
      <c r="M1010" s="18">
        <v>-41054.511101731601</v>
      </c>
      <c r="N1010" s="18"/>
      <c r="O1010" s="18"/>
      <c r="P1010" s="3">
        <v>0</v>
      </c>
      <c r="Q1010" s="3">
        <v>0</v>
      </c>
      <c r="R1010" s="3">
        <v>0</v>
      </c>
      <c r="S1010" s="3"/>
      <c r="T1010" s="3" t="b">
        <v>0</v>
      </c>
      <c r="U1010" s="3">
        <v>4762</v>
      </c>
      <c r="V1010" s="3">
        <v>0</v>
      </c>
      <c r="W1010" s="3">
        <v>1560</v>
      </c>
      <c r="X1010" s="3">
        <v>10.39</v>
      </c>
    </row>
    <row r="1011" spans="1:24" hidden="1">
      <c r="A1011" s="1">
        <v>45444</v>
      </c>
      <c r="B1011" s="1" t="s">
        <v>1286</v>
      </c>
      <c r="C1011" s="2" t="s">
        <v>1277</v>
      </c>
      <c r="D1011" s="2" t="s">
        <v>279</v>
      </c>
      <c r="E1011" s="2" t="s">
        <v>737</v>
      </c>
      <c r="F1011" s="2" t="s">
        <v>522</v>
      </c>
      <c r="G1011" s="2" t="s">
        <v>141</v>
      </c>
      <c r="H1011" s="2" t="s">
        <v>315</v>
      </c>
      <c r="I1011" t="s">
        <v>198</v>
      </c>
      <c r="J1011" s="18">
        <v>22510.720000000001</v>
      </c>
      <c r="K1011" s="18"/>
      <c r="L1011" s="18">
        <v>99081.595989539303</v>
      </c>
      <c r="M1011" s="18">
        <v>-76570.872445581204</v>
      </c>
      <c r="N1011" s="18"/>
      <c r="O1011" s="18"/>
      <c r="P1011" s="3">
        <v>0</v>
      </c>
      <c r="Q1011" s="3">
        <v>0</v>
      </c>
      <c r="R1011" s="3">
        <v>0</v>
      </c>
      <c r="S1011" s="3"/>
      <c r="T1011" s="3" t="b">
        <v>1</v>
      </c>
      <c r="U1011" s="3">
        <v>2015</v>
      </c>
      <c r="V1011" s="3">
        <v>1</v>
      </c>
      <c r="W1011" s="3">
        <v>2761</v>
      </c>
      <c r="X1011" s="3">
        <v>11.64</v>
      </c>
    </row>
    <row r="1012" spans="1:24" hidden="1">
      <c r="A1012" s="1">
        <v>44896</v>
      </c>
      <c r="B1012" s="1" t="s">
        <v>1287</v>
      </c>
      <c r="C1012" s="2" t="s">
        <v>1288</v>
      </c>
      <c r="D1012" s="2" t="s">
        <v>279</v>
      </c>
      <c r="E1012" s="2" t="s">
        <v>1289</v>
      </c>
      <c r="F1012" s="2" t="s">
        <v>281</v>
      </c>
      <c r="G1012" s="2" t="s">
        <v>1290</v>
      </c>
      <c r="H1012" s="2" t="s">
        <v>1291</v>
      </c>
      <c r="I1012" t="s">
        <v>198</v>
      </c>
      <c r="J1012" s="18">
        <v>14768.46</v>
      </c>
      <c r="K1012" s="18"/>
      <c r="L1012" s="18">
        <v>15035.76444528</v>
      </c>
      <c r="M1012" s="18">
        <v>-326.46703245842099</v>
      </c>
      <c r="N1012" s="18"/>
      <c r="O1012" s="18"/>
      <c r="P1012" s="3">
        <v>0</v>
      </c>
      <c r="Q1012" s="3">
        <v>0</v>
      </c>
      <c r="R1012" s="3">
        <v>0</v>
      </c>
      <c r="S1012" s="3"/>
      <c r="T1012" s="3" t="b">
        <v>1</v>
      </c>
      <c r="U1012" s="3">
        <v>2384</v>
      </c>
      <c r="V1012" s="3">
        <v>0</v>
      </c>
      <c r="W1012" s="3">
        <v>2566</v>
      </c>
      <c r="X1012" s="3">
        <v>12.96</v>
      </c>
    </row>
    <row r="1013" spans="1:24" hidden="1">
      <c r="A1013" s="1">
        <v>44927</v>
      </c>
      <c r="B1013" s="1" t="s">
        <v>1292</v>
      </c>
      <c r="C1013" s="2" t="s">
        <v>1288</v>
      </c>
      <c r="D1013" s="2" t="s">
        <v>279</v>
      </c>
      <c r="E1013" s="2" t="s">
        <v>1289</v>
      </c>
      <c r="F1013" s="2" t="s">
        <v>281</v>
      </c>
      <c r="G1013" s="2" t="s">
        <v>1290</v>
      </c>
      <c r="H1013" s="2" t="s">
        <v>1291</v>
      </c>
      <c r="I1013" t="s">
        <v>198</v>
      </c>
      <c r="J1013" s="18">
        <v>14878.76</v>
      </c>
      <c r="K1013" s="18"/>
      <c r="L1013" s="18">
        <v>15064.1956763773</v>
      </c>
      <c r="M1013" s="18">
        <v>-271.16645732045498</v>
      </c>
      <c r="N1013" s="18"/>
      <c r="O1013" s="18"/>
      <c r="P1013" s="3">
        <v>0</v>
      </c>
      <c r="Q1013" s="3">
        <v>0</v>
      </c>
      <c r="R1013" s="3">
        <v>0</v>
      </c>
      <c r="S1013" s="3"/>
      <c r="T1013" s="3" t="b">
        <v>1</v>
      </c>
      <c r="U1013" s="3">
        <v>2059</v>
      </c>
      <c r="V1013" s="3">
        <v>0</v>
      </c>
      <c r="W1013" s="3">
        <v>2609</v>
      </c>
      <c r="X1013" s="3">
        <v>13.62</v>
      </c>
    </row>
    <row r="1014" spans="1:24" hidden="1">
      <c r="A1014" s="1">
        <v>44958</v>
      </c>
      <c r="B1014" s="1" t="s">
        <v>1293</v>
      </c>
      <c r="C1014" s="2" t="s">
        <v>1288</v>
      </c>
      <c r="D1014" s="2" t="s">
        <v>279</v>
      </c>
      <c r="E1014" s="2" t="s">
        <v>1289</v>
      </c>
      <c r="F1014" s="2" t="s">
        <v>281</v>
      </c>
      <c r="G1014" s="2" t="s">
        <v>1290</v>
      </c>
      <c r="H1014" s="2" t="s">
        <v>1291</v>
      </c>
      <c r="I1014" t="s">
        <v>198</v>
      </c>
      <c r="J1014" s="18">
        <v>14704.29</v>
      </c>
      <c r="K1014" s="18"/>
      <c r="L1014" s="18">
        <v>15092.626907149101</v>
      </c>
      <c r="M1014" s="18">
        <v>-114.46992447201001</v>
      </c>
      <c r="N1014" s="18"/>
      <c r="O1014" s="18"/>
      <c r="P1014" s="3">
        <v>0</v>
      </c>
      <c r="Q1014" s="3">
        <v>0</v>
      </c>
      <c r="R1014" s="3">
        <v>0</v>
      </c>
      <c r="S1014" s="3"/>
      <c r="T1014" s="3" t="b">
        <v>0</v>
      </c>
      <c r="U1014" s="3">
        <v>3130</v>
      </c>
      <c r="V1014" s="3">
        <v>0</v>
      </c>
      <c r="W1014" s="3">
        <v>2554</v>
      </c>
      <c r="X1014" s="3">
        <v>10.34</v>
      </c>
    </row>
    <row r="1015" spans="1:24" hidden="1">
      <c r="A1015" s="1">
        <v>44986</v>
      </c>
      <c r="B1015" s="1" t="s">
        <v>1294</v>
      </c>
      <c r="C1015" s="2" t="s">
        <v>1288</v>
      </c>
      <c r="D1015" s="2" t="s">
        <v>279</v>
      </c>
      <c r="E1015" s="2" t="s">
        <v>1289</v>
      </c>
      <c r="F1015" s="2" t="s">
        <v>281</v>
      </c>
      <c r="G1015" s="2" t="s">
        <v>1290</v>
      </c>
      <c r="H1015" s="2" t="s">
        <v>1291</v>
      </c>
      <c r="I1015" t="s">
        <v>198</v>
      </c>
      <c r="J1015" s="18">
        <v>15184.54</v>
      </c>
      <c r="K1015" s="18"/>
      <c r="L1015" s="18">
        <v>15118.3067281289</v>
      </c>
      <c r="M1015" s="18">
        <v>122.38508806345</v>
      </c>
      <c r="N1015" s="18"/>
      <c r="O1015" s="18"/>
      <c r="P1015" s="3">
        <v>0</v>
      </c>
      <c r="Q1015" s="3">
        <v>0</v>
      </c>
      <c r="R1015" s="3">
        <v>0</v>
      </c>
      <c r="S1015" s="3"/>
      <c r="T1015" s="3" t="b">
        <v>0</v>
      </c>
      <c r="U1015" s="3">
        <v>2219</v>
      </c>
      <c r="V1015" s="3">
        <v>0</v>
      </c>
      <c r="W1015" s="3">
        <v>2179</v>
      </c>
      <c r="X1015" s="3">
        <v>12.78</v>
      </c>
    </row>
    <row r="1016" spans="1:24" hidden="1">
      <c r="A1016" s="1">
        <v>45017</v>
      </c>
      <c r="B1016" s="1" t="s">
        <v>1295</v>
      </c>
      <c r="C1016" s="2" t="s">
        <v>1288</v>
      </c>
      <c r="D1016" s="2" t="s">
        <v>279</v>
      </c>
      <c r="E1016" s="2" t="s">
        <v>1289</v>
      </c>
      <c r="F1016" s="2" t="s">
        <v>281</v>
      </c>
      <c r="G1016" s="2" t="s">
        <v>1290</v>
      </c>
      <c r="H1016" s="2" t="s">
        <v>1291</v>
      </c>
      <c r="I1016" t="s">
        <v>198</v>
      </c>
      <c r="J1016" s="18">
        <v>15183.36</v>
      </c>
      <c r="K1016" s="18"/>
      <c r="L1016" s="18">
        <v>15146.737958036199</v>
      </c>
      <c r="M1016" s="18">
        <v>3.21677411164467</v>
      </c>
      <c r="N1016" s="18"/>
      <c r="O1016" s="18"/>
      <c r="P1016" s="3">
        <v>0</v>
      </c>
      <c r="Q1016" s="3">
        <v>0</v>
      </c>
      <c r="R1016" s="3">
        <v>0</v>
      </c>
      <c r="S1016" s="3"/>
      <c r="T1016" s="3" t="b">
        <v>0</v>
      </c>
      <c r="U1016" s="3">
        <v>3464</v>
      </c>
      <c r="V1016" s="3">
        <v>0</v>
      </c>
      <c r="W1016" s="3">
        <v>2872</v>
      </c>
      <c r="X1016" s="3">
        <v>12.24</v>
      </c>
    </row>
    <row r="1017" spans="1:24" hidden="1">
      <c r="A1017" s="1">
        <v>45047</v>
      </c>
      <c r="B1017" s="1" t="s">
        <v>1296</v>
      </c>
      <c r="C1017" s="2" t="s">
        <v>1288</v>
      </c>
      <c r="D1017" s="2" t="s">
        <v>279</v>
      </c>
      <c r="E1017" s="2" t="s">
        <v>1289</v>
      </c>
      <c r="F1017" s="2" t="s">
        <v>281</v>
      </c>
      <c r="G1017" s="2" t="s">
        <v>1290</v>
      </c>
      <c r="H1017" s="2" t="s">
        <v>1291</v>
      </c>
      <c r="I1017" t="s">
        <v>198</v>
      </c>
      <c r="J1017" s="18">
        <v>15350.67</v>
      </c>
      <c r="K1017" s="18"/>
      <c r="L1017" s="18">
        <v>15174.2520513086</v>
      </c>
      <c r="M1017" s="18">
        <v>134.105938070593</v>
      </c>
      <c r="N1017" s="18"/>
      <c r="O1017" s="18"/>
      <c r="P1017" s="3">
        <v>0</v>
      </c>
      <c r="Q1017" s="3">
        <v>0</v>
      </c>
      <c r="R1017" s="3">
        <v>0</v>
      </c>
      <c r="S1017" s="3"/>
      <c r="T1017" s="3" t="b">
        <v>0</v>
      </c>
      <c r="U1017" s="3">
        <v>4818</v>
      </c>
      <c r="V1017" s="3">
        <v>0</v>
      </c>
      <c r="W1017" s="3">
        <v>1667</v>
      </c>
      <c r="X1017" s="3">
        <v>11.14</v>
      </c>
    </row>
    <row r="1018" spans="1:24" hidden="1">
      <c r="A1018" s="1">
        <v>45078</v>
      </c>
      <c r="B1018" s="1" t="s">
        <v>1297</v>
      </c>
      <c r="C1018" s="2" t="s">
        <v>1288</v>
      </c>
      <c r="D1018" s="2" t="s">
        <v>279</v>
      </c>
      <c r="E1018" s="2" t="s">
        <v>1289</v>
      </c>
      <c r="F1018" s="2" t="s">
        <v>281</v>
      </c>
      <c r="G1018" s="2" t="s">
        <v>1290</v>
      </c>
      <c r="H1018" s="2" t="s">
        <v>1291</v>
      </c>
      <c r="I1018" t="s">
        <v>198</v>
      </c>
      <c r="J1018" s="18">
        <v>15712.62</v>
      </c>
      <c r="K1018" s="18"/>
      <c r="L1018" s="18">
        <v>15202.655515800599</v>
      </c>
      <c r="M1018" s="18">
        <v>374.578065311302</v>
      </c>
      <c r="N1018" s="18"/>
      <c r="O1018" s="18"/>
      <c r="P1018" s="3">
        <v>0</v>
      </c>
      <c r="Q1018" s="3">
        <v>0</v>
      </c>
      <c r="R1018" s="3">
        <v>0</v>
      </c>
      <c r="S1018" s="3"/>
      <c r="T1018" s="3" t="b">
        <v>0</v>
      </c>
      <c r="U1018" s="3">
        <v>3906</v>
      </c>
      <c r="V1018" s="3">
        <v>0</v>
      </c>
      <c r="W1018" s="3">
        <v>1146</v>
      </c>
      <c r="X1018" s="3">
        <v>8.6199999999999992</v>
      </c>
    </row>
    <row r="1019" spans="1:24" hidden="1">
      <c r="A1019" s="1">
        <v>45108</v>
      </c>
      <c r="B1019" s="1" t="s">
        <v>1298</v>
      </c>
      <c r="C1019" s="2" t="s">
        <v>1288</v>
      </c>
      <c r="D1019" s="2" t="s">
        <v>279</v>
      </c>
      <c r="E1019" s="2" t="s">
        <v>1289</v>
      </c>
      <c r="F1019" s="2" t="s">
        <v>281</v>
      </c>
      <c r="G1019" s="2" t="s">
        <v>1290</v>
      </c>
      <c r="H1019" s="2" t="s">
        <v>1291</v>
      </c>
      <c r="I1019" t="s">
        <v>198</v>
      </c>
      <c r="J1019" s="18">
        <v>15831.72</v>
      </c>
      <c r="K1019" s="18"/>
      <c r="L1019" s="18">
        <v>15082.423144448199</v>
      </c>
      <c r="M1019" s="18">
        <v>610.21604896062399</v>
      </c>
      <c r="N1019" s="18"/>
      <c r="O1019" s="18"/>
      <c r="P1019" s="3">
        <v>0</v>
      </c>
      <c r="Q1019" s="3">
        <v>0</v>
      </c>
      <c r="R1019" s="3">
        <v>0</v>
      </c>
      <c r="S1019" s="3"/>
      <c r="T1019" s="3" t="b">
        <v>0</v>
      </c>
      <c r="U1019" s="3">
        <v>4611</v>
      </c>
      <c r="V1019" s="3">
        <v>0</v>
      </c>
      <c r="W1019" s="3">
        <v>2508</v>
      </c>
      <c r="X1019" s="3">
        <v>13.39</v>
      </c>
    </row>
    <row r="1020" spans="1:24" hidden="1">
      <c r="A1020" s="1">
        <v>45139</v>
      </c>
      <c r="B1020" s="1" t="s">
        <v>1299</v>
      </c>
      <c r="C1020" s="2" t="s">
        <v>1288</v>
      </c>
      <c r="D1020" s="2" t="s">
        <v>279</v>
      </c>
      <c r="E1020" s="2" t="s">
        <v>1289</v>
      </c>
      <c r="F1020" s="2" t="s">
        <v>281</v>
      </c>
      <c r="G1020" s="2" t="s">
        <v>1290</v>
      </c>
      <c r="H1020" s="2" t="s">
        <v>1291</v>
      </c>
      <c r="I1020" t="s">
        <v>198</v>
      </c>
      <c r="J1020" s="18">
        <v>15524.81</v>
      </c>
      <c r="K1020" s="18"/>
      <c r="L1020" s="18">
        <v>14957.537883507701</v>
      </c>
      <c r="M1020" s="18">
        <v>716.50580588438402</v>
      </c>
      <c r="N1020" s="18"/>
      <c r="O1020" s="18"/>
      <c r="P1020" s="3">
        <v>0</v>
      </c>
      <c r="Q1020" s="3">
        <v>0</v>
      </c>
      <c r="R1020" s="3">
        <v>0</v>
      </c>
      <c r="S1020" s="3"/>
      <c r="T1020" s="3" t="b">
        <v>0</v>
      </c>
      <c r="U1020" s="3">
        <v>3595</v>
      </c>
      <c r="V1020" s="3">
        <v>0</v>
      </c>
      <c r="W1020" s="3">
        <v>1598</v>
      </c>
      <c r="X1020" s="3">
        <v>11.7</v>
      </c>
    </row>
    <row r="1021" spans="1:24" hidden="1">
      <c r="A1021" s="1">
        <v>45170</v>
      </c>
      <c r="B1021" s="1" t="s">
        <v>1300</v>
      </c>
      <c r="C1021" s="2" t="s">
        <v>1288</v>
      </c>
      <c r="D1021" s="2" t="s">
        <v>279</v>
      </c>
      <c r="E1021" s="2" t="s">
        <v>1289</v>
      </c>
      <c r="F1021" s="2" t="s">
        <v>281</v>
      </c>
      <c r="G1021" s="2" t="s">
        <v>1290</v>
      </c>
      <c r="H1021" s="2" t="s">
        <v>1291</v>
      </c>
      <c r="I1021" t="s">
        <v>198</v>
      </c>
      <c r="J1021" s="18">
        <v>14562.64</v>
      </c>
      <c r="K1021" s="18"/>
      <c r="L1021" s="18">
        <v>14832.652622346999</v>
      </c>
      <c r="M1021" s="18">
        <v>-253.40544739844299</v>
      </c>
      <c r="N1021" s="18"/>
      <c r="O1021" s="18"/>
      <c r="P1021" s="3">
        <v>0</v>
      </c>
      <c r="Q1021" s="3">
        <v>0</v>
      </c>
      <c r="R1021" s="3">
        <v>1</v>
      </c>
      <c r="S1021" s="3"/>
      <c r="T1021" s="3" t="b">
        <v>0</v>
      </c>
      <c r="U1021" s="3">
        <v>4593</v>
      </c>
      <c r="V1021" s="3">
        <v>0</v>
      </c>
      <c r="W1021" s="3">
        <v>1019</v>
      </c>
      <c r="X1021" s="3">
        <v>12.85</v>
      </c>
    </row>
    <row r="1022" spans="1:24" hidden="1">
      <c r="A1022" s="1">
        <v>45200</v>
      </c>
      <c r="B1022" s="1" t="s">
        <v>1301</v>
      </c>
      <c r="C1022" s="2" t="s">
        <v>1288</v>
      </c>
      <c r="D1022" s="2" t="s">
        <v>279</v>
      </c>
      <c r="E1022" s="2" t="s">
        <v>1289</v>
      </c>
      <c r="F1022" s="2" t="s">
        <v>281</v>
      </c>
      <c r="G1022" s="2" t="s">
        <v>1290</v>
      </c>
      <c r="H1022" s="2" t="s">
        <v>1291</v>
      </c>
      <c r="I1022" t="s">
        <v>198</v>
      </c>
      <c r="J1022" s="18">
        <v>14204.16</v>
      </c>
      <c r="K1022" s="18"/>
      <c r="L1022" s="18">
        <v>14711.742069469799</v>
      </c>
      <c r="M1022" s="18">
        <v>-509.80746302544202</v>
      </c>
      <c r="N1022" s="18"/>
      <c r="O1022" s="18"/>
      <c r="P1022" s="3">
        <v>0</v>
      </c>
      <c r="Q1022" s="3">
        <v>1</v>
      </c>
      <c r="R1022" s="3">
        <v>0</v>
      </c>
      <c r="S1022" s="3"/>
      <c r="T1022" s="3" t="b">
        <v>1</v>
      </c>
      <c r="U1022" s="3">
        <v>2095</v>
      </c>
      <c r="V1022" s="3">
        <v>0</v>
      </c>
      <c r="W1022" s="3">
        <v>2292</v>
      </c>
      <c r="X1022" s="3">
        <v>12.69</v>
      </c>
    </row>
    <row r="1023" spans="1:24" hidden="1">
      <c r="A1023" s="1">
        <v>45231</v>
      </c>
      <c r="B1023" s="1" t="s">
        <v>1302</v>
      </c>
      <c r="C1023" s="2" t="s">
        <v>1288</v>
      </c>
      <c r="D1023" s="2" t="s">
        <v>279</v>
      </c>
      <c r="E1023" s="2" t="s">
        <v>1289</v>
      </c>
      <c r="F1023" s="2" t="s">
        <v>281</v>
      </c>
      <c r="G1023" s="2" t="s">
        <v>1290</v>
      </c>
      <c r="H1023" s="2" t="s">
        <v>1291</v>
      </c>
      <c r="I1023" t="s">
        <v>198</v>
      </c>
      <c r="J1023" s="18">
        <v>13960.52</v>
      </c>
      <c r="K1023" s="18"/>
      <c r="L1023" s="18">
        <v>14586.8011632424</v>
      </c>
      <c r="M1023" s="18">
        <v>-624.55234409213006</v>
      </c>
      <c r="N1023" s="18"/>
      <c r="O1023" s="18"/>
      <c r="P1023" s="3">
        <v>0</v>
      </c>
      <c r="Q1023" s="3">
        <v>1</v>
      </c>
      <c r="R1023" s="3">
        <v>0</v>
      </c>
      <c r="S1023" s="3"/>
      <c r="T1023" s="3" t="b">
        <v>0</v>
      </c>
      <c r="U1023" s="3">
        <v>2988</v>
      </c>
      <c r="V1023" s="3">
        <v>0</v>
      </c>
      <c r="W1023" s="3">
        <v>1332</v>
      </c>
      <c r="X1023" s="3">
        <v>12.87</v>
      </c>
    </row>
    <row r="1024" spans="1:24" hidden="1">
      <c r="A1024" s="1">
        <v>45261</v>
      </c>
      <c r="B1024" s="1" t="s">
        <v>1303</v>
      </c>
      <c r="C1024" s="2" t="s">
        <v>1288</v>
      </c>
      <c r="D1024" s="2" t="s">
        <v>279</v>
      </c>
      <c r="E1024" s="2" t="s">
        <v>1289</v>
      </c>
      <c r="F1024" s="2" t="s">
        <v>281</v>
      </c>
      <c r="G1024" s="2" t="s">
        <v>1290</v>
      </c>
      <c r="H1024" s="2" t="s">
        <v>1291</v>
      </c>
      <c r="I1024" t="s">
        <v>198</v>
      </c>
      <c r="J1024" s="18">
        <v>14103.93</v>
      </c>
      <c r="K1024" s="18"/>
      <c r="L1024" s="18">
        <v>14465.819563713199</v>
      </c>
      <c r="M1024" s="18">
        <v>-305.49766442563902</v>
      </c>
      <c r="N1024" s="18"/>
      <c r="O1024" s="18"/>
      <c r="P1024" s="3">
        <v>0</v>
      </c>
      <c r="Q1024" s="3">
        <v>1</v>
      </c>
      <c r="R1024" s="3">
        <v>0</v>
      </c>
      <c r="S1024" s="3"/>
      <c r="T1024" s="3" t="b">
        <v>0</v>
      </c>
      <c r="U1024" s="3">
        <v>3112</v>
      </c>
      <c r="V1024" s="3">
        <v>0</v>
      </c>
      <c r="W1024" s="3">
        <v>2578</v>
      </c>
      <c r="X1024" s="3">
        <v>13.27</v>
      </c>
    </row>
    <row r="1025" spans="1:24" hidden="1">
      <c r="A1025" s="1">
        <v>45292</v>
      </c>
      <c r="B1025" s="1" t="s">
        <v>1304</v>
      </c>
      <c r="C1025" s="2" t="s">
        <v>1288</v>
      </c>
      <c r="D1025" s="2" t="s">
        <v>279</v>
      </c>
      <c r="E1025" s="2" t="s">
        <v>1289</v>
      </c>
      <c r="F1025" s="2" t="s">
        <v>281</v>
      </c>
      <c r="G1025" s="2" t="s">
        <v>1290</v>
      </c>
      <c r="H1025" s="2" t="s">
        <v>1291</v>
      </c>
      <c r="I1025" t="s">
        <v>198</v>
      </c>
      <c r="J1025" s="18">
        <v>13957.76</v>
      </c>
      <c r="K1025" s="18"/>
      <c r="L1025" s="18">
        <v>14340.8052442516</v>
      </c>
      <c r="M1025" s="18">
        <v>-293.82199853161001</v>
      </c>
      <c r="N1025" s="18"/>
      <c r="O1025" s="18"/>
      <c r="P1025" s="3">
        <v>0</v>
      </c>
      <c r="Q1025" s="3">
        <v>1</v>
      </c>
      <c r="R1025" s="3">
        <v>0</v>
      </c>
      <c r="S1025" s="3"/>
      <c r="T1025" s="3" t="b">
        <v>0</v>
      </c>
      <c r="U1025" s="3">
        <v>4875</v>
      </c>
      <c r="V1025" s="3">
        <v>0</v>
      </c>
      <c r="W1025" s="3">
        <v>1906</v>
      </c>
      <c r="X1025" s="3">
        <v>12.19</v>
      </c>
    </row>
    <row r="1026" spans="1:24" hidden="1">
      <c r="A1026" s="1">
        <v>45323</v>
      </c>
      <c r="B1026" s="1" t="s">
        <v>1305</v>
      </c>
      <c r="C1026" s="2" t="s">
        <v>1288</v>
      </c>
      <c r="D1026" s="2" t="s">
        <v>279</v>
      </c>
      <c r="E1026" s="2" t="s">
        <v>1289</v>
      </c>
      <c r="F1026" s="2" t="s">
        <v>281</v>
      </c>
      <c r="G1026" s="2" t="s">
        <v>1290</v>
      </c>
      <c r="H1026" s="2" t="s">
        <v>1291</v>
      </c>
      <c r="I1026" t="s">
        <v>198</v>
      </c>
      <c r="J1026" s="18">
        <v>14394.56</v>
      </c>
      <c r="K1026" s="18"/>
      <c r="L1026" s="18">
        <v>14215.790923074601</v>
      </c>
      <c r="M1026" s="18">
        <v>-96.196410234717405</v>
      </c>
      <c r="N1026" s="18"/>
      <c r="O1026" s="18"/>
      <c r="P1026" s="3">
        <v>0</v>
      </c>
      <c r="Q1026" s="3">
        <v>1</v>
      </c>
      <c r="R1026" s="3">
        <v>0</v>
      </c>
      <c r="S1026" s="3"/>
      <c r="T1026" s="3" t="b">
        <v>0</v>
      </c>
      <c r="U1026" s="3">
        <v>3945</v>
      </c>
      <c r="V1026" s="3">
        <v>1</v>
      </c>
      <c r="W1026" s="3">
        <v>1943</v>
      </c>
      <c r="X1026" s="3">
        <v>13.62</v>
      </c>
    </row>
    <row r="1027" spans="1:24" hidden="1">
      <c r="A1027" s="1">
        <v>45352</v>
      </c>
      <c r="B1027" s="1" t="s">
        <v>1306</v>
      </c>
      <c r="C1027" s="2" t="s">
        <v>1288</v>
      </c>
      <c r="D1027" s="2" t="s">
        <v>279</v>
      </c>
      <c r="E1027" s="2" t="s">
        <v>1289</v>
      </c>
      <c r="F1027" s="2" t="s">
        <v>281</v>
      </c>
      <c r="G1027" s="2" t="s">
        <v>1290</v>
      </c>
      <c r="H1027" s="2" t="s">
        <v>1291</v>
      </c>
      <c r="I1027" t="s">
        <v>198</v>
      </c>
      <c r="J1027" s="18">
        <v>14308.09</v>
      </c>
      <c r="K1027" s="18"/>
      <c r="L1027" s="18">
        <v>14063.3248867442</v>
      </c>
      <c r="M1027" s="18">
        <v>186.57357763088601</v>
      </c>
      <c r="N1027" s="18"/>
      <c r="O1027" s="18"/>
      <c r="P1027" s="3">
        <v>0</v>
      </c>
      <c r="Q1027" s="3">
        <v>1</v>
      </c>
      <c r="R1027" s="3">
        <v>0</v>
      </c>
      <c r="S1027" s="3"/>
      <c r="T1027" s="3" t="b">
        <v>0</v>
      </c>
      <c r="U1027" s="3">
        <v>4278</v>
      </c>
      <c r="V1027" s="3">
        <v>0</v>
      </c>
      <c r="W1027" s="3">
        <v>1910</v>
      </c>
      <c r="X1027" s="3">
        <v>11.2</v>
      </c>
    </row>
    <row r="1028" spans="1:24" hidden="1">
      <c r="A1028" s="1">
        <v>45383</v>
      </c>
      <c r="B1028" s="1" t="s">
        <v>1307</v>
      </c>
      <c r="C1028" s="2" t="s">
        <v>1288</v>
      </c>
      <c r="D1028" s="2" t="s">
        <v>279</v>
      </c>
      <c r="E1028" s="2" t="s">
        <v>1289</v>
      </c>
      <c r="F1028" s="2" t="s">
        <v>281</v>
      </c>
      <c r="G1028" s="2" t="s">
        <v>1290</v>
      </c>
      <c r="H1028" s="2" t="s">
        <v>1291</v>
      </c>
      <c r="I1028" t="s">
        <v>198</v>
      </c>
      <c r="J1028" s="18">
        <v>13796.87</v>
      </c>
      <c r="K1028" s="18"/>
      <c r="L1028" s="18">
        <v>13900.189678987799</v>
      </c>
      <c r="M1028" s="18">
        <v>-66.613166357075102</v>
      </c>
      <c r="N1028" s="18"/>
      <c r="O1028" s="18"/>
      <c r="P1028" s="3">
        <v>0</v>
      </c>
      <c r="Q1028" s="3">
        <v>1</v>
      </c>
      <c r="R1028" s="3">
        <v>0</v>
      </c>
      <c r="S1028" s="3"/>
      <c r="T1028" s="3" t="b">
        <v>0</v>
      </c>
      <c r="U1028" s="3">
        <v>2967</v>
      </c>
      <c r="V1028" s="3">
        <v>0</v>
      </c>
      <c r="W1028" s="3">
        <v>1400</v>
      </c>
      <c r="X1028" s="3">
        <v>12.09</v>
      </c>
    </row>
    <row r="1029" spans="1:24" hidden="1">
      <c r="A1029" s="1">
        <v>45413</v>
      </c>
      <c r="B1029" s="1" t="s">
        <v>1308</v>
      </c>
      <c r="C1029" s="2" t="s">
        <v>1288</v>
      </c>
      <c r="D1029" s="2" t="s">
        <v>279</v>
      </c>
      <c r="E1029" s="2" t="s">
        <v>1289</v>
      </c>
      <c r="F1029" s="2" t="s">
        <v>281</v>
      </c>
      <c r="G1029" s="2" t="s">
        <v>1290</v>
      </c>
      <c r="H1029" s="2" t="s">
        <v>1291</v>
      </c>
      <c r="I1029" t="s">
        <v>198</v>
      </c>
      <c r="J1029" s="18">
        <v>13913.23</v>
      </c>
      <c r="K1029" s="18"/>
      <c r="L1029" s="18">
        <v>13742.3168979686</v>
      </c>
      <c r="M1029" s="18">
        <v>211.794493808949</v>
      </c>
      <c r="N1029" s="18"/>
      <c r="O1029" s="18"/>
      <c r="P1029" s="3">
        <v>0</v>
      </c>
      <c r="Q1029" s="3">
        <v>1</v>
      </c>
      <c r="R1029" s="3">
        <v>0</v>
      </c>
      <c r="S1029" s="3"/>
      <c r="T1029" s="3" t="b">
        <v>0</v>
      </c>
      <c r="U1029" s="3">
        <v>4322</v>
      </c>
      <c r="V1029" s="3">
        <v>0</v>
      </c>
      <c r="W1029" s="3">
        <v>1949</v>
      </c>
      <c r="X1029" s="3">
        <v>11.73</v>
      </c>
    </row>
    <row r="1030" spans="1:24" hidden="1">
      <c r="A1030" s="1">
        <v>45444</v>
      </c>
      <c r="B1030" s="1" t="s">
        <v>1309</v>
      </c>
      <c r="C1030" s="2" t="s">
        <v>1288</v>
      </c>
      <c r="D1030" s="2" t="s">
        <v>279</v>
      </c>
      <c r="E1030" s="2" t="s">
        <v>1289</v>
      </c>
      <c r="F1030" s="2" t="s">
        <v>281</v>
      </c>
      <c r="G1030" s="2" t="s">
        <v>1290</v>
      </c>
      <c r="H1030" s="2" t="s">
        <v>1291</v>
      </c>
      <c r="I1030" t="s">
        <v>198</v>
      </c>
      <c r="J1030" s="18">
        <v>13744.63</v>
      </c>
      <c r="K1030" s="18"/>
      <c r="L1030" s="18">
        <v>13579.1816909155</v>
      </c>
      <c r="M1030" s="18">
        <v>305.95321285002001</v>
      </c>
      <c r="N1030" s="18"/>
      <c r="O1030" s="18"/>
      <c r="P1030" s="3">
        <v>0</v>
      </c>
      <c r="Q1030" s="3">
        <v>1</v>
      </c>
      <c r="R1030" s="3">
        <v>0</v>
      </c>
      <c r="S1030" s="3"/>
      <c r="T1030" s="3" t="b">
        <v>1</v>
      </c>
      <c r="U1030" s="3">
        <v>2245</v>
      </c>
      <c r="V1030" s="3">
        <v>0</v>
      </c>
      <c r="W1030" s="3">
        <v>2329</v>
      </c>
      <c r="X1030" s="3">
        <v>3</v>
      </c>
    </row>
    <row r="1031" spans="1:24" hidden="1">
      <c r="A1031" s="1">
        <v>45474</v>
      </c>
      <c r="B1031" s="1" t="s">
        <v>1310</v>
      </c>
      <c r="C1031" s="2" t="s">
        <v>1288</v>
      </c>
      <c r="D1031" s="2" t="s">
        <v>279</v>
      </c>
      <c r="E1031" s="2" t="s">
        <v>1289</v>
      </c>
      <c r="F1031" s="2" t="s">
        <v>281</v>
      </c>
      <c r="G1031" s="2" t="s">
        <v>1290</v>
      </c>
      <c r="H1031" s="2" t="s">
        <v>1291</v>
      </c>
      <c r="I1031" t="s">
        <v>198</v>
      </c>
      <c r="J1031" s="18">
        <v>13983.35</v>
      </c>
      <c r="K1031" s="18">
        <v>16401.939999999999</v>
      </c>
      <c r="L1031" s="18">
        <v>13421.308909896299</v>
      </c>
      <c r="M1031" s="18">
        <v>693.885510097988</v>
      </c>
      <c r="N1031" s="18">
        <v>16601.939999999999</v>
      </c>
      <c r="O1031" s="18">
        <v>16201.94</v>
      </c>
      <c r="P1031" s="3">
        <v>0</v>
      </c>
      <c r="Q1031" s="3">
        <v>1</v>
      </c>
      <c r="R1031" s="3">
        <v>0</v>
      </c>
      <c r="S1031" s="3"/>
      <c r="T1031" s="3" t="b">
        <v>0</v>
      </c>
      <c r="U1031" s="3">
        <v>4158</v>
      </c>
      <c r="V1031" s="3">
        <v>0</v>
      </c>
      <c r="W1031" s="3">
        <v>1027</v>
      </c>
      <c r="X1031" s="3">
        <v>12.51</v>
      </c>
    </row>
    <row r="1032" spans="1:24" hidden="1">
      <c r="A1032" s="1">
        <v>45505</v>
      </c>
      <c r="B1032" s="1" t="s">
        <v>1311</v>
      </c>
      <c r="C1032" s="2" t="s">
        <v>1288</v>
      </c>
      <c r="D1032" s="2" t="s">
        <v>279</v>
      </c>
      <c r="E1032" s="2" t="s">
        <v>1289</v>
      </c>
      <c r="F1032" s="2" t="s">
        <v>281</v>
      </c>
      <c r="G1032" s="2" t="s">
        <v>1290</v>
      </c>
      <c r="H1032" s="2" t="s">
        <v>1291</v>
      </c>
      <c r="I1032" t="s">
        <v>198</v>
      </c>
      <c r="J1032" s="18">
        <v>14036.27</v>
      </c>
      <c r="K1032" s="18">
        <v>16470.59</v>
      </c>
      <c r="L1032" s="18">
        <v>13258.1737028431</v>
      </c>
      <c r="M1032" s="18">
        <v>626.75007722734904</v>
      </c>
      <c r="N1032" s="18">
        <v>16670.59</v>
      </c>
      <c r="O1032" s="18">
        <v>16270.59</v>
      </c>
      <c r="P1032" s="3">
        <v>0</v>
      </c>
      <c r="Q1032" s="3">
        <v>1</v>
      </c>
      <c r="R1032" s="3">
        <v>0</v>
      </c>
      <c r="S1032" s="3"/>
      <c r="T1032" s="3" t="b">
        <v>0</v>
      </c>
      <c r="U1032" s="3">
        <v>2233</v>
      </c>
      <c r="V1032" s="3">
        <v>0</v>
      </c>
      <c r="W1032" s="3">
        <v>1466</v>
      </c>
      <c r="X1032" s="3">
        <v>11.86</v>
      </c>
    </row>
    <row r="1033" spans="1:24" hidden="1">
      <c r="A1033" s="1">
        <v>45536</v>
      </c>
      <c r="B1033" s="1" t="s">
        <v>1312</v>
      </c>
      <c r="C1033" s="2" t="s">
        <v>1288</v>
      </c>
      <c r="D1033" s="2" t="s">
        <v>279</v>
      </c>
      <c r="E1033" s="2" t="s">
        <v>1289</v>
      </c>
      <c r="F1033" s="2" t="s">
        <v>281</v>
      </c>
      <c r="G1033" s="2" t="s">
        <v>1290</v>
      </c>
      <c r="H1033" s="2" t="s">
        <v>1291</v>
      </c>
      <c r="I1033" t="s">
        <v>198</v>
      </c>
      <c r="J1033" s="18">
        <v>12908.48</v>
      </c>
      <c r="K1033" s="18">
        <v>16452.21</v>
      </c>
      <c r="L1033" s="18">
        <v>13095.0384957899</v>
      </c>
      <c r="M1033" s="18">
        <v>-198.727295473238</v>
      </c>
      <c r="N1033" s="18">
        <v>16652.21</v>
      </c>
      <c r="O1033" s="18">
        <v>16252.21</v>
      </c>
      <c r="P1033" s="3">
        <v>0</v>
      </c>
      <c r="Q1033" s="3">
        <v>1</v>
      </c>
      <c r="R1033" s="3">
        <v>1</v>
      </c>
      <c r="S1033" s="3"/>
      <c r="T1033" s="3" t="b">
        <v>0</v>
      </c>
      <c r="U1033" s="3">
        <v>4464</v>
      </c>
      <c r="V1033" s="3">
        <v>0</v>
      </c>
      <c r="W1033" s="3">
        <v>2283</v>
      </c>
      <c r="X1033" s="3">
        <v>13.31</v>
      </c>
    </row>
    <row r="1034" spans="1:24" hidden="1">
      <c r="A1034" s="1">
        <v>45566</v>
      </c>
      <c r="B1034" s="1" t="s">
        <v>1313</v>
      </c>
      <c r="C1034" s="2" t="s">
        <v>1288</v>
      </c>
      <c r="D1034" s="2" t="s">
        <v>279</v>
      </c>
      <c r="E1034" s="2" t="s">
        <v>1289</v>
      </c>
      <c r="F1034" s="2" t="s">
        <v>281</v>
      </c>
      <c r="G1034" s="2" t="s">
        <v>1290</v>
      </c>
      <c r="H1034" s="2" t="s">
        <v>1291</v>
      </c>
      <c r="I1034" t="s">
        <v>224</v>
      </c>
      <c r="J1034" s="18"/>
      <c r="K1034" s="18">
        <v>16663.68</v>
      </c>
      <c r="L1034" s="18">
        <v>12937.165714770799</v>
      </c>
      <c r="M1034" s="18">
        <v>-583.58345963591603</v>
      </c>
      <c r="N1034" s="18">
        <v>16863.68</v>
      </c>
      <c r="O1034" s="18">
        <v>16463.68</v>
      </c>
      <c r="P1034" s="3"/>
      <c r="Q1034" s="3"/>
      <c r="R1034" s="3"/>
      <c r="S1034" s="3"/>
      <c r="T1034" s="3"/>
      <c r="U1034" s="3"/>
      <c r="V1034" s="3"/>
      <c r="W1034" s="3">
        <v>2557</v>
      </c>
      <c r="X1034" s="3">
        <v>12.51</v>
      </c>
    </row>
    <row r="1035" spans="1:24" hidden="1">
      <c r="A1035" s="1">
        <v>45597</v>
      </c>
      <c r="B1035" s="1" t="s">
        <v>1314</v>
      </c>
      <c r="C1035" s="2" t="s">
        <v>1288</v>
      </c>
      <c r="D1035" s="2" t="s">
        <v>279</v>
      </c>
      <c r="E1035" s="2" t="s">
        <v>1289</v>
      </c>
      <c r="F1035" s="2" t="s">
        <v>281</v>
      </c>
      <c r="G1035" s="2" t="s">
        <v>1290</v>
      </c>
      <c r="H1035" s="2" t="s">
        <v>1291</v>
      </c>
      <c r="I1035" t="s">
        <v>224</v>
      </c>
      <c r="J1035" s="18"/>
      <c r="K1035" s="18">
        <v>17435.939999999999</v>
      </c>
      <c r="L1035" s="18">
        <v>12774.0305077176</v>
      </c>
      <c r="M1035" s="18">
        <v>-551.63008194751296</v>
      </c>
      <c r="N1035" s="18">
        <v>17635.939999999999</v>
      </c>
      <c r="O1035" s="18">
        <v>17235.939999999999</v>
      </c>
      <c r="P1035" s="3"/>
      <c r="Q1035" s="3"/>
      <c r="R1035" s="3"/>
      <c r="S1035" s="3"/>
      <c r="T1035" s="3"/>
      <c r="U1035" s="3"/>
      <c r="V1035" s="3"/>
      <c r="W1035" s="3">
        <v>1981</v>
      </c>
      <c r="X1035" s="3">
        <v>13.01</v>
      </c>
    </row>
    <row r="1036" spans="1:24" hidden="1">
      <c r="A1036" s="1">
        <v>45627</v>
      </c>
      <c r="B1036" s="1" t="s">
        <v>1315</v>
      </c>
      <c r="C1036" s="2" t="s">
        <v>1288</v>
      </c>
      <c r="D1036" s="2" t="s">
        <v>279</v>
      </c>
      <c r="E1036" s="2" t="s">
        <v>1289</v>
      </c>
      <c r="F1036" s="2" t="s">
        <v>281</v>
      </c>
      <c r="G1036" s="2" t="s">
        <v>1290</v>
      </c>
      <c r="H1036" s="2" t="s">
        <v>1291</v>
      </c>
      <c r="I1036" t="s">
        <v>224</v>
      </c>
      <c r="J1036" s="18"/>
      <c r="K1036" s="18">
        <v>17102.009999999998</v>
      </c>
      <c r="L1036" s="18">
        <v>12616.1577266984</v>
      </c>
      <c r="M1036" s="18">
        <v>-368.508467603844</v>
      </c>
      <c r="N1036" s="18">
        <v>17302.009999999998</v>
      </c>
      <c r="O1036" s="18">
        <v>16902.009999999998</v>
      </c>
      <c r="P1036" s="3"/>
      <c r="Q1036" s="3"/>
      <c r="R1036" s="3"/>
      <c r="S1036" s="3"/>
      <c r="T1036" s="3"/>
      <c r="U1036" s="3"/>
      <c r="V1036" s="3"/>
      <c r="W1036" s="3">
        <v>2910</v>
      </c>
      <c r="X1036" s="3">
        <v>13.04</v>
      </c>
    </row>
    <row r="1037" spans="1:24" hidden="1">
      <c r="A1037" s="1">
        <v>45383</v>
      </c>
      <c r="B1037" s="1" t="s">
        <v>1316</v>
      </c>
      <c r="C1037" s="2" t="s">
        <v>1317</v>
      </c>
      <c r="D1037" s="2" t="s">
        <v>279</v>
      </c>
      <c r="E1037" s="2" t="s">
        <v>1289</v>
      </c>
      <c r="F1037" s="2" t="s">
        <v>837</v>
      </c>
      <c r="G1037" s="2" t="s">
        <v>282</v>
      </c>
      <c r="H1037" s="2" t="s">
        <v>283</v>
      </c>
      <c r="I1037" t="s">
        <v>198</v>
      </c>
      <c r="J1037" s="18">
        <v>10356.790000000001</v>
      </c>
      <c r="K1037" s="18"/>
      <c r="L1037" s="18">
        <v>-7083.3706833599999</v>
      </c>
      <c r="M1037" s="18">
        <v>17440.227843135301</v>
      </c>
      <c r="N1037" s="18"/>
      <c r="O1037" s="18"/>
      <c r="P1037" s="3">
        <v>0</v>
      </c>
      <c r="Q1037" s="3">
        <v>0</v>
      </c>
      <c r="R1037" s="3">
        <v>0</v>
      </c>
      <c r="S1037" s="3"/>
      <c r="T1037" s="3" t="b">
        <v>0</v>
      </c>
      <c r="U1037" s="3">
        <v>4467</v>
      </c>
      <c r="V1037" s="3">
        <v>1</v>
      </c>
      <c r="W1037" s="3">
        <v>1961</v>
      </c>
      <c r="X1037" s="3">
        <v>14.88</v>
      </c>
    </row>
    <row r="1038" spans="1:24" hidden="1">
      <c r="A1038" s="1">
        <v>45413</v>
      </c>
      <c r="B1038" s="1" t="s">
        <v>1318</v>
      </c>
      <c r="C1038" s="2" t="s">
        <v>1317</v>
      </c>
      <c r="D1038" s="2" t="s">
        <v>279</v>
      </c>
      <c r="E1038" s="2" t="s">
        <v>1289</v>
      </c>
      <c r="F1038" s="2" t="s">
        <v>837</v>
      </c>
      <c r="G1038" s="2" t="s">
        <v>282</v>
      </c>
      <c r="H1038" s="2" t="s">
        <v>283</v>
      </c>
      <c r="I1038" t="s">
        <v>198</v>
      </c>
      <c r="J1038" s="18">
        <v>10295.25</v>
      </c>
      <c r="K1038" s="18"/>
      <c r="L1038" s="18">
        <v>-188.87804241882299</v>
      </c>
      <c r="M1038" s="18">
        <v>10484.1012853346</v>
      </c>
      <c r="N1038" s="18"/>
      <c r="O1038" s="18"/>
      <c r="P1038" s="3">
        <v>0</v>
      </c>
      <c r="Q1038" s="3">
        <v>0</v>
      </c>
      <c r="R1038" s="3">
        <v>0</v>
      </c>
      <c r="S1038" s="3"/>
      <c r="T1038" s="3" t="b">
        <v>0</v>
      </c>
      <c r="U1038" s="3">
        <v>2663</v>
      </c>
      <c r="V1038" s="3">
        <v>2</v>
      </c>
      <c r="W1038" s="3">
        <v>2441</v>
      </c>
      <c r="X1038" s="3">
        <v>13.36</v>
      </c>
    </row>
    <row r="1039" spans="1:24" hidden="1">
      <c r="A1039" s="1">
        <v>45444</v>
      </c>
      <c r="B1039" s="1" t="s">
        <v>1319</v>
      </c>
      <c r="C1039" s="2" t="s">
        <v>1317</v>
      </c>
      <c r="D1039" s="2" t="s">
        <v>279</v>
      </c>
      <c r="E1039" s="2" t="s">
        <v>1289</v>
      </c>
      <c r="F1039" s="2" t="s">
        <v>837</v>
      </c>
      <c r="G1039" s="2" t="s">
        <v>282</v>
      </c>
      <c r="H1039" s="2" t="s">
        <v>283</v>
      </c>
      <c r="I1039" t="s">
        <v>198</v>
      </c>
      <c r="J1039" s="18">
        <v>10384.56</v>
      </c>
      <c r="K1039" s="18"/>
      <c r="L1039" s="18">
        <v>6935.4310129973301</v>
      </c>
      <c r="M1039" s="18">
        <v>3449.1356925213199</v>
      </c>
      <c r="N1039" s="18"/>
      <c r="O1039" s="18"/>
      <c r="P1039" s="3">
        <v>0</v>
      </c>
      <c r="Q1039" s="3">
        <v>0</v>
      </c>
      <c r="R1039" s="3">
        <v>0</v>
      </c>
      <c r="S1039" s="3"/>
      <c r="T1039" s="3" t="b">
        <v>0</v>
      </c>
      <c r="U1039" s="3">
        <v>4142</v>
      </c>
      <c r="V1039" s="3">
        <v>0</v>
      </c>
      <c r="W1039" s="3">
        <v>1985</v>
      </c>
      <c r="X1039" s="3">
        <v>40</v>
      </c>
    </row>
    <row r="1040" spans="1:24" hidden="1">
      <c r="A1040" s="1">
        <v>45474</v>
      </c>
      <c r="B1040" s="1" t="s">
        <v>1320</v>
      </c>
      <c r="C1040" s="2" t="s">
        <v>1317</v>
      </c>
      <c r="D1040" s="2" t="s">
        <v>279</v>
      </c>
      <c r="E1040" s="2" t="s">
        <v>1289</v>
      </c>
      <c r="F1040" s="2" t="s">
        <v>837</v>
      </c>
      <c r="G1040" s="2" t="s">
        <v>282</v>
      </c>
      <c r="H1040" s="2" t="s">
        <v>283</v>
      </c>
      <c r="I1040" t="s">
        <v>198</v>
      </c>
      <c r="J1040" s="18">
        <v>10014.6</v>
      </c>
      <c r="K1040" s="18">
        <v>10041.870000000001</v>
      </c>
      <c r="L1040" s="18">
        <v>13829.9236452149</v>
      </c>
      <c r="M1040" s="18">
        <v>-3815.3024989247601</v>
      </c>
      <c r="N1040" s="18">
        <v>10241.870000000001</v>
      </c>
      <c r="O1040" s="18">
        <v>9841.8700000000008</v>
      </c>
      <c r="P1040" s="3">
        <v>0</v>
      </c>
      <c r="Q1040" s="3">
        <v>0</v>
      </c>
      <c r="R1040" s="3">
        <v>0</v>
      </c>
      <c r="S1040" s="3"/>
      <c r="T1040" s="3" t="b">
        <v>0</v>
      </c>
      <c r="U1040" s="3">
        <v>3581</v>
      </c>
      <c r="V1040" s="3">
        <v>0</v>
      </c>
      <c r="W1040" s="3">
        <v>2374</v>
      </c>
      <c r="X1040" s="3">
        <v>15.67</v>
      </c>
    </row>
    <row r="1041" spans="1:24" hidden="1">
      <c r="A1041" s="1">
        <v>45505</v>
      </c>
      <c r="B1041" s="1" t="s">
        <v>1321</v>
      </c>
      <c r="C1041" s="2" t="s">
        <v>1317</v>
      </c>
      <c r="D1041" s="2" t="s">
        <v>279</v>
      </c>
      <c r="E1041" s="2" t="s">
        <v>1289</v>
      </c>
      <c r="F1041" s="2" t="s">
        <v>837</v>
      </c>
      <c r="G1041" s="2" t="s">
        <v>282</v>
      </c>
      <c r="H1041" s="2" t="s">
        <v>283</v>
      </c>
      <c r="I1041" t="s">
        <v>198</v>
      </c>
      <c r="J1041" s="18">
        <v>10066.66</v>
      </c>
      <c r="K1041" s="18">
        <v>10100.89</v>
      </c>
      <c r="L1041" s="18">
        <v>20954.2327070471</v>
      </c>
      <c r="M1041" s="18">
        <v>-10887.530904056501</v>
      </c>
      <c r="N1041" s="18">
        <v>10300.89</v>
      </c>
      <c r="O1041" s="18">
        <v>9900.89</v>
      </c>
      <c r="P1041" s="3">
        <v>0</v>
      </c>
      <c r="Q1041" s="3">
        <v>0</v>
      </c>
      <c r="R1041" s="3">
        <v>0</v>
      </c>
      <c r="S1041" s="3"/>
      <c r="T1041" s="3" t="b">
        <v>0</v>
      </c>
      <c r="U1041" s="3">
        <v>2649</v>
      </c>
      <c r="V1041" s="3">
        <v>1</v>
      </c>
      <c r="W1041" s="3">
        <v>1008</v>
      </c>
      <c r="X1041" s="3">
        <v>13.46</v>
      </c>
    </row>
    <row r="1042" spans="1:24" hidden="1">
      <c r="A1042" s="1">
        <v>45536</v>
      </c>
      <c r="B1042" s="1" t="s">
        <v>1322</v>
      </c>
      <c r="C1042" s="2" t="s">
        <v>1317</v>
      </c>
      <c r="D1042" s="2" t="s">
        <v>279</v>
      </c>
      <c r="E1042" s="2" t="s">
        <v>1289</v>
      </c>
      <c r="F1042" s="2" t="s">
        <v>837</v>
      </c>
      <c r="G1042" s="2" t="s">
        <v>282</v>
      </c>
      <c r="H1042" s="2" t="s">
        <v>283</v>
      </c>
      <c r="I1042" t="s">
        <v>198</v>
      </c>
      <c r="J1042" s="18">
        <v>9816.5300000000007</v>
      </c>
      <c r="K1042" s="18">
        <v>9706.67</v>
      </c>
      <c r="L1042" s="18">
        <v>28078.5417688794</v>
      </c>
      <c r="M1042" s="18">
        <v>-18261.972966216399</v>
      </c>
      <c r="N1042" s="18">
        <v>9906.67</v>
      </c>
      <c r="O1042" s="18">
        <v>9506.67</v>
      </c>
      <c r="P1042" s="3">
        <v>0</v>
      </c>
      <c r="Q1042" s="3">
        <v>0</v>
      </c>
      <c r="R1042" s="3">
        <v>0</v>
      </c>
      <c r="S1042" s="3"/>
      <c r="T1042" s="3" t="b">
        <v>0</v>
      </c>
      <c r="U1042" s="3">
        <v>3489</v>
      </c>
      <c r="V1042" s="3">
        <v>2</v>
      </c>
      <c r="W1042" s="3">
        <v>1349</v>
      </c>
      <c r="X1042" s="3">
        <v>12.77</v>
      </c>
    </row>
    <row r="1043" spans="1:24" hidden="1">
      <c r="A1043" s="1">
        <v>45566</v>
      </c>
      <c r="B1043" s="1" t="s">
        <v>1323</v>
      </c>
      <c r="C1043" s="2" t="s">
        <v>1317</v>
      </c>
      <c r="D1043" s="2" t="s">
        <v>279</v>
      </c>
      <c r="E1043" s="2" t="s">
        <v>1289</v>
      </c>
      <c r="F1043" s="2" t="s">
        <v>837</v>
      </c>
      <c r="G1043" s="2" t="s">
        <v>282</v>
      </c>
      <c r="H1043" s="2" t="s">
        <v>283</v>
      </c>
      <c r="I1043" t="s">
        <v>224</v>
      </c>
      <c r="J1043" s="18"/>
      <c r="K1043" s="18">
        <v>10184.780000000001</v>
      </c>
      <c r="L1043" s="18">
        <v>34973.034409362197</v>
      </c>
      <c r="M1043" s="18">
        <v>-1417.29512725579</v>
      </c>
      <c r="N1043" s="18">
        <v>10384.780000000001</v>
      </c>
      <c r="O1043" s="18">
        <v>9984.7800000000007</v>
      </c>
      <c r="P1043" s="3"/>
      <c r="Q1043" s="3"/>
      <c r="R1043" s="3"/>
      <c r="S1043" s="3"/>
      <c r="T1043" s="3"/>
      <c r="U1043" s="3"/>
      <c r="V1043" s="3"/>
      <c r="W1043" s="3">
        <v>1083</v>
      </c>
      <c r="X1043" s="3">
        <v>14</v>
      </c>
    </row>
    <row r="1044" spans="1:24" hidden="1">
      <c r="A1044" s="1">
        <v>45597</v>
      </c>
      <c r="B1044" s="1" t="s">
        <v>1324</v>
      </c>
      <c r="C1044" s="2" t="s">
        <v>1317</v>
      </c>
      <c r="D1044" s="2" t="s">
        <v>279</v>
      </c>
      <c r="E1044" s="2" t="s">
        <v>1289</v>
      </c>
      <c r="F1044" s="2" t="s">
        <v>837</v>
      </c>
      <c r="G1044" s="2" t="s">
        <v>282</v>
      </c>
      <c r="H1044" s="2" t="s">
        <v>283</v>
      </c>
      <c r="I1044" t="s">
        <v>224</v>
      </c>
      <c r="J1044" s="18"/>
      <c r="K1044" s="18">
        <v>10518.5</v>
      </c>
      <c r="L1044" s="18">
        <v>42097.343471194501</v>
      </c>
      <c r="M1044" s="18">
        <v>112173.846535982</v>
      </c>
      <c r="N1044" s="18">
        <v>10718.5</v>
      </c>
      <c r="O1044" s="18">
        <v>10318.5</v>
      </c>
      <c r="P1044" s="3"/>
      <c r="Q1044" s="3"/>
      <c r="R1044" s="3"/>
      <c r="S1044" s="3"/>
      <c r="T1044" s="3"/>
      <c r="U1044" s="3"/>
      <c r="V1044" s="3"/>
      <c r="W1044" s="3">
        <v>1532</v>
      </c>
      <c r="X1044" s="3">
        <v>13.6</v>
      </c>
    </row>
    <row r="1045" spans="1:24" hidden="1">
      <c r="A1045" s="1">
        <v>45627</v>
      </c>
      <c r="B1045" s="1" t="s">
        <v>1325</v>
      </c>
      <c r="C1045" s="2" t="s">
        <v>1317</v>
      </c>
      <c r="D1045" s="2" t="s">
        <v>279</v>
      </c>
      <c r="E1045" s="2" t="s">
        <v>1289</v>
      </c>
      <c r="F1045" s="2" t="s">
        <v>837</v>
      </c>
      <c r="G1045" s="2" t="s">
        <v>282</v>
      </c>
      <c r="H1045" s="2" t="s">
        <v>283</v>
      </c>
      <c r="I1045" t="s">
        <v>224</v>
      </c>
      <c r="J1045" s="18"/>
      <c r="K1045" s="18">
        <v>10818.73</v>
      </c>
      <c r="L1045" s="18">
        <v>48991.836111677301</v>
      </c>
      <c r="M1045" s="18">
        <v>-82308.243890729893</v>
      </c>
      <c r="N1045" s="18">
        <v>11018.73</v>
      </c>
      <c r="O1045" s="18">
        <v>10618.73</v>
      </c>
      <c r="P1045" s="3"/>
      <c r="Q1045" s="3"/>
      <c r="R1045" s="3"/>
      <c r="S1045" s="3"/>
      <c r="T1045" s="3"/>
      <c r="U1045" s="3"/>
      <c r="V1045" s="3"/>
      <c r="W1045" s="3">
        <v>1988</v>
      </c>
      <c r="X1045" s="3">
        <v>13.27</v>
      </c>
    </row>
    <row r="1046" spans="1:24" hidden="1">
      <c r="A1046" s="1">
        <v>45627</v>
      </c>
      <c r="B1046" s="1" t="s">
        <v>1326</v>
      </c>
      <c r="C1046" s="2" t="s">
        <v>1327</v>
      </c>
      <c r="D1046" s="2" t="s">
        <v>279</v>
      </c>
      <c r="E1046" s="2" t="s">
        <v>1289</v>
      </c>
      <c r="F1046" s="2" t="s">
        <v>837</v>
      </c>
      <c r="G1046" s="2" t="s">
        <v>282</v>
      </c>
      <c r="H1046" s="2" t="s">
        <v>523</v>
      </c>
      <c r="I1046" t="s">
        <v>224</v>
      </c>
      <c r="J1046" s="18"/>
      <c r="K1046" s="18">
        <v>7025.41</v>
      </c>
      <c r="L1046" s="18">
        <v>0</v>
      </c>
      <c r="M1046" s="18">
        <v>0</v>
      </c>
      <c r="N1046" s="18">
        <v>7225.41</v>
      </c>
      <c r="O1046" s="18">
        <v>6825.41</v>
      </c>
      <c r="P1046" s="3"/>
      <c r="Q1046" s="3"/>
      <c r="R1046" s="3"/>
      <c r="S1046" s="3"/>
      <c r="T1046" s="3"/>
      <c r="U1046" s="3"/>
      <c r="V1046" s="3"/>
      <c r="W1046" s="3">
        <v>1557</v>
      </c>
      <c r="X1046" s="3">
        <v>14.07</v>
      </c>
    </row>
    <row r="1047" spans="1:24" hidden="1">
      <c r="A1047" s="1">
        <v>45323</v>
      </c>
      <c r="B1047" s="1" t="s">
        <v>1328</v>
      </c>
      <c r="C1047" s="2" t="s">
        <v>1329</v>
      </c>
      <c r="D1047" s="2" t="s">
        <v>279</v>
      </c>
      <c r="E1047" s="2" t="s">
        <v>1289</v>
      </c>
      <c r="F1047" s="2" t="s">
        <v>837</v>
      </c>
      <c r="G1047" s="2" t="s">
        <v>146</v>
      </c>
      <c r="H1047" s="2" t="s">
        <v>1069</v>
      </c>
      <c r="I1047" t="s">
        <v>198</v>
      </c>
      <c r="J1047" s="18">
        <v>21505.74</v>
      </c>
      <c r="K1047" s="18"/>
      <c r="L1047" s="18">
        <v>-16438.688525699999</v>
      </c>
      <c r="M1047" s="18">
        <v>37944.3283022084</v>
      </c>
      <c r="N1047" s="18"/>
      <c r="O1047" s="18"/>
      <c r="P1047" s="3">
        <v>0</v>
      </c>
      <c r="Q1047" s="3">
        <v>0</v>
      </c>
      <c r="R1047" s="3">
        <v>0</v>
      </c>
      <c r="S1047" s="3"/>
      <c r="T1047" s="3" t="b">
        <v>1</v>
      </c>
      <c r="U1047" s="3">
        <v>2386</v>
      </c>
      <c r="V1047" s="3">
        <v>0</v>
      </c>
      <c r="W1047" s="3">
        <v>2803</v>
      </c>
      <c r="X1047" s="3">
        <v>16.920000000000002</v>
      </c>
    </row>
    <row r="1048" spans="1:24" hidden="1">
      <c r="A1048" s="1">
        <v>45352</v>
      </c>
      <c r="B1048" s="1" t="s">
        <v>1330</v>
      </c>
      <c r="C1048" s="2" t="s">
        <v>1329</v>
      </c>
      <c r="D1048" s="2" t="s">
        <v>279</v>
      </c>
      <c r="E1048" s="2" t="s">
        <v>1289</v>
      </c>
      <c r="F1048" s="2" t="s">
        <v>837</v>
      </c>
      <c r="G1048" s="2" t="s">
        <v>146</v>
      </c>
      <c r="H1048" s="2" t="s">
        <v>1069</v>
      </c>
      <c r="I1048" t="s">
        <v>198</v>
      </c>
      <c r="J1048" s="18">
        <v>21430.1</v>
      </c>
      <c r="K1048" s="18"/>
      <c r="L1048" s="18">
        <v>-15765.426762450899</v>
      </c>
      <c r="M1048" s="18">
        <v>37195.639590434599</v>
      </c>
      <c r="N1048" s="18"/>
      <c r="O1048" s="18"/>
      <c r="P1048" s="3">
        <v>0</v>
      </c>
      <c r="Q1048" s="3">
        <v>0</v>
      </c>
      <c r="R1048" s="3">
        <v>0</v>
      </c>
      <c r="S1048" s="3"/>
      <c r="T1048" s="3" t="b">
        <v>0</v>
      </c>
      <c r="U1048" s="3">
        <v>4894</v>
      </c>
      <c r="V1048" s="3">
        <v>1</v>
      </c>
      <c r="W1048" s="3">
        <v>2364</v>
      </c>
      <c r="X1048" s="3">
        <v>17.84</v>
      </c>
    </row>
    <row r="1049" spans="1:24" hidden="1">
      <c r="A1049" s="1">
        <v>45383</v>
      </c>
      <c r="B1049" s="1" t="s">
        <v>1331</v>
      </c>
      <c r="C1049" s="2" t="s">
        <v>1329</v>
      </c>
      <c r="D1049" s="2" t="s">
        <v>279</v>
      </c>
      <c r="E1049" s="2" t="s">
        <v>1289</v>
      </c>
      <c r="F1049" s="2" t="s">
        <v>837</v>
      </c>
      <c r="G1049" s="2" t="s">
        <v>146</v>
      </c>
      <c r="H1049" s="2" t="s">
        <v>1069</v>
      </c>
      <c r="I1049" t="s">
        <v>198</v>
      </c>
      <c r="J1049" s="18">
        <v>21553</v>
      </c>
      <c r="K1049" s="18"/>
      <c r="L1049" s="18">
        <v>-15045.7332026567</v>
      </c>
      <c r="M1049" s="18">
        <v>36598.6829756683</v>
      </c>
      <c r="N1049" s="18"/>
      <c r="O1049" s="18"/>
      <c r="P1049" s="3">
        <v>0</v>
      </c>
      <c r="Q1049" s="3">
        <v>0</v>
      </c>
      <c r="R1049" s="3">
        <v>0</v>
      </c>
      <c r="S1049" s="3"/>
      <c r="T1049" s="3" t="b">
        <v>0</v>
      </c>
      <c r="U1049" s="3">
        <v>3634</v>
      </c>
      <c r="V1049" s="3">
        <v>0</v>
      </c>
      <c r="W1049" s="3">
        <v>1258</v>
      </c>
      <c r="X1049" s="3">
        <v>16.86</v>
      </c>
    </row>
    <row r="1050" spans="1:24" hidden="1">
      <c r="A1050" s="1">
        <v>45413</v>
      </c>
      <c r="B1050" s="1" t="s">
        <v>1332</v>
      </c>
      <c r="C1050" s="2" t="s">
        <v>1329</v>
      </c>
      <c r="D1050" s="2" t="s">
        <v>279</v>
      </c>
      <c r="E1050" s="2" t="s">
        <v>1289</v>
      </c>
      <c r="F1050" s="2" t="s">
        <v>837</v>
      </c>
      <c r="G1050" s="2" t="s">
        <v>146</v>
      </c>
      <c r="H1050" s="2" t="s">
        <v>1069</v>
      </c>
      <c r="I1050" t="s">
        <v>198</v>
      </c>
      <c r="J1050" s="18">
        <v>21841.46</v>
      </c>
      <c r="K1050" s="18"/>
      <c r="L1050" s="18">
        <v>-14349.2556025506</v>
      </c>
      <c r="M1050" s="18">
        <v>36190.684543062504</v>
      </c>
      <c r="N1050" s="18"/>
      <c r="O1050" s="18"/>
      <c r="P1050" s="3">
        <v>0</v>
      </c>
      <c r="Q1050" s="3">
        <v>0</v>
      </c>
      <c r="R1050" s="3">
        <v>0</v>
      </c>
      <c r="S1050" s="3"/>
      <c r="T1050" s="3" t="b">
        <v>1</v>
      </c>
      <c r="U1050" s="3">
        <v>2037</v>
      </c>
      <c r="V1050" s="3">
        <v>0</v>
      </c>
      <c r="W1050" s="3">
        <v>2358</v>
      </c>
      <c r="X1050" s="3">
        <v>14.97</v>
      </c>
    </row>
    <row r="1051" spans="1:24" hidden="1">
      <c r="A1051" s="1">
        <v>45444</v>
      </c>
      <c r="B1051" s="1" t="s">
        <v>1333</v>
      </c>
      <c r="C1051" s="2" t="s">
        <v>1329</v>
      </c>
      <c r="D1051" s="2" t="s">
        <v>279</v>
      </c>
      <c r="E1051" s="2" t="s">
        <v>1289</v>
      </c>
      <c r="F1051" s="2" t="s">
        <v>837</v>
      </c>
      <c r="G1051" s="2" t="s">
        <v>146</v>
      </c>
      <c r="H1051" s="2" t="s">
        <v>1069</v>
      </c>
      <c r="I1051" t="s">
        <v>198</v>
      </c>
      <c r="J1051" s="18">
        <v>21447.39</v>
      </c>
      <c r="K1051" s="18"/>
      <c r="L1051" s="18">
        <v>-13629.562082398201</v>
      </c>
      <c r="M1051" s="18">
        <v>35077.055840398098</v>
      </c>
      <c r="N1051" s="18"/>
      <c r="O1051" s="18"/>
      <c r="P1051" s="3">
        <v>0</v>
      </c>
      <c r="Q1051" s="3">
        <v>0</v>
      </c>
      <c r="R1051" s="3">
        <v>0</v>
      </c>
      <c r="S1051" s="3"/>
      <c r="T1051" s="3" t="b">
        <v>0</v>
      </c>
      <c r="U1051" s="3">
        <v>3184</v>
      </c>
      <c r="V1051" s="3">
        <v>0</v>
      </c>
      <c r="W1051" s="3">
        <v>1084</v>
      </c>
      <c r="X1051" s="3">
        <v>17.23</v>
      </c>
    </row>
    <row r="1052" spans="1:24" hidden="1">
      <c r="A1052" s="1">
        <v>45474</v>
      </c>
      <c r="B1052" s="1" t="s">
        <v>1334</v>
      </c>
      <c r="C1052" s="2" t="s">
        <v>1329</v>
      </c>
      <c r="D1052" s="2" t="s">
        <v>279</v>
      </c>
      <c r="E1052" s="2" t="s">
        <v>1289</v>
      </c>
      <c r="F1052" s="2" t="s">
        <v>837</v>
      </c>
      <c r="G1052" s="2" t="s">
        <v>146</v>
      </c>
      <c r="H1052" s="2" t="s">
        <v>1069</v>
      </c>
      <c r="I1052" t="s">
        <v>198</v>
      </c>
      <c r="J1052" s="18">
        <v>21319.17</v>
      </c>
      <c r="K1052" s="18">
        <v>21290.95</v>
      </c>
      <c r="L1052" s="18">
        <v>-12933.0842792556</v>
      </c>
      <c r="M1052" s="18">
        <v>34252.053441730102</v>
      </c>
      <c r="N1052" s="18">
        <v>21490.95</v>
      </c>
      <c r="O1052" s="18">
        <v>21090.95</v>
      </c>
      <c r="P1052" s="3">
        <v>0</v>
      </c>
      <c r="Q1052" s="3">
        <v>0</v>
      </c>
      <c r="R1052" s="3">
        <v>0</v>
      </c>
      <c r="S1052" s="3"/>
      <c r="T1052" s="3" t="b">
        <v>0</v>
      </c>
      <c r="U1052" s="3">
        <v>3485</v>
      </c>
      <c r="V1052" s="3">
        <v>0</v>
      </c>
      <c r="W1052" s="3">
        <v>2545</v>
      </c>
      <c r="X1052" s="3">
        <v>15.79</v>
      </c>
    </row>
    <row r="1053" spans="1:24" hidden="1">
      <c r="A1053" s="1">
        <v>45536</v>
      </c>
      <c r="B1053" s="1" t="s">
        <v>1335</v>
      </c>
      <c r="C1053" s="2" t="s">
        <v>1329</v>
      </c>
      <c r="D1053" s="2" t="s">
        <v>279</v>
      </c>
      <c r="E1053" s="2" t="s">
        <v>1289</v>
      </c>
      <c r="F1053" s="2" t="s">
        <v>837</v>
      </c>
      <c r="G1053" s="2" t="s">
        <v>146</v>
      </c>
      <c r="H1053" s="2" t="s">
        <v>1069</v>
      </c>
      <c r="I1053" t="s">
        <v>198</v>
      </c>
      <c r="J1053" s="18">
        <v>22412.95</v>
      </c>
      <c r="K1053" s="18">
        <v>22296.66</v>
      </c>
      <c r="L1053" s="18">
        <v>-11493.6968194276</v>
      </c>
      <c r="M1053" s="18">
        <v>33906.738020976903</v>
      </c>
      <c r="N1053" s="18">
        <v>22496.66</v>
      </c>
      <c r="O1053" s="18">
        <v>22096.66</v>
      </c>
      <c r="P1053" s="3">
        <v>0</v>
      </c>
      <c r="Q1053" s="3">
        <v>0</v>
      </c>
      <c r="R1053" s="3">
        <v>0</v>
      </c>
      <c r="S1053" s="3"/>
      <c r="T1053" s="3" t="b">
        <v>0</v>
      </c>
      <c r="U1053" s="3">
        <v>3472</v>
      </c>
      <c r="V1053" s="3">
        <v>1</v>
      </c>
      <c r="W1053" s="3">
        <v>2837</v>
      </c>
      <c r="X1053" s="3">
        <v>17.63</v>
      </c>
    </row>
    <row r="1054" spans="1:24" hidden="1">
      <c r="A1054" s="1">
        <v>45566</v>
      </c>
      <c r="B1054" s="1" t="s">
        <v>1336</v>
      </c>
      <c r="C1054" s="2" t="s">
        <v>1329</v>
      </c>
      <c r="D1054" s="2" t="s">
        <v>279</v>
      </c>
      <c r="E1054" s="2" t="s">
        <v>1289</v>
      </c>
      <c r="F1054" s="2" t="s">
        <v>837</v>
      </c>
      <c r="G1054" s="2" t="s">
        <v>146</v>
      </c>
      <c r="H1054" s="2" t="s">
        <v>1069</v>
      </c>
      <c r="I1054" t="s">
        <v>224</v>
      </c>
      <c r="J1054" s="18"/>
      <c r="K1054" s="18">
        <v>22413.88</v>
      </c>
      <c r="L1054" s="18">
        <v>-10797.2190162851</v>
      </c>
      <c r="M1054" s="18">
        <v>128442.598745162</v>
      </c>
      <c r="N1054" s="18">
        <v>22613.88</v>
      </c>
      <c r="O1054" s="18">
        <v>22213.88</v>
      </c>
      <c r="P1054" s="3"/>
      <c r="Q1054" s="3"/>
      <c r="R1054" s="3"/>
      <c r="S1054" s="3"/>
      <c r="T1054" s="3"/>
      <c r="U1054" s="3"/>
      <c r="V1054" s="3"/>
      <c r="W1054" s="3">
        <v>2594</v>
      </c>
      <c r="X1054" s="3">
        <v>17.13</v>
      </c>
    </row>
    <row r="1055" spans="1:24" hidden="1">
      <c r="A1055" s="1">
        <v>45597</v>
      </c>
      <c r="B1055" s="1" t="s">
        <v>1337</v>
      </c>
      <c r="C1055" s="2" t="s">
        <v>1329</v>
      </c>
      <c r="D1055" s="2" t="s">
        <v>279</v>
      </c>
      <c r="E1055" s="2" t="s">
        <v>1289</v>
      </c>
      <c r="F1055" s="2" t="s">
        <v>837</v>
      </c>
      <c r="G1055" s="2" t="s">
        <v>146</v>
      </c>
      <c r="H1055" s="2" t="s">
        <v>1069</v>
      </c>
      <c r="I1055" t="s">
        <v>224</v>
      </c>
      <c r="J1055" s="18"/>
      <c r="K1055" s="18">
        <v>22585.56</v>
      </c>
      <c r="L1055" s="18">
        <v>-10077.525286371099</v>
      </c>
      <c r="M1055" s="18">
        <v>-84881.595137149998</v>
      </c>
      <c r="N1055" s="18">
        <v>22785.56</v>
      </c>
      <c r="O1055" s="18">
        <v>22385.56</v>
      </c>
      <c r="P1055" s="3"/>
      <c r="Q1055" s="3"/>
      <c r="R1055" s="3"/>
      <c r="S1055" s="3"/>
      <c r="T1055" s="3"/>
      <c r="U1055" s="3"/>
      <c r="V1055" s="3"/>
      <c r="W1055" s="3">
        <v>1307</v>
      </c>
      <c r="X1055" s="3">
        <v>16.850000000000001</v>
      </c>
    </row>
    <row r="1056" spans="1:24" hidden="1">
      <c r="A1056" s="1">
        <v>45627</v>
      </c>
      <c r="B1056" s="1" t="s">
        <v>1338</v>
      </c>
      <c r="C1056" s="2" t="s">
        <v>1329</v>
      </c>
      <c r="D1056" s="2" t="s">
        <v>279</v>
      </c>
      <c r="E1056" s="2" t="s">
        <v>1289</v>
      </c>
      <c r="F1056" s="2" t="s">
        <v>837</v>
      </c>
      <c r="G1056" s="2" t="s">
        <v>146</v>
      </c>
      <c r="H1056" s="2" t="s">
        <v>1069</v>
      </c>
      <c r="I1056" t="s">
        <v>224</v>
      </c>
      <c r="J1056" s="18"/>
      <c r="K1056" s="18">
        <v>23012.18</v>
      </c>
      <c r="L1056" s="18">
        <v>-9381.0474832285709</v>
      </c>
      <c r="M1056" s="18">
        <v>-363636.22912332602</v>
      </c>
      <c r="N1056" s="18">
        <v>23212.18</v>
      </c>
      <c r="O1056" s="18">
        <v>22812.18</v>
      </c>
      <c r="P1056" s="3"/>
      <c r="Q1056" s="3"/>
      <c r="R1056" s="3"/>
      <c r="S1056" s="3"/>
      <c r="T1056" s="3"/>
      <c r="U1056" s="3"/>
      <c r="V1056" s="3"/>
      <c r="W1056" s="3">
        <v>1261</v>
      </c>
      <c r="X1056" s="3">
        <v>16.18</v>
      </c>
    </row>
    <row r="1057" spans="1:24" hidden="1">
      <c r="A1057" s="1">
        <v>44652</v>
      </c>
      <c r="B1057" s="1" t="s">
        <v>1339</v>
      </c>
      <c r="C1057" s="2" t="s">
        <v>1340</v>
      </c>
      <c r="D1057" s="2" t="s">
        <v>279</v>
      </c>
      <c r="E1057" s="2" t="s">
        <v>1289</v>
      </c>
      <c r="F1057" s="2" t="s">
        <v>837</v>
      </c>
      <c r="G1057" s="2" t="s">
        <v>141</v>
      </c>
      <c r="H1057" s="2" t="s">
        <v>597</v>
      </c>
      <c r="I1057" t="s">
        <v>198</v>
      </c>
      <c r="J1057" s="18">
        <v>14684.49</v>
      </c>
      <c r="K1057" s="18"/>
      <c r="L1057" s="18">
        <v>15912.404425799999</v>
      </c>
      <c r="M1057" s="18">
        <v>-933.01216115615102</v>
      </c>
      <c r="N1057" s="18"/>
      <c r="O1057" s="18"/>
      <c r="P1057" s="3">
        <v>0</v>
      </c>
      <c r="Q1057" s="3">
        <v>0</v>
      </c>
      <c r="R1057" s="3">
        <v>0</v>
      </c>
      <c r="S1057" s="3"/>
      <c r="T1057" s="3" t="b">
        <v>0</v>
      </c>
      <c r="U1057" s="3">
        <v>3312</v>
      </c>
      <c r="V1057" s="3">
        <v>0</v>
      </c>
      <c r="W1057" s="3">
        <v>2425</v>
      </c>
      <c r="X1057" s="3">
        <v>8.7899999999999991</v>
      </c>
    </row>
    <row r="1058" spans="1:24" hidden="1">
      <c r="A1058" s="1">
        <v>45108</v>
      </c>
      <c r="B1058" s="1" t="s">
        <v>1341</v>
      </c>
      <c r="C1058" s="2" t="s">
        <v>1340</v>
      </c>
      <c r="D1058" s="2" t="s">
        <v>279</v>
      </c>
      <c r="E1058" s="2" t="s">
        <v>1289</v>
      </c>
      <c r="F1058" s="2" t="s">
        <v>837</v>
      </c>
      <c r="G1058" s="2" t="s">
        <v>141</v>
      </c>
      <c r="H1058" s="2" t="s">
        <v>597</v>
      </c>
      <c r="I1058" t="s">
        <v>198</v>
      </c>
      <c r="J1058" s="18">
        <v>14816.63</v>
      </c>
      <c r="K1058" s="18"/>
      <c r="L1058" s="18">
        <v>15216.6891139412</v>
      </c>
      <c r="M1058" s="18">
        <v>527.28817912288105</v>
      </c>
      <c r="N1058" s="18"/>
      <c r="O1058" s="18"/>
      <c r="P1058" s="3">
        <v>0</v>
      </c>
      <c r="Q1058" s="3">
        <v>0</v>
      </c>
      <c r="R1058" s="3">
        <v>0</v>
      </c>
      <c r="S1058" s="3"/>
      <c r="T1058" s="3" t="b">
        <v>0</v>
      </c>
      <c r="U1058" s="3">
        <v>4111</v>
      </c>
      <c r="V1058" s="3">
        <v>1</v>
      </c>
      <c r="W1058" s="3">
        <v>2443</v>
      </c>
      <c r="X1058" s="3">
        <v>10.07</v>
      </c>
    </row>
    <row r="1059" spans="1:24" hidden="1">
      <c r="A1059" s="1">
        <v>45139</v>
      </c>
      <c r="B1059" s="1" t="s">
        <v>1342</v>
      </c>
      <c r="C1059" s="2" t="s">
        <v>1340</v>
      </c>
      <c r="D1059" s="2" t="s">
        <v>279</v>
      </c>
      <c r="E1059" s="2" t="s">
        <v>1289</v>
      </c>
      <c r="F1059" s="2" t="s">
        <v>837</v>
      </c>
      <c r="G1059" s="2" t="s">
        <v>141</v>
      </c>
      <c r="H1059" s="2" t="s">
        <v>597</v>
      </c>
      <c r="I1059" t="s">
        <v>198</v>
      </c>
      <c r="J1059" s="18">
        <v>15200</v>
      </c>
      <c r="K1059" s="18"/>
      <c r="L1059" s="18">
        <v>15169.3266332232</v>
      </c>
      <c r="M1059" s="18">
        <v>-334.827934972376</v>
      </c>
      <c r="N1059" s="18"/>
      <c r="O1059" s="18"/>
      <c r="P1059" s="3">
        <v>0</v>
      </c>
      <c r="Q1059" s="3">
        <v>0</v>
      </c>
      <c r="R1059" s="3">
        <v>0</v>
      </c>
      <c r="S1059" s="3"/>
      <c r="T1059" s="3" t="b">
        <v>0</v>
      </c>
      <c r="U1059" s="3">
        <v>2941</v>
      </c>
      <c r="V1059" s="3">
        <v>1</v>
      </c>
      <c r="W1059" s="3">
        <v>2778</v>
      </c>
      <c r="X1059" s="3">
        <v>11.04</v>
      </c>
    </row>
    <row r="1060" spans="1:24" hidden="1">
      <c r="A1060" s="1">
        <v>45170</v>
      </c>
      <c r="B1060" s="1" t="s">
        <v>1343</v>
      </c>
      <c r="C1060" s="2" t="s">
        <v>1340</v>
      </c>
      <c r="D1060" s="2" t="s">
        <v>279</v>
      </c>
      <c r="E1060" s="2" t="s">
        <v>1289</v>
      </c>
      <c r="F1060" s="2" t="s">
        <v>837</v>
      </c>
      <c r="G1060" s="2" t="s">
        <v>141</v>
      </c>
      <c r="H1060" s="2" t="s">
        <v>597</v>
      </c>
      <c r="I1060" t="s">
        <v>198</v>
      </c>
      <c r="J1060" s="18">
        <v>15445.56</v>
      </c>
      <c r="K1060" s="18"/>
      <c r="L1060" s="18">
        <v>15121.964152591099</v>
      </c>
      <c r="M1060" s="18">
        <v>-818.15135119428498</v>
      </c>
      <c r="N1060" s="18"/>
      <c r="O1060" s="18"/>
      <c r="P1060" s="3">
        <v>0</v>
      </c>
      <c r="Q1060" s="3">
        <v>0</v>
      </c>
      <c r="R1060" s="3">
        <v>0</v>
      </c>
      <c r="S1060" s="3"/>
      <c r="T1060" s="3" t="b">
        <v>0</v>
      </c>
      <c r="U1060" s="3">
        <v>4296</v>
      </c>
      <c r="V1060" s="3">
        <v>0</v>
      </c>
      <c r="W1060" s="3">
        <v>2663</v>
      </c>
      <c r="X1060" s="3">
        <v>9.9499999999999993</v>
      </c>
    </row>
    <row r="1061" spans="1:24" hidden="1">
      <c r="A1061" s="1">
        <v>45200</v>
      </c>
      <c r="B1061" s="1" t="s">
        <v>1344</v>
      </c>
      <c r="C1061" s="2" t="s">
        <v>1340</v>
      </c>
      <c r="D1061" s="2" t="s">
        <v>279</v>
      </c>
      <c r="E1061" s="2" t="s">
        <v>1289</v>
      </c>
      <c r="F1061" s="2" t="s">
        <v>837</v>
      </c>
      <c r="G1061" s="2" t="s">
        <v>141</v>
      </c>
      <c r="H1061" s="2" t="s">
        <v>597</v>
      </c>
      <c r="I1061" t="s">
        <v>198</v>
      </c>
      <c r="J1061" s="18">
        <v>15382.86</v>
      </c>
      <c r="K1061" s="18"/>
      <c r="L1061" s="18">
        <v>15076.0494340364</v>
      </c>
      <c r="M1061" s="18">
        <v>288.873196009129</v>
      </c>
      <c r="N1061" s="18"/>
      <c r="O1061" s="18"/>
      <c r="P1061" s="3">
        <v>0</v>
      </c>
      <c r="Q1061" s="3">
        <v>0</v>
      </c>
      <c r="R1061" s="3">
        <v>0</v>
      </c>
      <c r="S1061" s="3"/>
      <c r="T1061" s="3" t="b">
        <v>0</v>
      </c>
      <c r="U1061" s="3">
        <v>3269</v>
      </c>
      <c r="V1061" s="3">
        <v>0</v>
      </c>
      <c r="W1061" s="3">
        <v>2640</v>
      </c>
      <c r="X1061" s="3">
        <v>10.89</v>
      </c>
    </row>
    <row r="1062" spans="1:24" hidden="1">
      <c r="A1062" s="1">
        <v>45231</v>
      </c>
      <c r="B1062" s="1" t="s">
        <v>1345</v>
      </c>
      <c r="C1062" s="2" t="s">
        <v>1340</v>
      </c>
      <c r="D1062" s="2" t="s">
        <v>279</v>
      </c>
      <c r="E1062" s="2" t="s">
        <v>1289</v>
      </c>
      <c r="F1062" s="2" t="s">
        <v>837</v>
      </c>
      <c r="G1062" s="2" t="s">
        <v>141</v>
      </c>
      <c r="H1062" s="2" t="s">
        <v>597</v>
      </c>
      <c r="I1062" t="s">
        <v>198</v>
      </c>
      <c r="J1062" s="18">
        <v>15306.1</v>
      </c>
      <c r="K1062" s="18"/>
      <c r="L1062" s="18">
        <v>15028.604224896</v>
      </c>
      <c r="M1062" s="18">
        <v>283.74254361429598</v>
      </c>
      <c r="N1062" s="18"/>
      <c r="O1062" s="18"/>
      <c r="P1062" s="3">
        <v>0</v>
      </c>
      <c r="Q1062" s="3">
        <v>0</v>
      </c>
      <c r="R1062" s="3">
        <v>0</v>
      </c>
      <c r="S1062" s="3"/>
      <c r="T1062" s="3" t="b">
        <v>0</v>
      </c>
      <c r="U1062" s="3">
        <v>2939</v>
      </c>
      <c r="V1062" s="3">
        <v>0</v>
      </c>
      <c r="W1062" s="3">
        <v>2545</v>
      </c>
      <c r="X1062" s="3">
        <v>11.48</v>
      </c>
    </row>
    <row r="1063" spans="1:24" hidden="1">
      <c r="A1063" s="1">
        <v>45261</v>
      </c>
      <c r="B1063" s="1" t="s">
        <v>1346</v>
      </c>
      <c r="C1063" s="2" t="s">
        <v>1340</v>
      </c>
      <c r="D1063" s="2" t="s">
        <v>279</v>
      </c>
      <c r="E1063" s="2" t="s">
        <v>1289</v>
      </c>
      <c r="F1063" s="2" t="s">
        <v>837</v>
      </c>
      <c r="G1063" s="2" t="s">
        <v>141</v>
      </c>
      <c r="H1063" s="2" t="s">
        <v>597</v>
      </c>
      <c r="I1063" t="s">
        <v>198</v>
      </c>
      <c r="J1063" s="18">
        <v>15115.31</v>
      </c>
      <c r="K1063" s="18"/>
      <c r="L1063" s="18">
        <v>14982.6895060934</v>
      </c>
      <c r="M1063" s="18">
        <v>128.924779011841</v>
      </c>
      <c r="N1063" s="18"/>
      <c r="O1063" s="18"/>
      <c r="P1063" s="3">
        <v>0</v>
      </c>
      <c r="Q1063" s="3">
        <v>0</v>
      </c>
      <c r="R1063" s="3">
        <v>0</v>
      </c>
      <c r="S1063" s="3"/>
      <c r="T1063" s="3" t="b">
        <v>0</v>
      </c>
      <c r="U1063" s="3">
        <v>3610</v>
      </c>
      <c r="V1063" s="3">
        <v>0</v>
      </c>
      <c r="W1063" s="3">
        <v>2379</v>
      </c>
      <c r="X1063" s="3">
        <v>11.59</v>
      </c>
    </row>
    <row r="1064" spans="1:24" hidden="1">
      <c r="A1064" s="1">
        <v>45292</v>
      </c>
      <c r="B1064" s="1" t="s">
        <v>1347</v>
      </c>
      <c r="C1064" s="2" t="s">
        <v>1340</v>
      </c>
      <c r="D1064" s="2" t="s">
        <v>279</v>
      </c>
      <c r="E1064" s="2" t="s">
        <v>1289</v>
      </c>
      <c r="F1064" s="2" t="s">
        <v>837</v>
      </c>
      <c r="G1064" s="2" t="s">
        <v>141</v>
      </c>
      <c r="H1064" s="2" t="s">
        <v>597</v>
      </c>
      <c r="I1064" t="s">
        <v>198</v>
      </c>
      <c r="J1064" s="18">
        <v>15284.02</v>
      </c>
      <c r="K1064" s="18"/>
      <c r="L1064" s="18">
        <v>14935.2442964702</v>
      </c>
      <c r="M1064" s="18">
        <v>351.00146612544597</v>
      </c>
      <c r="N1064" s="18"/>
      <c r="O1064" s="18"/>
      <c r="P1064" s="3">
        <v>0</v>
      </c>
      <c r="Q1064" s="3">
        <v>0</v>
      </c>
      <c r="R1064" s="3">
        <v>0</v>
      </c>
      <c r="S1064" s="3"/>
      <c r="T1064" s="3" t="b">
        <v>0</v>
      </c>
      <c r="U1064" s="3">
        <v>4204</v>
      </c>
      <c r="V1064" s="3">
        <v>0</v>
      </c>
      <c r="W1064" s="3">
        <v>1147</v>
      </c>
      <c r="X1064" s="3">
        <v>10.11</v>
      </c>
    </row>
    <row r="1065" spans="1:24" hidden="1">
      <c r="A1065" s="1">
        <v>45323</v>
      </c>
      <c r="B1065" s="1" t="s">
        <v>1348</v>
      </c>
      <c r="C1065" s="2" t="s">
        <v>1340</v>
      </c>
      <c r="D1065" s="2" t="s">
        <v>279</v>
      </c>
      <c r="E1065" s="2" t="s">
        <v>1289</v>
      </c>
      <c r="F1065" s="2" t="s">
        <v>837</v>
      </c>
      <c r="G1065" s="2" t="s">
        <v>141</v>
      </c>
      <c r="H1065" s="2" t="s">
        <v>597</v>
      </c>
      <c r="I1065" t="s">
        <v>198</v>
      </c>
      <c r="J1065" s="18">
        <v>15946.53</v>
      </c>
      <c r="K1065" s="18"/>
      <c r="L1065" s="18">
        <v>14887.799086840199</v>
      </c>
      <c r="M1065" s="18">
        <v>1057.22839233435</v>
      </c>
      <c r="N1065" s="18"/>
      <c r="O1065" s="18"/>
      <c r="P1065" s="3">
        <v>0</v>
      </c>
      <c r="Q1065" s="3">
        <v>0</v>
      </c>
      <c r="R1065" s="3">
        <v>1</v>
      </c>
      <c r="S1065" s="3"/>
      <c r="T1065" s="3" t="b">
        <v>0</v>
      </c>
      <c r="U1065" s="3">
        <v>4782</v>
      </c>
      <c r="V1065" s="3">
        <v>0</v>
      </c>
      <c r="W1065" s="3">
        <v>2000</v>
      </c>
      <c r="X1065" s="3">
        <v>10.76</v>
      </c>
    </row>
    <row r="1066" spans="1:24" hidden="1">
      <c r="A1066" s="1">
        <v>45352</v>
      </c>
      <c r="B1066" s="1" t="s">
        <v>1349</v>
      </c>
      <c r="C1066" s="2" t="s">
        <v>1340</v>
      </c>
      <c r="D1066" s="2" t="s">
        <v>279</v>
      </c>
      <c r="E1066" s="2" t="s">
        <v>1289</v>
      </c>
      <c r="F1066" s="2" t="s">
        <v>837</v>
      </c>
      <c r="G1066" s="2" t="s">
        <v>141</v>
      </c>
      <c r="H1066" s="2" t="s">
        <v>597</v>
      </c>
      <c r="I1066" t="s">
        <v>198</v>
      </c>
      <c r="J1066" s="18">
        <v>15225.05</v>
      </c>
      <c r="K1066" s="18"/>
      <c r="L1066" s="18">
        <v>14843.4148583141</v>
      </c>
      <c r="M1066" s="18">
        <v>381.19629361928799</v>
      </c>
      <c r="N1066" s="18"/>
      <c r="O1066" s="18"/>
      <c r="P1066" s="3">
        <v>0</v>
      </c>
      <c r="Q1066" s="3">
        <v>0</v>
      </c>
      <c r="R1066" s="3">
        <v>0</v>
      </c>
      <c r="S1066" s="3"/>
      <c r="T1066" s="3" t="b">
        <v>0</v>
      </c>
      <c r="U1066" s="3">
        <v>3725</v>
      </c>
      <c r="V1066" s="3">
        <v>0</v>
      </c>
      <c r="W1066" s="3">
        <v>2388</v>
      </c>
      <c r="X1066" s="3">
        <v>8.8800000000000008</v>
      </c>
    </row>
    <row r="1067" spans="1:24" hidden="1">
      <c r="A1067" s="1">
        <v>45383</v>
      </c>
      <c r="B1067" s="1" t="s">
        <v>1350</v>
      </c>
      <c r="C1067" s="2" t="s">
        <v>1340</v>
      </c>
      <c r="D1067" s="2" t="s">
        <v>279</v>
      </c>
      <c r="E1067" s="2" t="s">
        <v>1289</v>
      </c>
      <c r="F1067" s="2" t="s">
        <v>837</v>
      </c>
      <c r="G1067" s="2" t="s">
        <v>141</v>
      </c>
      <c r="H1067" s="2" t="s">
        <v>597</v>
      </c>
      <c r="I1067" t="s">
        <v>198</v>
      </c>
      <c r="J1067" s="18">
        <v>15006.26</v>
      </c>
      <c r="K1067" s="18"/>
      <c r="L1067" s="18">
        <v>14795.969648574301</v>
      </c>
      <c r="M1067" s="18">
        <v>-90.3359815518304</v>
      </c>
      <c r="N1067" s="18"/>
      <c r="O1067" s="18"/>
      <c r="P1067" s="3">
        <v>0</v>
      </c>
      <c r="Q1067" s="3">
        <v>0</v>
      </c>
      <c r="R1067" s="3">
        <v>0</v>
      </c>
      <c r="S1067" s="3"/>
      <c r="T1067" s="3" t="b">
        <v>0</v>
      </c>
      <c r="U1067" s="3">
        <v>2984</v>
      </c>
      <c r="V1067" s="3">
        <v>1</v>
      </c>
      <c r="W1067" s="3">
        <v>1363</v>
      </c>
      <c r="X1067" s="3">
        <v>40</v>
      </c>
    </row>
    <row r="1068" spans="1:24" hidden="1">
      <c r="A1068" s="1">
        <v>45413</v>
      </c>
      <c r="B1068" s="1" t="s">
        <v>1351</v>
      </c>
      <c r="C1068" s="2" t="s">
        <v>1340</v>
      </c>
      <c r="D1068" s="2" t="s">
        <v>279</v>
      </c>
      <c r="E1068" s="2" t="s">
        <v>1289</v>
      </c>
      <c r="F1068" s="2" t="s">
        <v>837</v>
      </c>
      <c r="G1068" s="2" t="s">
        <v>141</v>
      </c>
      <c r="H1068" s="2" t="s">
        <v>597</v>
      </c>
      <c r="I1068" t="s">
        <v>198</v>
      </c>
      <c r="J1068" s="18">
        <v>15101.5</v>
      </c>
      <c r="K1068" s="18"/>
      <c r="L1068" s="18">
        <v>14750.0549292656</v>
      </c>
      <c r="M1068" s="18">
        <v>365.134597439988</v>
      </c>
      <c r="N1068" s="18"/>
      <c r="O1068" s="18"/>
      <c r="P1068" s="3">
        <v>0</v>
      </c>
      <c r="Q1068" s="3">
        <v>0</v>
      </c>
      <c r="R1068" s="3">
        <v>0</v>
      </c>
      <c r="S1068" s="3"/>
      <c r="T1068" s="3" t="b">
        <v>0</v>
      </c>
      <c r="U1068" s="3">
        <v>3587</v>
      </c>
      <c r="V1068" s="3">
        <v>0</v>
      </c>
      <c r="W1068" s="3">
        <v>2994</v>
      </c>
      <c r="X1068" s="3">
        <v>11.16</v>
      </c>
    </row>
    <row r="1069" spans="1:24" hidden="1">
      <c r="A1069" s="1">
        <v>45444</v>
      </c>
      <c r="B1069" s="1" t="s">
        <v>1352</v>
      </c>
      <c r="C1069" s="2" t="s">
        <v>1340</v>
      </c>
      <c r="D1069" s="2" t="s">
        <v>279</v>
      </c>
      <c r="E1069" s="2" t="s">
        <v>1289</v>
      </c>
      <c r="F1069" s="2" t="s">
        <v>837</v>
      </c>
      <c r="G1069" s="2" t="s">
        <v>141</v>
      </c>
      <c r="H1069" s="2" t="s">
        <v>597</v>
      </c>
      <c r="I1069" t="s">
        <v>198</v>
      </c>
      <c r="J1069" s="18">
        <v>14767.42</v>
      </c>
      <c r="K1069" s="18"/>
      <c r="L1069" s="18">
        <v>14702.6097184919</v>
      </c>
      <c r="M1069" s="18">
        <v>42.428038580490401</v>
      </c>
      <c r="N1069" s="18"/>
      <c r="O1069" s="18"/>
      <c r="P1069" s="3">
        <v>0</v>
      </c>
      <c r="Q1069" s="3">
        <v>0</v>
      </c>
      <c r="R1069" s="3">
        <v>0</v>
      </c>
      <c r="S1069" s="3"/>
      <c r="T1069" s="3" t="b">
        <v>0</v>
      </c>
      <c r="U1069" s="3">
        <v>3336</v>
      </c>
      <c r="V1069" s="3">
        <v>0</v>
      </c>
      <c r="W1069" s="3">
        <v>2675</v>
      </c>
      <c r="X1069" s="3">
        <v>10.220000000000001</v>
      </c>
    </row>
    <row r="1070" spans="1:24" hidden="1">
      <c r="A1070" s="1">
        <v>45474</v>
      </c>
      <c r="B1070" s="1" t="s">
        <v>1353</v>
      </c>
      <c r="C1070" s="2" t="s">
        <v>1340</v>
      </c>
      <c r="D1070" s="2" t="s">
        <v>279</v>
      </c>
      <c r="E1070" s="2" t="s">
        <v>1289</v>
      </c>
      <c r="F1070" s="2" t="s">
        <v>837</v>
      </c>
      <c r="G1070" s="2" t="s">
        <v>141</v>
      </c>
      <c r="H1070" s="2" t="s">
        <v>597</v>
      </c>
      <c r="I1070" t="s">
        <v>198</v>
      </c>
      <c r="J1070" s="18">
        <v>14857.92</v>
      </c>
      <c r="K1070" s="18">
        <v>14820.58</v>
      </c>
      <c r="L1070" s="18">
        <v>14656.694998388401</v>
      </c>
      <c r="M1070" s="18">
        <v>-726.14375240970105</v>
      </c>
      <c r="N1070" s="18">
        <v>15020.58</v>
      </c>
      <c r="O1070" s="18">
        <v>14620.58</v>
      </c>
      <c r="P1070" s="3">
        <v>0</v>
      </c>
      <c r="Q1070" s="3">
        <v>0</v>
      </c>
      <c r="R1070" s="3">
        <v>0</v>
      </c>
      <c r="S1070" s="3"/>
      <c r="T1070" s="3" t="b">
        <v>0</v>
      </c>
      <c r="U1070" s="3">
        <v>3874</v>
      </c>
      <c r="V1070" s="3">
        <v>0</v>
      </c>
      <c r="W1070" s="3">
        <v>2725</v>
      </c>
      <c r="X1070" s="3">
        <v>11.67</v>
      </c>
    </row>
    <row r="1071" spans="1:24" hidden="1">
      <c r="A1071" s="1">
        <v>45505</v>
      </c>
      <c r="B1071" s="1" t="s">
        <v>1354</v>
      </c>
      <c r="C1071" s="2" t="s">
        <v>1340</v>
      </c>
      <c r="D1071" s="2" t="s">
        <v>279</v>
      </c>
      <c r="E1071" s="2" t="s">
        <v>1289</v>
      </c>
      <c r="F1071" s="2" t="s">
        <v>837</v>
      </c>
      <c r="G1071" s="2" t="s">
        <v>141</v>
      </c>
      <c r="H1071" s="2" t="s">
        <v>597</v>
      </c>
      <c r="I1071" t="s">
        <v>198</v>
      </c>
      <c r="J1071" s="18">
        <v>15147.61</v>
      </c>
      <c r="K1071" s="18">
        <v>15097.59</v>
      </c>
      <c r="L1071" s="18">
        <v>14609.249787614701</v>
      </c>
      <c r="M1071" s="18">
        <v>950.42918579065599</v>
      </c>
      <c r="N1071" s="18">
        <v>15297.59</v>
      </c>
      <c r="O1071" s="18">
        <v>14897.59</v>
      </c>
      <c r="P1071" s="3">
        <v>0</v>
      </c>
      <c r="Q1071" s="3">
        <v>0</v>
      </c>
      <c r="R1071" s="3">
        <v>0</v>
      </c>
      <c r="S1071" s="3"/>
      <c r="T1071" s="3" t="b">
        <v>0</v>
      </c>
      <c r="U1071" s="3">
        <v>2661</v>
      </c>
      <c r="V1071" s="3">
        <v>1</v>
      </c>
      <c r="W1071" s="3">
        <v>1401</v>
      </c>
      <c r="X1071" s="3">
        <v>10.46</v>
      </c>
    </row>
    <row r="1072" spans="1:24" hidden="1">
      <c r="A1072" s="1">
        <v>45536</v>
      </c>
      <c r="B1072" s="1" t="s">
        <v>1355</v>
      </c>
      <c r="C1072" s="2" t="s">
        <v>1340</v>
      </c>
      <c r="D1072" s="2" t="s">
        <v>279</v>
      </c>
      <c r="E1072" s="2" t="s">
        <v>1289</v>
      </c>
      <c r="F1072" s="2" t="s">
        <v>837</v>
      </c>
      <c r="G1072" s="2" t="s">
        <v>141</v>
      </c>
      <c r="H1072" s="2" t="s">
        <v>597</v>
      </c>
      <c r="I1072" t="s">
        <v>198</v>
      </c>
      <c r="J1072" s="18">
        <v>11333.63</v>
      </c>
      <c r="K1072" s="18">
        <v>15066.86</v>
      </c>
      <c r="L1072" s="18">
        <v>14561.804576841099</v>
      </c>
      <c r="M1072" s="18">
        <v>-2103.64772961982</v>
      </c>
      <c r="N1072" s="18">
        <v>15266.86</v>
      </c>
      <c r="O1072" s="18">
        <v>14866.86</v>
      </c>
      <c r="P1072" s="3">
        <v>0</v>
      </c>
      <c r="Q1072" s="3">
        <v>0</v>
      </c>
      <c r="R1072" s="3">
        <v>1</v>
      </c>
      <c r="S1072" s="3"/>
      <c r="T1072" s="3" t="b">
        <v>0</v>
      </c>
      <c r="U1072" s="3">
        <v>2032</v>
      </c>
      <c r="V1072" s="3">
        <v>0</v>
      </c>
      <c r="W1072" s="3">
        <v>1605</v>
      </c>
      <c r="X1072" s="3">
        <v>10.06</v>
      </c>
    </row>
    <row r="1073" spans="1:24" hidden="1">
      <c r="A1073" s="1">
        <v>45566</v>
      </c>
      <c r="B1073" s="1" t="s">
        <v>1356</v>
      </c>
      <c r="C1073" s="2" t="s">
        <v>1340</v>
      </c>
      <c r="D1073" s="2" t="s">
        <v>279</v>
      </c>
      <c r="E1073" s="2" t="s">
        <v>1289</v>
      </c>
      <c r="F1073" s="2" t="s">
        <v>837</v>
      </c>
      <c r="G1073" s="2" t="s">
        <v>141</v>
      </c>
      <c r="H1073" s="2" t="s">
        <v>597</v>
      </c>
      <c r="I1073" t="s">
        <v>224</v>
      </c>
      <c r="J1073" s="18"/>
      <c r="K1073" s="18">
        <v>15327.97</v>
      </c>
      <c r="L1073" s="18">
        <v>14515.8898567375</v>
      </c>
      <c r="M1073" s="18">
        <v>1612.44818984688</v>
      </c>
      <c r="N1073" s="18">
        <v>15527.97</v>
      </c>
      <c r="O1073" s="18">
        <v>15127.97</v>
      </c>
      <c r="P1073" s="3"/>
      <c r="Q1073" s="3"/>
      <c r="R1073" s="3"/>
      <c r="S1073" s="3"/>
      <c r="T1073" s="3"/>
      <c r="U1073" s="3"/>
      <c r="V1073" s="3"/>
      <c r="W1073" s="3">
        <v>2515</v>
      </c>
      <c r="X1073" s="3">
        <v>10.18</v>
      </c>
    </row>
    <row r="1074" spans="1:24" hidden="1">
      <c r="A1074" s="1">
        <v>45597</v>
      </c>
      <c r="B1074" s="1" t="s">
        <v>1357</v>
      </c>
      <c r="C1074" s="2" t="s">
        <v>1340</v>
      </c>
      <c r="D1074" s="2" t="s">
        <v>279</v>
      </c>
      <c r="E1074" s="2" t="s">
        <v>1289</v>
      </c>
      <c r="F1074" s="2" t="s">
        <v>837</v>
      </c>
      <c r="G1074" s="2" t="s">
        <v>141</v>
      </c>
      <c r="H1074" s="2" t="s">
        <v>597</v>
      </c>
      <c r="I1074" t="s">
        <v>224</v>
      </c>
      <c r="J1074" s="18"/>
      <c r="K1074" s="18">
        <v>15240.36</v>
      </c>
      <c r="L1074" s="18">
        <v>14468.4446459639</v>
      </c>
      <c r="M1074" s="18">
        <v>-1026.8899613010001</v>
      </c>
      <c r="N1074" s="18">
        <v>15440.36</v>
      </c>
      <c r="O1074" s="18">
        <v>15040.36</v>
      </c>
      <c r="P1074" s="3"/>
      <c r="Q1074" s="3"/>
      <c r="R1074" s="3"/>
      <c r="S1074" s="3"/>
      <c r="T1074" s="3"/>
      <c r="U1074" s="3"/>
      <c r="V1074" s="3"/>
      <c r="W1074" s="3">
        <v>1228</v>
      </c>
      <c r="X1074" s="3">
        <v>9.08</v>
      </c>
    </row>
    <row r="1075" spans="1:24" hidden="1">
      <c r="A1075" s="1">
        <v>45627</v>
      </c>
      <c r="B1075" s="1" t="s">
        <v>1358</v>
      </c>
      <c r="C1075" s="2" t="s">
        <v>1340</v>
      </c>
      <c r="D1075" s="2" t="s">
        <v>279</v>
      </c>
      <c r="E1075" s="2" t="s">
        <v>1289</v>
      </c>
      <c r="F1075" s="2" t="s">
        <v>837</v>
      </c>
      <c r="G1075" s="2" t="s">
        <v>141</v>
      </c>
      <c r="H1075" s="2" t="s">
        <v>597</v>
      </c>
      <c r="I1075" t="s">
        <v>224</v>
      </c>
      <c r="J1075" s="18"/>
      <c r="K1075" s="18">
        <v>15475.63</v>
      </c>
      <c r="L1075" s="18">
        <v>14422.529925860301</v>
      </c>
      <c r="M1075" s="18">
        <v>1433.2511070619501</v>
      </c>
      <c r="N1075" s="18">
        <v>15675.63</v>
      </c>
      <c r="O1075" s="18">
        <v>15275.63</v>
      </c>
      <c r="P1075" s="3"/>
      <c r="Q1075" s="3"/>
      <c r="R1075" s="3"/>
      <c r="S1075" s="3"/>
      <c r="T1075" s="3"/>
      <c r="U1075" s="3"/>
      <c r="V1075" s="3"/>
      <c r="W1075" s="3">
        <v>2598</v>
      </c>
      <c r="X1075" s="3">
        <v>7.78</v>
      </c>
    </row>
    <row r="1076" spans="1:24" hidden="1">
      <c r="A1076" s="1">
        <v>45383</v>
      </c>
      <c r="B1076" s="1" t="s">
        <v>1359</v>
      </c>
      <c r="C1076" s="2" t="s">
        <v>1360</v>
      </c>
      <c r="D1076" s="2" t="s">
        <v>279</v>
      </c>
      <c r="E1076" s="2" t="s">
        <v>1289</v>
      </c>
      <c r="F1076" s="2" t="s">
        <v>358</v>
      </c>
      <c r="G1076" s="2" t="s">
        <v>282</v>
      </c>
      <c r="H1076" s="2" t="s">
        <v>283</v>
      </c>
      <c r="I1076" t="s">
        <v>198</v>
      </c>
      <c r="J1076" s="18">
        <v>17603.650000000001</v>
      </c>
      <c r="K1076" s="18"/>
      <c r="L1076" s="18">
        <v>-61041.126473999997</v>
      </c>
      <c r="M1076" s="18">
        <v>78644.867340741403</v>
      </c>
      <c r="N1076" s="18"/>
      <c r="O1076" s="18"/>
      <c r="P1076" s="3">
        <v>1</v>
      </c>
      <c r="Q1076" s="3">
        <v>0</v>
      </c>
      <c r="R1076" s="3">
        <v>0</v>
      </c>
      <c r="S1076" s="3"/>
      <c r="T1076" s="3" t="b">
        <v>0</v>
      </c>
      <c r="U1076" s="3">
        <v>3048</v>
      </c>
      <c r="V1076" s="3">
        <v>1</v>
      </c>
      <c r="W1076" s="3">
        <v>2860</v>
      </c>
      <c r="X1076" s="3">
        <v>40</v>
      </c>
    </row>
    <row r="1077" spans="1:24" hidden="1">
      <c r="A1077" s="1">
        <v>45413</v>
      </c>
      <c r="B1077" s="1" t="s">
        <v>1361</v>
      </c>
      <c r="C1077" s="2" t="s">
        <v>1360</v>
      </c>
      <c r="D1077" s="2" t="s">
        <v>279</v>
      </c>
      <c r="E1077" s="2" t="s">
        <v>1289</v>
      </c>
      <c r="F1077" s="2" t="s">
        <v>358</v>
      </c>
      <c r="G1077" s="2" t="s">
        <v>282</v>
      </c>
      <c r="H1077" s="2" t="s">
        <v>283</v>
      </c>
      <c r="I1077" t="s">
        <v>198</v>
      </c>
      <c r="J1077" s="18">
        <v>17837.34</v>
      </c>
      <c r="K1077" s="18"/>
      <c r="L1077" s="18">
        <v>-42251.292231176398</v>
      </c>
      <c r="M1077" s="18">
        <v>60088.578669074799</v>
      </c>
      <c r="N1077" s="18"/>
      <c r="O1077" s="18"/>
      <c r="P1077" s="3">
        <v>1</v>
      </c>
      <c r="Q1077" s="3">
        <v>0</v>
      </c>
      <c r="R1077" s="3">
        <v>0</v>
      </c>
      <c r="S1077" s="3"/>
      <c r="T1077" s="3" t="b">
        <v>0</v>
      </c>
      <c r="U1077" s="3">
        <v>4269</v>
      </c>
      <c r="V1077" s="3">
        <v>0</v>
      </c>
      <c r="W1077" s="3">
        <v>2107</v>
      </c>
      <c r="X1077" s="3">
        <v>18.47</v>
      </c>
    </row>
    <row r="1078" spans="1:24" hidden="1">
      <c r="A1078" s="1">
        <v>45444</v>
      </c>
      <c r="B1078" s="1" t="s">
        <v>1362</v>
      </c>
      <c r="C1078" s="2" t="s">
        <v>1360</v>
      </c>
      <c r="D1078" s="2" t="s">
        <v>279</v>
      </c>
      <c r="E1078" s="2" t="s">
        <v>1289</v>
      </c>
      <c r="F1078" s="2" t="s">
        <v>358</v>
      </c>
      <c r="G1078" s="2" t="s">
        <v>282</v>
      </c>
      <c r="H1078" s="2" t="s">
        <v>283</v>
      </c>
      <c r="I1078" t="s">
        <v>198</v>
      </c>
      <c r="J1078" s="18">
        <v>17841.240000000002</v>
      </c>
      <c r="K1078" s="18"/>
      <c r="L1078" s="18">
        <v>-22835.130179648</v>
      </c>
      <c r="M1078" s="18">
        <v>40676.368136186597</v>
      </c>
      <c r="N1078" s="18"/>
      <c r="O1078" s="18"/>
      <c r="P1078" s="3">
        <v>1</v>
      </c>
      <c r="Q1078" s="3">
        <v>0</v>
      </c>
      <c r="R1078" s="3">
        <v>0</v>
      </c>
      <c r="S1078" s="3"/>
      <c r="T1078" s="3" t="b">
        <v>0</v>
      </c>
      <c r="U1078" s="3">
        <v>2989</v>
      </c>
      <c r="V1078" s="3">
        <v>0</v>
      </c>
      <c r="W1078" s="3">
        <v>1668</v>
      </c>
      <c r="X1078" s="3">
        <v>17.45</v>
      </c>
    </row>
    <row r="1079" spans="1:24" hidden="1">
      <c r="A1079" s="1">
        <v>45474</v>
      </c>
      <c r="B1079" s="1" t="s">
        <v>1363</v>
      </c>
      <c r="C1079" s="2" t="s">
        <v>1360</v>
      </c>
      <c r="D1079" s="2" t="s">
        <v>279</v>
      </c>
      <c r="E1079" s="2" t="s">
        <v>1289</v>
      </c>
      <c r="F1079" s="2" t="s">
        <v>358</v>
      </c>
      <c r="G1079" s="2" t="s">
        <v>282</v>
      </c>
      <c r="H1079" s="2" t="s">
        <v>283</v>
      </c>
      <c r="I1079" t="s">
        <v>198</v>
      </c>
      <c r="J1079" s="18">
        <v>14384.53</v>
      </c>
      <c r="K1079" s="18">
        <v>14182.91</v>
      </c>
      <c r="L1079" s="18">
        <v>-4045.2959365066899</v>
      </c>
      <c r="M1079" s="18">
        <v>18429.8571367123</v>
      </c>
      <c r="N1079" s="18">
        <v>14382.91</v>
      </c>
      <c r="O1079" s="18">
        <v>13982.91</v>
      </c>
      <c r="P1079" s="3">
        <v>1</v>
      </c>
      <c r="Q1079" s="3">
        <v>1</v>
      </c>
      <c r="R1079" s="3">
        <v>0</v>
      </c>
      <c r="S1079" s="3"/>
      <c r="T1079" s="3" t="b">
        <v>0</v>
      </c>
      <c r="U1079" s="3">
        <v>2396</v>
      </c>
      <c r="V1079" s="3">
        <v>0</v>
      </c>
      <c r="W1079" s="3">
        <v>2108</v>
      </c>
      <c r="X1079" s="3">
        <v>16.13</v>
      </c>
    </row>
    <row r="1080" spans="1:24" hidden="1">
      <c r="A1080" s="1">
        <v>45505</v>
      </c>
      <c r="B1080" s="1" t="s">
        <v>1364</v>
      </c>
      <c r="C1080" s="2" t="s">
        <v>1360</v>
      </c>
      <c r="D1080" s="2" t="s">
        <v>279</v>
      </c>
      <c r="E1080" s="2" t="s">
        <v>1289</v>
      </c>
      <c r="F1080" s="2" t="s">
        <v>358</v>
      </c>
      <c r="G1080" s="2" t="s">
        <v>282</v>
      </c>
      <c r="H1080" s="2" t="s">
        <v>283</v>
      </c>
      <c r="I1080" t="s">
        <v>198</v>
      </c>
      <c r="J1080" s="18">
        <v>14642.01</v>
      </c>
      <c r="K1080" s="18">
        <v>14651.27</v>
      </c>
      <c r="L1080" s="18">
        <v>15370.8661141871</v>
      </c>
      <c r="M1080" s="18">
        <v>-728.81029203395303</v>
      </c>
      <c r="N1080" s="18">
        <v>14851.27</v>
      </c>
      <c r="O1080" s="18">
        <v>14451.27</v>
      </c>
      <c r="P1080" s="3">
        <v>1</v>
      </c>
      <c r="Q1080" s="3">
        <v>1</v>
      </c>
      <c r="R1080" s="3">
        <v>0</v>
      </c>
      <c r="S1080" s="3"/>
      <c r="T1080" s="3" t="b">
        <v>0</v>
      </c>
      <c r="U1080" s="3">
        <v>2937</v>
      </c>
      <c r="V1080" s="3">
        <v>0</v>
      </c>
      <c r="W1080" s="3">
        <v>1456</v>
      </c>
      <c r="X1080" s="3">
        <v>17</v>
      </c>
    </row>
    <row r="1081" spans="1:24" hidden="1">
      <c r="A1081" s="1">
        <v>45536</v>
      </c>
      <c r="B1081" s="1" t="s">
        <v>1365</v>
      </c>
      <c r="C1081" s="2" t="s">
        <v>1360</v>
      </c>
      <c r="D1081" s="2" t="s">
        <v>279</v>
      </c>
      <c r="E1081" s="2" t="s">
        <v>1289</v>
      </c>
      <c r="F1081" s="2" t="s">
        <v>358</v>
      </c>
      <c r="G1081" s="2" t="s">
        <v>282</v>
      </c>
      <c r="H1081" s="2" t="s">
        <v>283</v>
      </c>
      <c r="I1081" t="s">
        <v>198</v>
      </c>
      <c r="J1081" s="18">
        <v>14683.51</v>
      </c>
      <c r="K1081" s="18">
        <v>14656.08</v>
      </c>
      <c r="L1081" s="18">
        <v>34787.028164880998</v>
      </c>
      <c r="M1081" s="18">
        <v>-20103.6635673007</v>
      </c>
      <c r="N1081" s="18">
        <v>14856.08</v>
      </c>
      <c r="O1081" s="18">
        <v>14456.08</v>
      </c>
      <c r="P1081" s="3">
        <v>1</v>
      </c>
      <c r="Q1081" s="3">
        <v>1</v>
      </c>
      <c r="R1081" s="3">
        <v>0</v>
      </c>
      <c r="S1081" s="3"/>
      <c r="T1081" s="3" t="b">
        <v>0</v>
      </c>
      <c r="U1081" s="3">
        <v>4558</v>
      </c>
      <c r="V1081" s="3">
        <v>0</v>
      </c>
      <c r="W1081" s="3">
        <v>2499</v>
      </c>
      <c r="X1081" s="3">
        <v>16.059999999999999</v>
      </c>
    </row>
    <row r="1082" spans="1:24" hidden="1">
      <c r="A1082" s="1">
        <v>45566</v>
      </c>
      <c r="B1082" s="1" t="s">
        <v>1366</v>
      </c>
      <c r="C1082" s="2" t="s">
        <v>1360</v>
      </c>
      <c r="D1082" s="2" t="s">
        <v>279</v>
      </c>
      <c r="E1082" s="2" t="s">
        <v>1289</v>
      </c>
      <c r="F1082" s="2" t="s">
        <v>358</v>
      </c>
      <c r="G1082" s="2" t="s">
        <v>282</v>
      </c>
      <c r="H1082" s="2" t="s">
        <v>283</v>
      </c>
      <c r="I1082" t="s">
        <v>224</v>
      </c>
      <c r="J1082" s="18"/>
      <c r="K1082" s="18">
        <v>14687.59</v>
      </c>
      <c r="L1082" s="18">
        <v>53576.862407487897</v>
      </c>
      <c r="M1082" s="18">
        <v>42277.291858363402</v>
      </c>
      <c r="N1082" s="18">
        <v>14887.59</v>
      </c>
      <c r="O1082" s="18">
        <v>14487.59</v>
      </c>
      <c r="P1082" s="3"/>
      <c r="Q1082" s="3"/>
      <c r="R1082" s="3"/>
      <c r="S1082" s="3"/>
      <c r="T1082" s="3"/>
      <c r="U1082" s="3"/>
      <c r="V1082" s="3"/>
      <c r="W1082" s="3">
        <v>2276</v>
      </c>
      <c r="X1082" s="3">
        <v>15.71</v>
      </c>
    </row>
    <row r="1083" spans="1:24" hidden="1">
      <c r="A1083" s="1">
        <v>45597</v>
      </c>
      <c r="B1083" s="1" t="s">
        <v>1367</v>
      </c>
      <c r="C1083" s="2" t="s">
        <v>1360</v>
      </c>
      <c r="D1083" s="2" t="s">
        <v>279</v>
      </c>
      <c r="E1083" s="2" t="s">
        <v>1289</v>
      </c>
      <c r="F1083" s="2" t="s">
        <v>358</v>
      </c>
      <c r="G1083" s="2" t="s">
        <v>282</v>
      </c>
      <c r="H1083" s="2" t="s">
        <v>283</v>
      </c>
      <c r="I1083" t="s">
        <v>224</v>
      </c>
      <c r="J1083" s="18"/>
      <c r="K1083" s="18">
        <v>15137.84</v>
      </c>
      <c r="L1083" s="18">
        <v>72993.024458181797</v>
      </c>
      <c r="M1083" s="18">
        <v>-230063.56736329</v>
      </c>
      <c r="N1083" s="18">
        <v>15337.84</v>
      </c>
      <c r="O1083" s="18">
        <v>14937.84</v>
      </c>
      <c r="P1083" s="3"/>
      <c r="Q1083" s="3"/>
      <c r="R1083" s="3"/>
      <c r="S1083" s="3"/>
      <c r="T1083" s="3"/>
      <c r="U1083" s="3"/>
      <c r="V1083" s="3"/>
      <c r="W1083" s="3">
        <v>2910</v>
      </c>
      <c r="X1083" s="3">
        <v>15.05</v>
      </c>
    </row>
    <row r="1084" spans="1:24" hidden="1">
      <c r="A1084" s="1">
        <v>45627</v>
      </c>
      <c r="B1084" s="1" t="s">
        <v>1368</v>
      </c>
      <c r="C1084" s="2" t="s">
        <v>1360</v>
      </c>
      <c r="D1084" s="2" t="s">
        <v>279</v>
      </c>
      <c r="E1084" s="2" t="s">
        <v>1289</v>
      </c>
      <c r="F1084" s="2" t="s">
        <v>358</v>
      </c>
      <c r="G1084" s="2" t="s">
        <v>282</v>
      </c>
      <c r="H1084" s="2" t="s">
        <v>283</v>
      </c>
      <c r="I1084" t="s">
        <v>224</v>
      </c>
      <c r="J1084" s="18"/>
      <c r="K1084" s="18">
        <v>15526.79</v>
      </c>
      <c r="L1084" s="18">
        <v>91782.858700788798</v>
      </c>
      <c r="M1084" s="18">
        <v>97358.340038717302</v>
      </c>
      <c r="N1084" s="18">
        <v>15726.79</v>
      </c>
      <c r="O1084" s="18">
        <v>15326.79</v>
      </c>
      <c r="P1084" s="3"/>
      <c r="Q1084" s="3"/>
      <c r="R1084" s="3"/>
      <c r="S1084" s="3"/>
      <c r="T1084" s="3"/>
      <c r="U1084" s="3"/>
      <c r="V1084" s="3"/>
      <c r="W1084" s="3">
        <v>1071</v>
      </c>
      <c r="X1084" s="3">
        <v>17.61</v>
      </c>
    </row>
    <row r="1085" spans="1:24" hidden="1">
      <c r="A1085" s="1">
        <v>45017</v>
      </c>
      <c r="B1085" s="1" t="s">
        <v>1369</v>
      </c>
      <c r="C1085" s="2" t="s">
        <v>1370</v>
      </c>
      <c r="D1085" s="2" t="s">
        <v>279</v>
      </c>
      <c r="E1085" s="2" t="s">
        <v>1289</v>
      </c>
      <c r="F1085" s="2" t="s">
        <v>358</v>
      </c>
      <c r="G1085" s="2" t="s">
        <v>282</v>
      </c>
      <c r="H1085" s="2" t="s">
        <v>388</v>
      </c>
      <c r="I1085" t="s">
        <v>198</v>
      </c>
      <c r="J1085" s="18">
        <v>7033.63</v>
      </c>
      <c r="K1085" s="18"/>
      <c r="L1085" s="18">
        <v>7944.5359545600004</v>
      </c>
      <c r="M1085" s="18">
        <v>-741.37353962999305</v>
      </c>
      <c r="N1085" s="18"/>
      <c r="O1085" s="18"/>
      <c r="P1085" s="3">
        <v>0</v>
      </c>
      <c r="Q1085" s="3">
        <v>0</v>
      </c>
      <c r="R1085" s="3">
        <v>0</v>
      </c>
      <c r="S1085" s="3"/>
      <c r="T1085" s="3" t="b">
        <v>0</v>
      </c>
      <c r="U1085" s="3">
        <v>4241</v>
      </c>
      <c r="V1085" s="3">
        <v>1</v>
      </c>
      <c r="W1085" s="3">
        <v>1209</v>
      </c>
      <c r="X1085" s="3">
        <v>14.91</v>
      </c>
    </row>
    <row r="1086" spans="1:24" hidden="1">
      <c r="A1086" s="1">
        <v>45047</v>
      </c>
      <c r="B1086" s="1" t="s">
        <v>1371</v>
      </c>
      <c r="C1086" s="2" t="s">
        <v>1370</v>
      </c>
      <c r="D1086" s="2" t="s">
        <v>279</v>
      </c>
      <c r="E1086" s="2" t="s">
        <v>1289</v>
      </c>
      <c r="F1086" s="2" t="s">
        <v>358</v>
      </c>
      <c r="G1086" s="2" t="s">
        <v>282</v>
      </c>
      <c r="H1086" s="2" t="s">
        <v>388</v>
      </c>
      <c r="I1086" t="s">
        <v>198</v>
      </c>
      <c r="J1086" s="18">
        <v>8958.08</v>
      </c>
      <c r="K1086" s="18"/>
      <c r="L1086" s="18">
        <v>7917.2015385082004</v>
      </c>
      <c r="M1086" s="18">
        <v>647.99043795103398</v>
      </c>
      <c r="N1086" s="18"/>
      <c r="O1086" s="18"/>
      <c r="P1086" s="3">
        <v>0</v>
      </c>
      <c r="Q1086" s="3">
        <v>0</v>
      </c>
      <c r="R1086" s="3">
        <v>1</v>
      </c>
      <c r="S1086" s="3"/>
      <c r="T1086" s="3" t="b">
        <v>0</v>
      </c>
      <c r="U1086" s="3">
        <v>4355</v>
      </c>
      <c r="V1086" s="3">
        <v>0</v>
      </c>
      <c r="W1086" s="3">
        <v>1498</v>
      </c>
      <c r="X1086" s="3">
        <v>14.33</v>
      </c>
    </row>
    <row r="1087" spans="1:24" hidden="1">
      <c r="A1087" s="1">
        <v>45078</v>
      </c>
      <c r="B1087" s="1" t="s">
        <v>1372</v>
      </c>
      <c r="C1087" s="2" t="s">
        <v>1370</v>
      </c>
      <c r="D1087" s="2" t="s">
        <v>279</v>
      </c>
      <c r="E1087" s="2" t="s">
        <v>1289</v>
      </c>
      <c r="F1087" s="2" t="s">
        <v>358</v>
      </c>
      <c r="G1087" s="2" t="s">
        <v>282</v>
      </c>
      <c r="H1087" s="2" t="s">
        <v>388</v>
      </c>
      <c r="I1087" t="s">
        <v>198</v>
      </c>
      <c r="J1087" s="18">
        <v>7242.79</v>
      </c>
      <c r="K1087" s="18"/>
      <c r="L1087" s="18">
        <v>7888.9559750198296</v>
      </c>
      <c r="M1087" s="18">
        <v>-705.98501586495797</v>
      </c>
      <c r="N1087" s="18"/>
      <c r="O1087" s="18"/>
      <c r="P1087" s="3">
        <v>0</v>
      </c>
      <c r="Q1087" s="3">
        <v>0</v>
      </c>
      <c r="R1087" s="3">
        <v>0</v>
      </c>
      <c r="S1087" s="3"/>
      <c r="T1087" s="3" t="b">
        <v>0</v>
      </c>
      <c r="U1087" s="3">
        <v>3668</v>
      </c>
      <c r="V1087" s="3">
        <v>0</v>
      </c>
      <c r="W1087" s="3">
        <v>2425</v>
      </c>
      <c r="X1087" s="3">
        <v>16.309999999999999</v>
      </c>
    </row>
    <row r="1088" spans="1:24" hidden="1">
      <c r="A1088" s="1">
        <v>45108</v>
      </c>
      <c r="B1088" s="1" t="s">
        <v>1373</v>
      </c>
      <c r="C1088" s="2" t="s">
        <v>1370</v>
      </c>
      <c r="D1088" s="2" t="s">
        <v>279</v>
      </c>
      <c r="E1088" s="2" t="s">
        <v>1289</v>
      </c>
      <c r="F1088" s="2" t="s">
        <v>358</v>
      </c>
      <c r="G1088" s="2" t="s">
        <v>282</v>
      </c>
      <c r="H1088" s="2" t="s">
        <v>388</v>
      </c>
      <c r="I1088" t="s">
        <v>198</v>
      </c>
      <c r="J1088" s="18">
        <v>7345.37</v>
      </c>
      <c r="K1088" s="18"/>
      <c r="L1088" s="18">
        <v>7861.6215588435698</v>
      </c>
      <c r="M1088" s="18">
        <v>-215.98196409599299</v>
      </c>
      <c r="N1088" s="18"/>
      <c r="O1088" s="18"/>
      <c r="P1088" s="3">
        <v>0</v>
      </c>
      <c r="Q1088" s="3">
        <v>0</v>
      </c>
      <c r="R1088" s="3">
        <v>0</v>
      </c>
      <c r="S1088" s="3"/>
      <c r="T1088" s="3" t="b">
        <v>0</v>
      </c>
      <c r="U1088" s="3">
        <v>3930</v>
      </c>
      <c r="V1088" s="3">
        <v>1</v>
      </c>
      <c r="W1088" s="3">
        <v>1428</v>
      </c>
      <c r="X1088" s="3">
        <v>14.97</v>
      </c>
    </row>
    <row r="1089" spans="1:24" hidden="1">
      <c r="A1089" s="1">
        <v>45139</v>
      </c>
      <c r="B1089" s="1" t="s">
        <v>1374</v>
      </c>
      <c r="C1089" s="2" t="s">
        <v>1370</v>
      </c>
      <c r="D1089" s="2" t="s">
        <v>279</v>
      </c>
      <c r="E1089" s="2" t="s">
        <v>1289</v>
      </c>
      <c r="F1089" s="2" t="s">
        <v>358</v>
      </c>
      <c r="G1089" s="2" t="s">
        <v>282</v>
      </c>
      <c r="H1089" s="2" t="s">
        <v>388</v>
      </c>
      <c r="I1089" t="s">
        <v>198</v>
      </c>
      <c r="J1089" s="18">
        <v>7616.21</v>
      </c>
      <c r="K1089" s="18"/>
      <c r="L1089" s="18">
        <v>7833.3759956436297</v>
      </c>
      <c r="M1089" s="18">
        <v>-323.140015886208</v>
      </c>
      <c r="N1089" s="18"/>
      <c r="O1089" s="18"/>
      <c r="P1089" s="3">
        <v>0</v>
      </c>
      <c r="Q1089" s="3">
        <v>0</v>
      </c>
      <c r="R1089" s="3">
        <v>0</v>
      </c>
      <c r="S1089" s="3"/>
      <c r="T1089" s="3" t="b">
        <v>0</v>
      </c>
      <c r="U1089" s="3">
        <v>4553</v>
      </c>
      <c r="V1089" s="3">
        <v>0</v>
      </c>
      <c r="W1089" s="3">
        <v>2101</v>
      </c>
      <c r="X1089" s="3">
        <v>15.8</v>
      </c>
    </row>
    <row r="1090" spans="1:24" hidden="1">
      <c r="A1090" s="1">
        <v>45170</v>
      </c>
      <c r="B1090" s="1" t="s">
        <v>1375</v>
      </c>
      <c r="C1090" s="2" t="s">
        <v>1370</v>
      </c>
      <c r="D1090" s="2" t="s">
        <v>279</v>
      </c>
      <c r="E1090" s="2" t="s">
        <v>1289</v>
      </c>
      <c r="F1090" s="2" t="s">
        <v>358</v>
      </c>
      <c r="G1090" s="2" t="s">
        <v>282</v>
      </c>
      <c r="H1090" s="2" t="s">
        <v>388</v>
      </c>
      <c r="I1090" t="s">
        <v>198</v>
      </c>
      <c r="J1090" s="18">
        <v>7785.59</v>
      </c>
      <c r="K1090" s="18"/>
      <c r="L1090" s="18">
        <v>7805.1304323957602</v>
      </c>
      <c r="M1090" s="18">
        <v>65.536234461691507</v>
      </c>
      <c r="N1090" s="18"/>
      <c r="O1090" s="18"/>
      <c r="P1090" s="3">
        <v>0</v>
      </c>
      <c r="Q1090" s="3">
        <v>0</v>
      </c>
      <c r="R1090" s="3">
        <v>0</v>
      </c>
      <c r="S1090" s="3"/>
      <c r="T1090" s="3" t="b">
        <v>1</v>
      </c>
      <c r="U1090" s="3">
        <v>2280</v>
      </c>
      <c r="V1090" s="3">
        <v>1</v>
      </c>
      <c r="W1090" s="3">
        <v>2591</v>
      </c>
      <c r="X1090" s="3">
        <v>14.17</v>
      </c>
    </row>
    <row r="1091" spans="1:24" hidden="1">
      <c r="A1091" s="1">
        <v>45200</v>
      </c>
      <c r="B1091" s="1" t="s">
        <v>1376</v>
      </c>
      <c r="C1091" s="2" t="s">
        <v>1370</v>
      </c>
      <c r="D1091" s="2" t="s">
        <v>279</v>
      </c>
      <c r="E1091" s="2" t="s">
        <v>1289</v>
      </c>
      <c r="F1091" s="2" t="s">
        <v>358</v>
      </c>
      <c r="G1091" s="2" t="s">
        <v>282</v>
      </c>
      <c r="H1091" s="2" t="s">
        <v>388</v>
      </c>
      <c r="I1091" t="s">
        <v>198</v>
      </c>
      <c r="J1091" s="18">
        <v>7996.12</v>
      </c>
      <c r="K1091" s="18"/>
      <c r="L1091" s="18">
        <v>7777.7960164669803</v>
      </c>
      <c r="M1091" s="18">
        <v>223.239443445398</v>
      </c>
      <c r="N1091" s="18"/>
      <c r="O1091" s="18"/>
      <c r="P1091" s="3">
        <v>0</v>
      </c>
      <c r="Q1091" s="3">
        <v>0</v>
      </c>
      <c r="R1091" s="3">
        <v>0</v>
      </c>
      <c r="S1091" s="3"/>
      <c r="T1091" s="3" t="b">
        <v>0</v>
      </c>
      <c r="U1091" s="3">
        <v>4722</v>
      </c>
      <c r="V1091" s="3">
        <v>0</v>
      </c>
      <c r="W1091" s="3">
        <v>2103</v>
      </c>
      <c r="X1091" s="3">
        <v>13.66</v>
      </c>
    </row>
    <row r="1092" spans="1:24" hidden="1">
      <c r="A1092" s="1">
        <v>45231</v>
      </c>
      <c r="B1092" s="1" t="s">
        <v>1377</v>
      </c>
      <c r="C1092" s="2" t="s">
        <v>1370</v>
      </c>
      <c r="D1092" s="2" t="s">
        <v>279</v>
      </c>
      <c r="E1092" s="2" t="s">
        <v>1289</v>
      </c>
      <c r="F1092" s="2" t="s">
        <v>358</v>
      </c>
      <c r="G1092" s="2" t="s">
        <v>282</v>
      </c>
      <c r="H1092" s="2" t="s">
        <v>388</v>
      </c>
      <c r="I1092" t="s">
        <v>198</v>
      </c>
      <c r="J1092" s="18">
        <v>8033.63</v>
      </c>
      <c r="K1092" s="18"/>
      <c r="L1092" s="18">
        <v>7749.5504535908103</v>
      </c>
      <c r="M1092" s="18">
        <v>280.934377949419</v>
      </c>
      <c r="N1092" s="18"/>
      <c r="O1092" s="18"/>
      <c r="P1092" s="3">
        <v>0</v>
      </c>
      <c r="Q1092" s="3">
        <v>0</v>
      </c>
      <c r="R1092" s="3">
        <v>0</v>
      </c>
      <c r="S1092" s="3"/>
      <c r="T1092" s="3" t="b">
        <v>0</v>
      </c>
      <c r="U1092" s="3">
        <v>3813</v>
      </c>
      <c r="V1092" s="3">
        <v>0</v>
      </c>
      <c r="W1092" s="3">
        <v>2329</v>
      </c>
      <c r="X1092" s="3">
        <v>13.19</v>
      </c>
    </row>
    <row r="1093" spans="1:24" hidden="1">
      <c r="A1093" s="1">
        <v>45261</v>
      </c>
      <c r="B1093" s="1" t="s">
        <v>1378</v>
      </c>
      <c r="C1093" s="2" t="s">
        <v>1370</v>
      </c>
      <c r="D1093" s="2" t="s">
        <v>279</v>
      </c>
      <c r="E1093" s="2" t="s">
        <v>1289</v>
      </c>
      <c r="F1093" s="2" t="s">
        <v>358</v>
      </c>
      <c r="G1093" s="2" t="s">
        <v>282</v>
      </c>
      <c r="H1093" s="2" t="s">
        <v>388</v>
      </c>
      <c r="I1093" t="s">
        <v>198</v>
      </c>
      <c r="J1093" s="18">
        <v>8332.36</v>
      </c>
      <c r="K1093" s="18"/>
      <c r="L1093" s="18">
        <v>7722.2160378718099</v>
      </c>
      <c r="M1093" s="18">
        <v>612.93732694199798</v>
      </c>
      <c r="N1093" s="18"/>
      <c r="O1093" s="18"/>
      <c r="P1093" s="3">
        <v>0</v>
      </c>
      <c r="Q1093" s="3">
        <v>0</v>
      </c>
      <c r="R1093" s="3">
        <v>0</v>
      </c>
      <c r="S1093" s="3"/>
      <c r="T1093" s="3" t="b">
        <v>0</v>
      </c>
      <c r="U1093" s="3">
        <v>2932</v>
      </c>
      <c r="V1093" s="3">
        <v>1</v>
      </c>
      <c r="W1093" s="3">
        <v>1057</v>
      </c>
      <c r="X1093" s="3">
        <v>15.28</v>
      </c>
    </row>
    <row r="1094" spans="1:24" hidden="1">
      <c r="A1094" s="1">
        <v>45292</v>
      </c>
      <c r="B1094" s="1" t="s">
        <v>1379</v>
      </c>
      <c r="C1094" s="2" t="s">
        <v>1370</v>
      </c>
      <c r="D1094" s="2" t="s">
        <v>279</v>
      </c>
      <c r="E1094" s="2" t="s">
        <v>1289</v>
      </c>
      <c r="F1094" s="2" t="s">
        <v>358</v>
      </c>
      <c r="G1094" s="2" t="s">
        <v>282</v>
      </c>
      <c r="H1094" s="2" t="s">
        <v>388</v>
      </c>
      <c r="I1094" t="s">
        <v>198</v>
      </c>
      <c r="J1094" s="18">
        <v>7921.26</v>
      </c>
      <c r="K1094" s="18"/>
      <c r="L1094" s="18">
        <v>7693.97047520671</v>
      </c>
      <c r="M1094" s="18">
        <v>224.396602181059</v>
      </c>
      <c r="N1094" s="18"/>
      <c r="O1094" s="18"/>
      <c r="P1094" s="3">
        <v>0</v>
      </c>
      <c r="Q1094" s="3">
        <v>0</v>
      </c>
      <c r="R1094" s="3">
        <v>0</v>
      </c>
      <c r="S1094" s="3"/>
      <c r="T1094" s="3" t="b">
        <v>0</v>
      </c>
      <c r="U1094" s="3">
        <v>4762</v>
      </c>
      <c r="V1094" s="3">
        <v>0</v>
      </c>
      <c r="W1094" s="3">
        <v>2553</v>
      </c>
      <c r="X1094" s="3">
        <v>15.78</v>
      </c>
    </row>
    <row r="1095" spans="1:24" hidden="1">
      <c r="A1095" s="1">
        <v>45323</v>
      </c>
      <c r="B1095" s="1" t="s">
        <v>1380</v>
      </c>
      <c r="C1095" s="2" t="s">
        <v>1370</v>
      </c>
      <c r="D1095" s="2" t="s">
        <v>279</v>
      </c>
      <c r="E1095" s="2" t="s">
        <v>1289</v>
      </c>
      <c r="F1095" s="2" t="s">
        <v>358</v>
      </c>
      <c r="G1095" s="2" t="s">
        <v>282</v>
      </c>
      <c r="H1095" s="2" t="s">
        <v>388</v>
      </c>
      <c r="I1095" t="s">
        <v>198</v>
      </c>
      <c r="J1095" s="18">
        <v>7868.33</v>
      </c>
      <c r="K1095" s="18"/>
      <c r="L1095" s="18">
        <v>7665.7249124989303</v>
      </c>
      <c r="M1095" s="18">
        <v>206.66677103851299</v>
      </c>
      <c r="N1095" s="18"/>
      <c r="O1095" s="18"/>
      <c r="P1095" s="3">
        <v>0</v>
      </c>
      <c r="Q1095" s="3">
        <v>0</v>
      </c>
      <c r="R1095" s="3">
        <v>0</v>
      </c>
      <c r="S1095" s="3"/>
      <c r="T1095" s="3" t="b">
        <v>0</v>
      </c>
      <c r="U1095" s="3">
        <v>2607</v>
      </c>
      <c r="V1095" s="3">
        <v>1</v>
      </c>
      <c r="W1095" s="3">
        <v>2231</v>
      </c>
      <c r="X1095" s="3">
        <v>15.07</v>
      </c>
    </row>
    <row r="1096" spans="1:24" hidden="1">
      <c r="A1096" s="1">
        <v>45352</v>
      </c>
      <c r="B1096" s="1" t="s">
        <v>1381</v>
      </c>
      <c r="C1096" s="2" t="s">
        <v>1370</v>
      </c>
      <c r="D1096" s="2" t="s">
        <v>279</v>
      </c>
      <c r="E1096" s="2" t="s">
        <v>1289</v>
      </c>
      <c r="F1096" s="2" t="s">
        <v>358</v>
      </c>
      <c r="G1096" s="2" t="s">
        <v>282</v>
      </c>
      <c r="H1096" s="2" t="s">
        <v>388</v>
      </c>
      <c r="I1096" t="s">
        <v>198</v>
      </c>
      <c r="J1096" s="18">
        <v>7665.63</v>
      </c>
      <c r="K1096" s="18"/>
      <c r="L1096" s="18">
        <v>7639.3016442210501</v>
      </c>
      <c r="M1096" s="18">
        <v>19.2994213702355</v>
      </c>
      <c r="N1096" s="18"/>
      <c r="O1096" s="18"/>
      <c r="P1096" s="3">
        <v>0</v>
      </c>
      <c r="Q1096" s="3">
        <v>0</v>
      </c>
      <c r="R1096" s="3">
        <v>0</v>
      </c>
      <c r="S1096" s="3"/>
      <c r="T1096" s="3" t="b">
        <v>1</v>
      </c>
      <c r="U1096" s="3">
        <v>2482</v>
      </c>
      <c r="V1096" s="3">
        <v>1</v>
      </c>
      <c r="W1096" s="3">
        <v>2534</v>
      </c>
      <c r="X1096" s="3">
        <v>15.35</v>
      </c>
    </row>
    <row r="1097" spans="1:24" hidden="1">
      <c r="A1097" s="1">
        <v>45383</v>
      </c>
      <c r="B1097" s="1" t="s">
        <v>1382</v>
      </c>
      <c r="C1097" s="2" t="s">
        <v>1370</v>
      </c>
      <c r="D1097" s="2" t="s">
        <v>279</v>
      </c>
      <c r="E1097" s="2" t="s">
        <v>1289</v>
      </c>
      <c r="F1097" s="2" t="s">
        <v>358</v>
      </c>
      <c r="G1097" s="2" t="s">
        <v>282</v>
      </c>
      <c r="H1097" s="2" t="s">
        <v>388</v>
      </c>
      <c r="I1097" t="s">
        <v>198</v>
      </c>
      <c r="J1097" s="18">
        <v>7435.44</v>
      </c>
      <c r="K1097" s="18"/>
      <c r="L1097" s="18">
        <v>7611.0560815526596</v>
      </c>
      <c r="M1097" s="18">
        <v>-338.31134375038903</v>
      </c>
      <c r="N1097" s="18"/>
      <c r="O1097" s="18"/>
      <c r="P1097" s="3">
        <v>0</v>
      </c>
      <c r="Q1097" s="3">
        <v>0</v>
      </c>
      <c r="R1097" s="3">
        <v>0</v>
      </c>
      <c r="S1097" s="3"/>
      <c r="T1097" s="3" t="b">
        <v>0</v>
      </c>
      <c r="U1097" s="3">
        <v>3246</v>
      </c>
      <c r="V1097" s="3">
        <v>0</v>
      </c>
      <c r="W1097" s="3">
        <v>2158</v>
      </c>
      <c r="X1097" s="3">
        <v>14.22</v>
      </c>
    </row>
    <row r="1098" spans="1:24" hidden="1">
      <c r="A1098" s="1">
        <v>45413</v>
      </c>
      <c r="B1098" s="1" t="s">
        <v>1383</v>
      </c>
      <c r="C1098" s="2" t="s">
        <v>1370</v>
      </c>
      <c r="D1098" s="2" t="s">
        <v>279</v>
      </c>
      <c r="E1098" s="2" t="s">
        <v>1289</v>
      </c>
      <c r="F1098" s="2" t="s">
        <v>358</v>
      </c>
      <c r="G1098" s="2" t="s">
        <v>282</v>
      </c>
      <c r="H1098" s="2" t="s">
        <v>388</v>
      </c>
      <c r="I1098" t="s">
        <v>198</v>
      </c>
      <c r="J1098" s="18">
        <v>7438.02</v>
      </c>
      <c r="K1098" s="18"/>
      <c r="L1098" s="18">
        <v>7583.7421969508596</v>
      </c>
      <c r="M1098" s="18">
        <v>256.42624147283698</v>
      </c>
      <c r="N1098" s="18"/>
      <c r="O1098" s="18"/>
      <c r="P1098" s="3">
        <v>0</v>
      </c>
      <c r="Q1098" s="3">
        <v>0</v>
      </c>
      <c r="R1098" s="3">
        <v>0</v>
      </c>
      <c r="S1098" s="3"/>
      <c r="T1098" s="3" t="b">
        <v>0</v>
      </c>
      <c r="U1098" s="3">
        <v>3772</v>
      </c>
      <c r="V1098" s="3">
        <v>0</v>
      </c>
      <c r="W1098" s="3">
        <v>2867</v>
      </c>
      <c r="X1098" s="3">
        <v>16.05</v>
      </c>
    </row>
    <row r="1099" spans="1:24" hidden="1">
      <c r="A1099" s="1">
        <v>45444</v>
      </c>
      <c r="B1099" s="1" t="s">
        <v>1384</v>
      </c>
      <c r="C1099" s="2" t="s">
        <v>1370</v>
      </c>
      <c r="D1099" s="2" t="s">
        <v>279</v>
      </c>
      <c r="E1099" s="2" t="s">
        <v>1289</v>
      </c>
      <c r="F1099" s="2" t="s">
        <v>358</v>
      </c>
      <c r="G1099" s="2" t="s">
        <v>282</v>
      </c>
      <c r="H1099" s="2" t="s">
        <v>388</v>
      </c>
      <c r="I1099" t="s">
        <v>198</v>
      </c>
      <c r="J1099" s="18">
        <v>7186.96</v>
      </c>
      <c r="K1099" s="18"/>
      <c r="L1099" s="18">
        <v>7555.5757332244202</v>
      </c>
      <c r="M1099" s="18">
        <v>-328.87183647010102</v>
      </c>
      <c r="N1099" s="18"/>
      <c r="O1099" s="18"/>
      <c r="P1099" s="3">
        <v>0</v>
      </c>
      <c r="Q1099" s="3">
        <v>0</v>
      </c>
      <c r="R1099" s="3">
        <v>0</v>
      </c>
      <c r="S1099" s="3"/>
      <c r="T1099" s="3" t="b">
        <v>0</v>
      </c>
      <c r="U1099" s="3">
        <v>4164</v>
      </c>
      <c r="V1099" s="3">
        <v>0</v>
      </c>
      <c r="W1099" s="3">
        <v>1993</v>
      </c>
      <c r="X1099" s="3">
        <v>40</v>
      </c>
    </row>
    <row r="1100" spans="1:24" hidden="1">
      <c r="A1100" s="1">
        <v>45474</v>
      </c>
      <c r="B1100" s="1" t="s">
        <v>1385</v>
      </c>
      <c r="C1100" s="2" t="s">
        <v>1370</v>
      </c>
      <c r="D1100" s="2" t="s">
        <v>279</v>
      </c>
      <c r="E1100" s="2" t="s">
        <v>1289</v>
      </c>
      <c r="F1100" s="2" t="s">
        <v>358</v>
      </c>
      <c r="G1100" s="2" t="s">
        <v>282</v>
      </c>
      <c r="H1100" s="2" t="s">
        <v>388</v>
      </c>
      <c r="I1100" t="s">
        <v>198</v>
      </c>
      <c r="J1100" s="18">
        <v>7216.56</v>
      </c>
      <c r="K1100" s="18">
        <v>7329.82</v>
      </c>
      <c r="L1100" s="18">
        <v>7528.3178651020698</v>
      </c>
      <c r="M1100" s="18">
        <v>-603.89726918058898</v>
      </c>
      <c r="N1100" s="18">
        <v>7529.82</v>
      </c>
      <c r="O1100" s="18">
        <v>7129.82</v>
      </c>
      <c r="P1100" s="3">
        <v>0</v>
      </c>
      <c r="Q1100" s="3">
        <v>0</v>
      </c>
      <c r="R1100" s="3">
        <v>0</v>
      </c>
      <c r="S1100" s="3"/>
      <c r="T1100" s="3" t="b">
        <v>0</v>
      </c>
      <c r="U1100" s="3">
        <v>2191</v>
      </c>
      <c r="V1100" s="3">
        <v>0</v>
      </c>
      <c r="W1100" s="3">
        <v>1521</v>
      </c>
      <c r="X1100" s="3">
        <v>15</v>
      </c>
    </row>
    <row r="1101" spans="1:24" hidden="1">
      <c r="A1101" s="1">
        <v>45505</v>
      </c>
      <c r="B1101" s="1" t="s">
        <v>1386</v>
      </c>
      <c r="C1101" s="2" t="s">
        <v>1370</v>
      </c>
      <c r="D1101" s="2" t="s">
        <v>279</v>
      </c>
      <c r="E1101" s="2" t="s">
        <v>1289</v>
      </c>
      <c r="F1101" s="2" t="s">
        <v>358</v>
      </c>
      <c r="G1101" s="2" t="s">
        <v>282</v>
      </c>
      <c r="H1101" s="2" t="s">
        <v>388</v>
      </c>
      <c r="I1101" t="s">
        <v>198</v>
      </c>
      <c r="J1101" s="18">
        <v>7479.34</v>
      </c>
      <c r="K1101" s="18">
        <v>7623.98</v>
      </c>
      <c r="L1101" s="18">
        <v>7500.1514013756396</v>
      </c>
      <c r="M1101" s="18">
        <v>87.676162095888699</v>
      </c>
      <c r="N1101" s="18">
        <v>7823.98</v>
      </c>
      <c r="O1101" s="18">
        <v>7423.98</v>
      </c>
      <c r="P1101" s="3">
        <v>0</v>
      </c>
      <c r="Q1101" s="3">
        <v>0</v>
      </c>
      <c r="R1101" s="3">
        <v>0</v>
      </c>
      <c r="S1101" s="3"/>
      <c r="T1101" s="3" t="b">
        <v>0</v>
      </c>
      <c r="U1101" s="3">
        <v>4835</v>
      </c>
      <c r="V1101" s="3">
        <v>1</v>
      </c>
      <c r="W1101" s="3">
        <v>1580</v>
      </c>
      <c r="X1101" s="3">
        <v>13.92</v>
      </c>
    </row>
    <row r="1102" spans="1:24" hidden="1">
      <c r="A1102" s="1">
        <v>45536</v>
      </c>
      <c r="B1102" s="1" t="s">
        <v>1387</v>
      </c>
      <c r="C1102" s="2" t="s">
        <v>1370</v>
      </c>
      <c r="D1102" s="2" t="s">
        <v>279</v>
      </c>
      <c r="E1102" s="2" t="s">
        <v>1289</v>
      </c>
      <c r="F1102" s="2" t="s">
        <v>358</v>
      </c>
      <c r="G1102" s="2" t="s">
        <v>282</v>
      </c>
      <c r="H1102" s="2" t="s">
        <v>388</v>
      </c>
      <c r="I1102" t="s">
        <v>198</v>
      </c>
      <c r="J1102" s="18">
        <v>7232.88</v>
      </c>
      <c r="K1102" s="18">
        <v>7267.04</v>
      </c>
      <c r="L1102" s="18">
        <v>7471.9849376492102</v>
      </c>
      <c r="M1102" s="18">
        <v>-328.75263828303702</v>
      </c>
      <c r="N1102" s="18">
        <v>7467.04</v>
      </c>
      <c r="O1102" s="18">
        <v>7067.04</v>
      </c>
      <c r="P1102" s="3">
        <v>0</v>
      </c>
      <c r="Q1102" s="3">
        <v>0</v>
      </c>
      <c r="R1102" s="3">
        <v>0</v>
      </c>
      <c r="S1102" s="3"/>
      <c r="T1102" s="3" t="b">
        <v>0</v>
      </c>
      <c r="U1102" s="3">
        <v>4665</v>
      </c>
      <c r="V1102" s="3">
        <v>0</v>
      </c>
      <c r="W1102" s="3">
        <v>2876</v>
      </c>
      <c r="X1102" s="3">
        <v>15.68</v>
      </c>
    </row>
    <row r="1103" spans="1:24" hidden="1">
      <c r="A1103" s="1">
        <v>45566</v>
      </c>
      <c r="B1103" s="1" t="s">
        <v>1388</v>
      </c>
      <c r="C1103" s="2" t="s">
        <v>1370</v>
      </c>
      <c r="D1103" s="2" t="s">
        <v>279</v>
      </c>
      <c r="E1103" s="2" t="s">
        <v>1289</v>
      </c>
      <c r="F1103" s="2" t="s">
        <v>358</v>
      </c>
      <c r="G1103" s="2" t="s">
        <v>282</v>
      </c>
      <c r="H1103" s="2" t="s">
        <v>388</v>
      </c>
      <c r="I1103" t="s">
        <v>224</v>
      </c>
      <c r="J1103" s="18"/>
      <c r="K1103" s="18">
        <v>7523.03</v>
      </c>
      <c r="L1103" s="18">
        <v>7444.7270695268498</v>
      </c>
      <c r="M1103" s="18">
        <v>627.23478304387095</v>
      </c>
      <c r="N1103" s="18">
        <v>7723.03</v>
      </c>
      <c r="O1103" s="18">
        <v>7323.03</v>
      </c>
      <c r="P1103" s="3"/>
      <c r="Q1103" s="3"/>
      <c r="R1103" s="3"/>
      <c r="S1103" s="3"/>
      <c r="T1103" s="3"/>
      <c r="U1103" s="3"/>
      <c r="V1103" s="3"/>
      <c r="W1103" s="3">
        <v>1898</v>
      </c>
      <c r="X1103" s="3">
        <v>13.8</v>
      </c>
    </row>
    <row r="1104" spans="1:24" hidden="1">
      <c r="A1104" s="1">
        <v>45597</v>
      </c>
      <c r="B1104" s="1" t="s">
        <v>1389</v>
      </c>
      <c r="C1104" s="2" t="s">
        <v>1370</v>
      </c>
      <c r="D1104" s="2" t="s">
        <v>279</v>
      </c>
      <c r="E1104" s="2" t="s">
        <v>1289</v>
      </c>
      <c r="F1104" s="2" t="s">
        <v>358</v>
      </c>
      <c r="G1104" s="2" t="s">
        <v>282</v>
      </c>
      <c r="H1104" s="2" t="s">
        <v>388</v>
      </c>
      <c r="I1104" t="s">
        <v>224</v>
      </c>
      <c r="J1104" s="18"/>
      <c r="K1104" s="18">
        <v>7155.71</v>
      </c>
      <c r="L1104" s="18">
        <v>7416.5606058004196</v>
      </c>
      <c r="M1104" s="18">
        <v>-116.255875111853</v>
      </c>
      <c r="N1104" s="18">
        <v>7355.71</v>
      </c>
      <c r="O1104" s="18">
        <v>6955.71</v>
      </c>
      <c r="P1104" s="3"/>
      <c r="Q1104" s="3"/>
      <c r="R1104" s="3"/>
      <c r="S1104" s="3"/>
      <c r="T1104" s="3"/>
      <c r="U1104" s="3"/>
      <c r="V1104" s="3"/>
      <c r="W1104" s="3">
        <v>2106</v>
      </c>
      <c r="X1104" s="3">
        <v>14.29</v>
      </c>
    </row>
    <row r="1105" spans="1:24" hidden="1">
      <c r="A1105" s="1">
        <v>45627</v>
      </c>
      <c r="B1105" s="1" t="s">
        <v>1390</v>
      </c>
      <c r="C1105" s="2" t="s">
        <v>1370</v>
      </c>
      <c r="D1105" s="2" t="s">
        <v>279</v>
      </c>
      <c r="E1105" s="2" t="s">
        <v>1289</v>
      </c>
      <c r="F1105" s="2" t="s">
        <v>358</v>
      </c>
      <c r="G1105" s="2" t="s">
        <v>282</v>
      </c>
      <c r="H1105" s="2" t="s">
        <v>388</v>
      </c>
      <c r="I1105" t="s">
        <v>224</v>
      </c>
      <c r="J1105" s="18"/>
      <c r="K1105" s="18">
        <v>7928.23</v>
      </c>
      <c r="L1105" s="18">
        <v>7389.3027376780701</v>
      </c>
      <c r="M1105" s="18">
        <v>1020.5005556761701</v>
      </c>
      <c r="N1105" s="18">
        <v>8128.23</v>
      </c>
      <c r="O1105" s="18">
        <v>7728.23</v>
      </c>
      <c r="P1105" s="3"/>
      <c r="Q1105" s="3"/>
      <c r="R1105" s="3"/>
      <c r="S1105" s="3"/>
      <c r="T1105" s="3"/>
      <c r="U1105" s="3"/>
      <c r="V1105" s="3"/>
      <c r="W1105" s="3">
        <v>1620</v>
      </c>
      <c r="X1105" s="3">
        <v>13.1</v>
      </c>
    </row>
    <row r="1106" spans="1:24" hidden="1">
      <c r="A1106" s="1">
        <v>45597</v>
      </c>
      <c r="B1106" s="1" t="s">
        <v>1391</v>
      </c>
      <c r="C1106" s="2" t="s">
        <v>1392</v>
      </c>
      <c r="D1106" s="2" t="s">
        <v>279</v>
      </c>
      <c r="E1106" s="2" t="s">
        <v>1289</v>
      </c>
      <c r="F1106" s="2" t="s">
        <v>358</v>
      </c>
      <c r="G1106" s="2" t="s">
        <v>282</v>
      </c>
      <c r="H1106" s="2" t="s">
        <v>353</v>
      </c>
      <c r="I1106" t="s">
        <v>224</v>
      </c>
      <c r="J1106" s="18"/>
      <c r="K1106" s="18">
        <v>20007.509999999998</v>
      </c>
      <c r="L1106" s="18">
        <v>0</v>
      </c>
      <c r="M1106" s="18">
        <v>0</v>
      </c>
      <c r="N1106" s="18">
        <v>20207.509999999998</v>
      </c>
      <c r="O1106" s="18">
        <v>19807.509999999998</v>
      </c>
      <c r="P1106" s="3"/>
      <c r="Q1106" s="3"/>
      <c r="R1106" s="3"/>
      <c r="S1106" s="3"/>
      <c r="T1106" s="3"/>
      <c r="U1106" s="3"/>
      <c r="V1106" s="3"/>
      <c r="W1106" s="3">
        <v>1869</v>
      </c>
      <c r="X1106" s="3">
        <v>11.15</v>
      </c>
    </row>
    <row r="1107" spans="1:24" hidden="1">
      <c r="A1107" s="1">
        <v>44896</v>
      </c>
      <c r="B1107" s="1" t="s">
        <v>1393</v>
      </c>
      <c r="C1107" s="2" t="s">
        <v>1394</v>
      </c>
      <c r="D1107" s="2" t="s">
        <v>279</v>
      </c>
      <c r="E1107" s="2" t="s">
        <v>1289</v>
      </c>
      <c r="F1107" s="2" t="s">
        <v>522</v>
      </c>
      <c r="G1107" s="2" t="s">
        <v>1290</v>
      </c>
      <c r="H1107" s="2" t="s">
        <v>1291</v>
      </c>
      <c r="I1107" t="s">
        <v>198</v>
      </c>
      <c r="J1107" s="18">
        <v>14052.39</v>
      </c>
      <c r="K1107" s="18"/>
      <c r="L1107" s="18">
        <v>12736.86539597</v>
      </c>
      <c r="M1107" s="18">
        <v>1235.31474221026</v>
      </c>
      <c r="N1107" s="18"/>
      <c r="O1107" s="18"/>
      <c r="P1107" s="3">
        <v>0</v>
      </c>
      <c r="Q1107" s="3">
        <v>0</v>
      </c>
      <c r="R1107" s="3">
        <v>0</v>
      </c>
      <c r="S1107" s="3"/>
      <c r="T1107" s="3" t="b">
        <v>0</v>
      </c>
      <c r="U1107" s="3">
        <v>3510</v>
      </c>
      <c r="V1107" s="3">
        <v>0</v>
      </c>
      <c r="W1107" s="3">
        <v>2891</v>
      </c>
      <c r="X1107" s="3">
        <v>17.75</v>
      </c>
    </row>
    <row r="1108" spans="1:24" hidden="1">
      <c r="A1108" s="1">
        <v>44927</v>
      </c>
      <c r="B1108" s="1" t="s">
        <v>1395</v>
      </c>
      <c r="C1108" s="2" t="s">
        <v>1394</v>
      </c>
      <c r="D1108" s="2" t="s">
        <v>279</v>
      </c>
      <c r="E1108" s="2" t="s">
        <v>1289</v>
      </c>
      <c r="F1108" s="2" t="s">
        <v>522</v>
      </c>
      <c r="G1108" s="2" t="s">
        <v>1290</v>
      </c>
      <c r="H1108" s="2" t="s">
        <v>1291</v>
      </c>
      <c r="I1108" t="s">
        <v>198</v>
      </c>
      <c r="J1108" s="18">
        <v>14185.42</v>
      </c>
      <c r="K1108" s="18"/>
      <c r="L1108" s="18">
        <v>13257.0203717566</v>
      </c>
      <c r="M1108" s="18">
        <v>952.08752025009096</v>
      </c>
      <c r="N1108" s="18"/>
      <c r="O1108" s="18"/>
      <c r="P1108" s="3">
        <v>0</v>
      </c>
      <c r="Q1108" s="3">
        <v>0</v>
      </c>
      <c r="R1108" s="3">
        <v>0</v>
      </c>
      <c r="S1108" s="3"/>
      <c r="T1108" s="3" t="b">
        <v>0</v>
      </c>
      <c r="U1108" s="3">
        <v>2570</v>
      </c>
      <c r="V1108" s="3">
        <v>0</v>
      </c>
      <c r="W1108" s="3">
        <v>2126</v>
      </c>
      <c r="X1108" s="3">
        <v>20.89</v>
      </c>
    </row>
    <row r="1109" spans="1:24" hidden="1">
      <c r="A1109" s="1">
        <v>44958</v>
      </c>
      <c r="B1109" s="1" t="s">
        <v>1396</v>
      </c>
      <c r="C1109" s="2" t="s">
        <v>1394</v>
      </c>
      <c r="D1109" s="2" t="s">
        <v>279</v>
      </c>
      <c r="E1109" s="2" t="s">
        <v>1289</v>
      </c>
      <c r="F1109" s="2" t="s">
        <v>522</v>
      </c>
      <c r="G1109" s="2" t="s">
        <v>1290</v>
      </c>
      <c r="H1109" s="2" t="s">
        <v>1291</v>
      </c>
      <c r="I1109" t="s">
        <v>198</v>
      </c>
      <c r="J1109" s="18">
        <v>14323.99</v>
      </c>
      <c r="K1109" s="18"/>
      <c r="L1109" s="18">
        <v>13777.175350350901</v>
      </c>
      <c r="M1109" s="18">
        <v>3365.9364291330899</v>
      </c>
      <c r="N1109" s="18"/>
      <c r="O1109" s="18"/>
      <c r="P1109" s="3">
        <v>0</v>
      </c>
      <c r="Q1109" s="3">
        <v>0</v>
      </c>
      <c r="R1109" s="3">
        <v>0</v>
      </c>
      <c r="S1109" s="3"/>
      <c r="T1109" s="3" t="b">
        <v>0</v>
      </c>
      <c r="U1109" s="3">
        <v>2714</v>
      </c>
      <c r="V1109" s="3">
        <v>0</v>
      </c>
      <c r="W1109" s="3">
        <v>2249</v>
      </c>
      <c r="X1109" s="3">
        <v>18.23</v>
      </c>
    </row>
    <row r="1110" spans="1:24" hidden="1">
      <c r="A1110" s="1">
        <v>44986</v>
      </c>
      <c r="B1110" s="1" t="s">
        <v>1397</v>
      </c>
      <c r="C1110" s="2" t="s">
        <v>1394</v>
      </c>
      <c r="D1110" s="2" t="s">
        <v>279</v>
      </c>
      <c r="E1110" s="2" t="s">
        <v>1289</v>
      </c>
      <c r="F1110" s="2" t="s">
        <v>522</v>
      </c>
      <c r="G1110" s="2" t="s">
        <v>1290</v>
      </c>
      <c r="H1110" s="2" t="s">
        <v>1291</v>
      </c>
      <c r="I1110" t="s">
        <v>198</v>
      </c>
      <c r="J1110" s="18">
        <v>14019.5</v>
      </c>
      <c r="K1110" s="18"/>
      <c r="L1110" s="18">
        <v>14246.992752111501</v>
      </c>
      <c r="M1110" s="18">
        <v>-137.330041986895</v>
      </c>
      <c r="N1110" s="18"/>
      <c r="O1110" s="18"/>
      <c r="P1110" s="3">
        <v>0</v>
      </c>
      <c r="Q1110" s="3">
        <v>0</v>
      </c>
      <c r="R1110" s="3">
        <v>0</v>
      </c>
      <c r="S1110" s="3"/>
      <c r="T1110" s="3" t="b">
        <v>0</v>
      </c>
      <c r="U1110" s="3">
        <v>3338</v>
      </c>
      <c r="V1110" s="3">
        <v>0</v>
      </c>
      <c r="W1110" s="3">
        <v>2925</v>
      </c>
      <c r="X1110" s="3">
        <v>18.75</v>
      </c>
    </row>
    <row r="1111" spans="1:24" hidden="1">
      <c r="A1111" s="1">
        <v>45017</v>
      </c>
      <c r="B1111" s="1" t="s">
        <v>1398</v>
      </c>
      <c r="C1111" s="2" t="s">
        <v>1394</v>
      </c>
      <c r="D1111" s="2" t="s">
        <v>279</v>
      </c>
      <c r="E1111" s="2" t="s">
        <v>1289</v>
      </c>
      <c r="F1111" s="2" t="s">
        <v>522</v>
      </c>
      <c r="G1111" s="2" t="s">
        <v>1290</v>
      </c>
      <c r="H1111" s="2" t="s">
        <v>1291</v>
      </c>
      <c r="I1111" t="s">
        <v>198</v>
      </c>
      <c r="J1111" s="18">
        <v>14728.7</v>
      </c>
      <c r="K1111" s="18"/>
      <c r="L1111" s="18">
        <v>14767.1477288971</v>
      </c>
      <c r="M1111" s="18">
        <v>-390.29194685427598</v>
      </c>
      <c r="N1111" s="18"/>
      <c r="O1111" s="18"/>
      <c r="P1111" s="3">
        <v>0</v>
      </c>
      <c r="Q1111" s="3">
        <v>0</v>
      </c>
      <c r="R1111" s="3">
        <v>0</v>
      </c>
      <c r="S1111" s="3"/>
      <c r="T1111" s="3" t="b">
        <v>0</v>
      </c>
      <c r="U1111" s="3">
        <v>4286</v>
      </c>
      <c r="V1111" s="3">
        <v>0</v>
      </c>
      <c r="W1111" s="3">
        <v>1574</v>
      </c>
      <c r="X1111" s="3">
        <v>21.14</v>
      </c>
    </row>
    <row r="1112" spans="1:24" hidden="1">
      <c r="A1112" s="1">
        <v>45047</v>
      </c>
      <c r="B1112" s="1" t="s">
        <v>1399</v>
      </c>
      <c r="C1112" s="2" t="s">
        <v>1394</v>
      </c>
      <c r="D1112" s="2" t="s">
        <v>279</v>
      </c>
      <c r="E1112" s="2" t="s">
        <v>1289</v>
      </c>
      <c r="F1112" s="2" t="s">
        <v>522</v>
      </c>
      <c r="G1112" s="2" t="s">
        <v>1290</v>
      </c>
      <c r="H1112" s="2" t="s">
        <v>1291</v>
      </c>
      <c r="I1112" t="s">
        <v>198</v>
      </c>
      <c r="J1112" s="18">
        <v>13936.28</v>
      </c>
      <c r="K1112" s="18"/>
      <c r="L1112" s="18">
        <v>15270.523508391299</v>
      </c>
      <c r="M1112" s="18">
        <v>-1232.86805898898</v>
      </c>
      <c r="N1112" s="18"/>
      <c r="O1112" s="18"/>
      <c r="P1112" s="3">
        <v>0</v>
      </c>
      <c r="Q1112" s="3">
        <v>0</v>
      </c>
      <c r="R1112" s="3">
        <v>0</v>
      </c>
      <c r="S1112" s="3"/>
      <c r="T1112" s="3" t="b">
        <v>0</v>
      </c>
      <c r="U1112" s="3">
        <v>4350</v>
      </c>
      <c r="V1112" s="3">
        <v>1</v>
      </c>
      <c r="W1112" s="3">
        <v>1293</v>
      </c>
      <c r="X1112" s="3">
        <v>16.72</v>
      </c>
    </row>
    <row r="1113" spans="1:24" hidden="1">
      <c r="A1113" s="1">
        <v>45078</v>
      </c>
      <c r="B1113" s="1" t="s">
        <v>1400</v>
      </c>
      <c r="C1113" s="2" t="s">
        <v>1394</v>
      </c>
      <c r="D1113" s="2" t="s">
        <v>279</v>
      </c>
      <c r="E1113" s="2" t="s">
        <v>1289</v>
      </c>
      <c r="F1113" s="2" t="s">
        <v>522</v>
      </c>
      <c r="G1113" s="2" t="s">
        <v>1290</v>
      </c>
      <c r="H1113" s="2" t="s">
        <v>1291</v>
      </c>
      <c r="I1113" t="s">
        <v>198</v>
      </c>
      <c r="J1113" s="18">
        <v>14930.08</v>
      </c>
      <c r="K1113" s="18"/>
      <c r="L1113" s="18">
        <v>15790.678058125901</v>
      </c>
      <c r="M1113" s="18">
        <v>-1211.4953508179301</v>
      </c>
      <c r="N1113" s="18"/>
      <c r="O1113" s="18"/>
      <c r="P1113" s="3">
        <v>0</v>
      </c>
      <c r="Q1113" s="3">
        <v>0</v>
      </c>
      <c r="R1113" s="3">
        <v>0</v>
      </c>
      <c r="S1113" s="3"/>
      <c r="T1113" s="3" t="b">
        <v>0</v>
      </c>
      <c r="U1113" s="3">
        <v>4654</v>
      </c>
      <c r="V1113" s="3">
        <v>0</v>
      </c>
      <c r="W1113" s="3">
        <v>1895</v>
      </c>
      <c r="X1113" s="3">
        <v>19.489999999999998</v>
      </c>
    </row>
    <row r="1114" spans="1:24" hidden="1">
      <c r="A1114" s="1">
        <v>45108</v>
      </c>
      <c r="B1114" s="1" t="s">
        <v>1401</v>
      </c>
      <c r="C1114" s="2" t="s">
        <v>1394</v>
      </c>
      <c r="D1114" s="2" t="s">
        <v>279</v>
      </c>
      <c r="E1114" s="2" t="s">
        <v>1289</v>
      </c>
      <c r="F1114" s="2" t="s">
        <v>522</v>
      </c>
      <c r="G1114" s="2" t="s">
        <v>1290</v>
      </c>
      <c r="H1114" s="2" t="s">
        <v>1291</v>
      </c>
      <c r="I1114" t="s">
        <v>198</v>
      </c>
      <c r="J1114" s="18">
        <v>15259.06</v>
      </c>
      <c r="K1114" s="18"/>
      <c r="L1114" s="18">
        <v>16293.767304741001</v>
      </c>
      <c r="M1114" s="18">
        <v>-1716.0206970537099</v>
      </c>
      <c r="N1114" s="18"/>
      <c r="O1114" s="18"/>
      <c r="P1114" s="3">
        <v>0</v>
      </c>
      <c r="Q1114" s="3">
        <v>0</v>
      </c>
      <c r="R1114" s="3">
        <v>0</v>
      </c>
      <c r="S1114" s="3"/>
      <c r="T1114" s="3" t="b">
        <v>0</v>
      </c>
      <c r="U1114" s="3">
        <v>2990</v>
      </c>
      <c r="V1114" s="3">
        <v>0</v>
      </c>
      <c r="W1114" s="3">
        <v>2329</v>
      </c>
      <c r="X1114" s="3">
        <v>20.3</v>
      </c>
    </row>
    <row r="1115" spans="1:24" hidden="1">
      <c r="A1115" s="1">
        <v>45139</v>
      </c>
      <c r="B1115" s="1" t="s">
        <v>1402</v>
      </c>
      <c r="C1115" s="2" t="s">
        <v>1394</v>
      </c>
      <c r="D1115" s="2" t="s">
        <v>279</v>
      </c>
      <c r="E1115" s="2" t="s">
        <v>1289</v>
      </c>
      <c r="F1115" s="2" t="s">
        <v>522</v>
      </c>
      <c r="G1115" s="2" t="s">
        <v>1290</v>
      </c>
      <c r="H1115" s="2" t="s">
        <v>1291</v>
      </c>
      <c r="I1115" t="s">
        <v>198</v>
      </c>
      <c r="J1115" s="18">
        <v>15284.59</v>
      </c>
      <c r="K1115" s="18"/>
      <c r="L1115" s="18">
        <v>16813.575745511502</v>
      </c>
      <c r="M1115" s="18">
        <v>-1754.73824798033</v>
      </c>
      <c r="N1115" s="18"/>
      <c r="O1115" s="18"/>
      <c r="P1115" s="3">
        <v>0</v>
      </c>
      <c r="Q1115" s="3">
        <v>0</v>
      </c>
      <c r="R1115" s="3">
        <v>0</v>
      </c>
      <c r="S1115" s="3"/>
      <c r="T1115" s="3" t="b">
        <v>0</v>
      </c>
      <c r="U1115" s="3">
        <v>2333</v>
      </c>
      <c r="V1115" s="3">
        <v>0</v>
      </c>
      <c r="W1115" s="3">
        <v>2277</v>
      </c>
      <c r="X1115" s="3">
        <v>20.83</v>
      </c>
    </row>
    <row r="1116" spans="1:24" hidden="1">
      <c r="A1116" s="1">
        <v>45170</v>
      </c>
      <c r="B1116" s="1" t="s">
        <v>1403</v>
      </c>
      <c r="C1116" s="2" t="s">
        <v>1394</v>
      </c>
      <c r="D1116" s="2" t="s">
        <v>279</v>
      </c>
      <c r="E1116" s="2" t="s">
        <v>1289</v>
      </c>
      <c r="F1116" s="2" t="s">
        <v>522</v>
      </c>
      <c r="G1116" s="2" t="s">
        <v>1290</v>
      </c>
      <c r="H1116" s="2" t="s">
        <v>1291</v>
      </c>
      <c r="I1116" t="s">
        <v>198</v>
      </c>
      <c r="J1116" s="18">
        <v>15186.81</v>
      </c>
      <c r="K1116" s="18"/>
      <c r="L1116" s="18">
        <v>17332.835591541399</v>
      </c>
      <c r="M1116" s="18">
        <v>-3464.90540957646</v>
      </c>
      <c r="N1116" s="18"/>
      <c r="O1116" s="18"/>
      <c r="P1116" s="3">
        <v>0</v>
      </c>
      <c r="Q1116" s="3">
        <v>0</v>
      </c>
      <c r="R1116" s="3">
        <v>0</v>
      </c>
      <c r="S1116" s="3"/>
      <c r="T1116" s="3" t="b">
        <v>0</v>
      </c>
      <c r="U1116" s="3">
        <v>4160</v>
      </c>
      <c r="V1116" s="3">
        <v>0</v>
      </c>
      <c r="W1116" s="3">
        <v>2203</v>
      </c>
      <c r="X1116" s="3">
        <v>19.649999999999999</v>
      </c>
    </row>
    <row r="1117" spans="1:24" hidden="1">
      <c r="A1117" s="1">
        <v>45200</v>
      </c>
      <c r="B1117" s="1" t="s">
        <v>1404</v>
      </c>
      <c r="C1117" s="2" t="s">
        <v>1394</v>
      </c>
      <c r="D1117" s="2" t="s">
        <v>279</v>
      </c>
      <c r="E1117" s="2" t="s">
        <v>1289</v>
      </c>
      <c r="F1117" s="2" t="s">
        <v>522</v>
      </c>
      <c r="G1117" s="2" t="s">
        <v>1290</v>
      </c>
      <c r="H1117" s="2" t="s">
        <v>1291</v>
      </c>
      <c r="I1117" t="s">
        <v>198</v>
      </c>
      <c r="J1117" s="18">
        <v>20036.55</v>
      </c>
      <c r="K1117" s="18"/>
      <c r="L1117" s="18">
        <v>17834.466344793302</v>
      </c>
      <c r="M1117" s="18">
        <v>2166.2338105287999</v>
      </c>
      <c r="N1117" s="18"/>
      <c r="O1117" s="18"/>
      <c r="P1117" s="3">
        <v>1</v>
      </c>
      <c r="Q1117" s="3">
        <v>0</v>
      </c>
      <c r="R1117" s="3">
        <v>0</v>
      </c>
      <c r="S1117" s="3"/>
      <c r="T1117" s="3" t="b">
        <v>0</v>
      </c>
      <c r="U1117" s="3">
        <v>3644</v>
      </c>
      <c r="V1117" s="3">
        <v>0</v>
      </c>
      <c r="W1117" s="3">
        <v>1039</v>
      </c>
      <c r="X1117" s="3">
        <v>19.55</v>
      </c>
    </row>
    <row r="1118" spans="1:24" hidden="1">
      <c r="A1118" s="1">
        <v>45231</v>
      </c>
      <c r="B1118" s="1" t="s">
        <v>1405</v>
      </c>
      <c r="C1118" s="2" t="s">
        <v>1394</v>
      </c>
      <c r="D1118" s="2" t="s">
        <v>279</v>
      </c>
      <c r="E1118" s="2" t="s">
        <v>1289</v>
      </c>
      <c r="F1118" s="2" t="s">
        <v>522</v>
      </c>
      <c r="G1118" s="2" t="s">
        <v>1290</v>
      </c>
      <c r="H1118" s="2" t="s">
        <v>1291</v>
      </c>
      <c r="I1118" t="s">
        <v>198</v>
      </c>
      <c r="J1118" s="18">
        <v>20226.75</v>
      </c>
      <c r="K1118" s="18"/>
      <c r="L1118" s="18">
        <v>18267.489454360799</v>
      </c>
      <c r="M1118" s="18">
        <v>1980.4486041238499</v>
      </c>
      <c r="N1118" s="18"/>
      <c r="O1118" s="18"/>
      <c r="P1118" s="3">
        <v>1</v>
      </c>
      <c r="Q1118" s="3">
        <v>0</v>
      </c>
      <c r="R1118" s="3">
        <v>0</v>
      </c>
      <c r="S1118" s="3"/>
      <c r="T1118" s="3" t="b">
        <v>0</v>
      </c>
      <c r="U1118" s="3">
        <v>2361</v>
      </c>
      <c r="V1118" s="3">
        <v>0</v>
      </c>
      <c r="W1118" s="3">
        <v>1775</v>
      </c>
      <c r="X1118" s="3">
        <v>19.32</v>
      </c>
    </row>
    <row r="1119" spans="1:24" hidden="1">
      <c r="A1119" s="1">
        <v>45261</v>
      </c>
      <c r="B1119" s="1" t="s">
        <v>1406</v>
      </c>
      <c r="C1119" s="2" t="s">
        <v>1394</v>
      </c>
      <c r="D1119" s="2" t="s">
        <v>279</v>
      </c>
      <c r="E1119" s="2" t="s">
        <v>1289</v>
      </c>
      <c r="F1119" s="2" t="s">
        <v>522</v>
      </c>
      <c r="G1119" s="2" t="s">
        <v>1290</v>
      </c>
      <c r="H1119" s="2" t="s">
        <v>1291</v>
      </c>
      <c r="I1119" t="s">
        <v>198</v>
      </c>
      <c r="J1119" s="18">
        <v>19932.66</v>
      </c>
      <c r="K1119" s="18"/>
      <c r="L1119" s="18">
        <v>18685.543061905199</v>
      </c>
      <c r="M1119" s="18">
        <v>1307.06135765626</v>
      </c>
      <c r="N1119" s="18"/>
      <c r="O1119" s="18"/>
      <c r="P1119" s="3">
        <v>1</v>
      </c>
      <c r="Q1119" s="3">
        <v>0</v>
      </c>
      <c r="R1119" s="3">
        <v>0</v>
      </c>
      <c r="S1119" s="3"/>
      <c r="T1119" s="3" t="b">
        <v>0</v>
      </c>
      <c r="U1119" s="3">
        <v>3880</v>
      </c>
      <c r="V1119" s="3">
        <v>1</v>
      </c>
      <c r="W1119" s="3">
        <v>2724</v>
      </c>
      <c r="X1119" s="3">
        <v>19.72</v>
      </c>
    </row>
    <row r="1120" spans="1:24" hidden="1">
      <c r="A1120" s="1">
        <v>45292</v>
      </c>
      <c r="B1120" s="1" t="s">
        <v>1407</v>
      </c>
      <c r="C1120" s="2" t="s">
        <v>1394</v>
      </c>
      <c r="D1120" s="2" t="s">
        <v>279</v>
      </c>
      <c r="E1120" s="2" t="s">
        <v>1289</v>
      </c>
      <c r="F1120" s="2" t="s">
        <v>522</v>
      </c>
      <c r="G1120" s="2" t="s">
        <v>1290</v>
      </c>
      <c r="H1120" s="2" t="s">
        <v>1291</v>
      </c>
      <c r="I1120" t="s">
        <v>198</v>
      </c>
      <c r="J1120" s="18">
        <v>19980.5</v>
      </c>
      <c r="K1120" s="18"/>
      <c r="L1120" s="18">
        <v>19116.364920670901</v>
      </c>
      <c r="M1120" s="18">
        <v>870.481883761478</v>
      </c>
      <c r="N1120" s="18"/>
      <c r="O1120" s="18"/>
      <c r="P1120" s="3">
        <v>1</v>
      </c>
      <c r="Q1120" s="3">
        <v>0</v>
      </c>
      <c r="R1120" s="3">
        <v>0</v>
      </c>
      <c r="S1120" s="3"/>
      <c r="T1120" s="3" t="b">
        <v>0</v>
      </c>
      <c r="U1120" s="3">
        <v>4848</v>
      </c>
      <c r="V1120" s="3">
        <v>0</v>
      </c>
      <c r="W1120" s="3">
        <v>1519</v>
      </c>
      <c r="X1120" s="3">
        <v>18.79</v>
      </c>
    </row>
    <row r="1121" spans="1:24" hidden="1">
      <c r="A1121" s="1">
        <v>45323</v>
      </c>
      <c r="B1121" s="1" t="s">
        <v>1408</v>
      </c>
      <c r="C1121" s="2" t="s">
        <v>1394</v>
      </c>
      <c r="D1121" s="2" t="s">
        <v>279</v>
      </c>
      <c r="E1121" s="2" t="s">
        <v>1289</v>
      </c>
      <c r="F1121" s="2" t="s">
        <v>522</v>
      </c>
      <c r="G1121" s="2" t="s">
        <v>1290</v>
      </c>
      <c r="H1121" s="2" t="s">
        <v>1291</v>
      </c>
      <c r="I1121" t="s">
        <v>198</v>
      </c>
      <c r="J1121" s="18">
        <v>25803.97</v>
      </c>
      <c r="K1121" s="18"/>
      <c r="L1121" s="18">
        <v>19546.0632037428</v>
      </c>
      <c r="M1121" s="18">
        <v>3431.50348147463</v>
      </c>
      <c r="N1121" s="18"/>
      <c r="O1121" s="18"/>
      <c r="P1121" s="3">
        <v>1</v>
      </c>
      <c r="Q1121" s="3">
        <v>0</v>
      </c>
      <c r="R1121" s="3">
        <v>1</v>
      </c>
      <c r="S1121" s="3"/>
      <c r="T1121" s="3" t="b">
        <v>0</v>
      </c>
      <c r="U1121" s="3">
        <v>4144</v>
      </c>
      <c r="V1121" s="3">
        <v>1</v>
      </c>
      <c r="W1121" s="3">
        <v>2639</v>
      </c>
      <c r="X1121" s="3">
        <v>19.809999999999999</v>
      </c>
    </row>
    <row r="1122" spans="1:24" hidden="1">
      <c r="A1122" s="1">
        <v>45352</v>
      </c>
      <c r="B1122" s="1" t="s">
        <v>1409</v>
      </c>
      <c r="C1122" s="2" t="s">
        <v>1394</v>
      </c>
      <c r="D1122" s="2" t="s">
        <v>279</v>
      </c>
      <c r="E1122" s="2" t="s">
        <v>1289</v>
      </c>
      <c r="F1122" s="2" t="s">
        <v>522</v>
      </c>
      <c r="G1122" s="2" t="s">
        <v>1290</v>
      </c>
      <c r="H1122" s="2" t="s">
        <v>1291</v>
      </c>
      <c r="I1122" t="s">
        <v>198</v>
      </c>
      <c r="J1122" s="18">
        <v>20002.75</v>
      </c>
      <c r="K1122" s="18"/>
      <c r="L1122" s="18">
        <v>19947.197877994298</v>
      </c>
      <c r="M1122" s="18">
        <v>-48.135337660919703</v>
      </c>
      <c r="N1122" s="18"/>
      <c r="O1122" s="18"/>
      <c r="P1122" s="3">
        <v>1</v>
      </c>
      <c r="Q1122" s="3">
        <v>0</v>
      </c>
      <c r="R1122" s="3">
        <v>0</v>
      </c>
      <c r="S1122" s="3"/>
      <c r="T1122" s="3" t="b">
        <v>0</v>
      </c>
      <c r="U1122" s="3">
        <v>3981</v>
      </c>
      <c r="V1122" s="3">
        <v>0</v>
      </c>
      <c r="W1122" s="3">
        <v>2760</v>
      </c>
      <c r="X1122" s="3">
        <v>21.36</v>
      </c>
    </row>
    <row r="1123" spans="1:24" hidden="1">
      <c r="A1123" s="1">
        <v>45383</v>
      </c>
      <c r="B1123" s="1" t="s">
        <v>1410</v>
      </c>
      <c r="C1123" s="2" t="s">
        <v>1394</v>
      </c>
      <c r="D1123" s="2" t="s">
        <v>279</v>
      </c>
      <c r="E1123" s="2" t="s">
        <v>1289</v>
      </c>
      <c r="F1123" s="2" t="s">
        <v>522</v>
      </c>
      <c r="G1123" s="2" t="s">
        <v>1290</v>
      </c>
      <c r="H1123" s="2" t="s">
        <v>1291</v>
      </c>
      <c r="I1123" t="s">
        <v>198</v>
      </c>
      <c r="J1123" s="18">
        <v>19454.62</v>
      </c>
      <c r="K1123" s="18"/>
      <c r="L1123" s="18">
        <v>20375.257784881702</v>
      </c>
      <c r="M1123" s="18">
        <v>-557.34890410184801</v>
      </c>
      <c r="N1123" s="18"/>
      <c r="O1123" s="18"/>
      <c r="P1123" s="3">
        <v>1</v>
      </c>
      <c r="Q1123" s="3">
        <v>0</v>
      </c>
      <c r="R1123" s="3">
        <v>0</v>
      </c>
      <c r="S1123" s="3"/>
      <c r="T1123" s="3" t="b">
        <v>0</v>
      </c>
      <c r="U1123" s="3">
        <v>4063</v>
      </c>
      <c r="V1123" s="3">
        <v>2</v>
      </c>
      <c r="W1123" s="3">
        <v>1545</v>
      </c>
      <c r="X1123" s="3">
        <v>40</v>
      </c>
    </row>
    <row r="1124" spans="1:24" hidden="1">
      <c r="A1124" s="1">
        <v>45413</v>
      </c>
      <c r="B1124" s="1" t="s">
        <v>1411</v>
      </c>
      <c r="C1124" s="2" t="s">
        <v>1394</v>
      </c>
      <c r="D1124" s="2" t="s">
        <v>279</v>
      </c>
      <c r="E1124" s="2" t="s">
        <v>1289</v>
      </c>
      <c r="F1124" s="2" t="s">
        <v>522</v>
      </c>
      <c r="G1124" s="2" t="s">
        <v>1290</v>
      </c>
      <c r="H1124" s="2" t="s">
        <v>1291</v>
      </c>
      <c r="I1124" t="s">
        <v>198</v>
      </c>
      <c r="J1124" s="18">
        <v>19840.2</v>
      </c>
      <c r="K1124" s="18"/>
      <c r="L1124" s="18">
        <v>20789.509192367699</v>
      </c>
      <c r="M1124" s="18">
        <v>-1068.22990270684</v>
      </c>
      <c r="N1124" s="18"/>
      <c r="O1124" s="18"/>
      <c r="P1124" s="3">
        <v>1</v>
      </c>
      <c r="Q1124" s="3">
        <v>0</v>
      </c>
      <c r="R1124" s="3">
        <v>0</v>
      </c>
      <c r="S1124" s="3"/>
      <c r="T1124" s="3" t="b">
        <v>0</v>
      </c>
      <c r="U1124" s="3">
        <v>4603</v>
      </c>
      <c r="V1124" s="3">
        <v>0</v>
      </c>
      <c r="W1124" s="3">
        <v>1235</v>
      </c>
      <c r="X1124" s="3">
        <v>21.79</v>
      </c>
    </row>
    <row r="1125" spans="1:24" hidden="1">
      <c r="A1125" s="1">
        <v>45444</v>
      </c>
      <c r="B1125" s="1" t="s">
        <v>1412</v>
      </c>
      <c r="C1125" s="2" t="s">
        <v>1394</v>
      </c>
      <c r="D1125" s="2" t="s">
        <v>279</v>
      </c>
      <c r="E1125" s="2" t="s">
        <v>1289</v>
      </c>
      <c r="F1125" s="2" t="s">
        <v>522</v>
      </c>
      <c r="G1125" s="2" t="s">
        <v>1290</v>
      </c>
      <c r="H1125" s="2" t="s">
        <v>1291</v>
      </c>
      <c r="I1125" t="s">
        <v>198</v>
      </c>
      <c r="J1125" s="18">
        <v>19423.919999999998</v>
      </c>
      <c r="K1125" s="18"/>
      <c r="L1125" s="18">
        <v>21217.568980103199</v>
      </c>
      <c r="M1125" s="18">
        <v>-1409.99495795179</v>
      </c>
      <c r="N1125" s="18"/>
      <c r="O1125" s="18"/>
      <c r="P1125" s="3">
        <v>1</v>
      </c>
      <c r="Q1125" s="3">
        <v>0</v>
      </c>
      <c r="R1125" s="3">
        <v>0</v>
      </c>
      <c r="S1125" s="3"/>
      <c r="T1125" s="3" t="b">
        <v>0</v>
      </c>
      <c r="U1125" s="3">
        <v>3977</v>
      </c>
      <c r="V1125" s="3">
        <v>1</v>
      </c>
      <c r="W1125" s="3">
        <v>1462</v>
      </c>
      <c r="X1125" s="3">
        <v>19.07</v>
      </c>
    </row>
    <row r="1126" spans="1:24" hidden="1">
      <c r="A1126" s="1">
        <v>45474</v>
      </c>
      <c r="B1126" s="1" t="s">
        <v>1413</v>
      </c>
      <c r="C1126" s="2" t="s">
        <v>1394</v>
      </c>
      <c r="D1126" s="2" t="s">
        <v>279</v>
      </c>
      <c r="E1126" s="2" t="s">
        <v>1289</v>
      </c>
      <c r="F1126" s="2" t="s">
        <v>522</v>
      </c>
      <c r="G1126" s="2" t="s">
        <v>1290</v>
      </c>
      <c r="H1126" s="2" t="s">
        <v>1291</v>
      </c>
      <c r="I1126" t="s">
        <v>198</v>
      </c>
      <c r="J1126" s="18">
        <v>19466.189999999999</v>
      </c>
      <c r="K1126" s="18">
        <v>15313.46</v>
      </c>
      <c r="L1126" s="18">
        <v>21631.8203875892</v>
      </c>
      <c r="M1126" s="18">
        <v>-1508.11138820723</v>
      </c>
      <c r="N1126" s="18">
        <v>15513.46</v>
      </c>
      <c r="O1126" s="18">
        <v>15113.46</v>
      </c>
      <c r="P1126" s="3">
        <v>1</v>
      </c>
      <c r="Q1126" s="3">
        <v>0</v>
      </c>
      <c r="R1126" s="3">
        <v>0</v>
      </c>
      <c r="S1126" s="3"/>
      <c r="T1126" s="3" t="b">
        <v>0</v>
      </c>
      <c r="U1126" s="3">
        <v>2375</v>
      </c>
      <c r="V1126" s="3">
        <v>0</v>
      </c>
      <c r="W1126" s="3">
        <v>2251</v>
      </c>
      <c r="X1126" s="3">
        <v>20.41</v>
      </c>
    </row>
    <row r="1127" spans="1:24" hidden="1">
      <c r="A1127" s="1">
        <v>45505</v>
      </c>
      <c r="B1127" s="1" t="s">
        <v>1414</v>
      </c>
      <c r="C1127" s="2" t="s">
        <v>1394</v>
      </c>
      <c r="D1127" s="2" t="s">
        <v>279</v>
      </c>
      <c r="E1127" s="2" t="s">
        <v>1289</v>
      </c>
      <c r="F1127" s="2" t="s">
        <v>522</v>
      </c>
      <c r="G1127" s="2" t="s">
        <v>1290</v>
      </c>
      <c r="H1127" s="2" t="s">
        <v>1291</v>
      </c>
      <c r="I1127" t="s">
        <v>198</v>
      </c>
      <c r="J1127" s="18">
        <v>19795.34</v>
      </c>
      <c r="K1127" s="18">
        <v>15558.44</v>
      </c>
      <c r="L1127" s="18">
        <v>22059.880175324699</v>
      </c>
      <c r="M1127" s="18">
        <v>-2018.00578545797</v>
      </c>
      <c r="N1127" s="18">
        <v>15758.44</v>
      </c>
      <c r="O1127" s="18">
        <v>15358.44</v>
      </c>
      <c r="P1127" s="3">
        <v>1</v>
      </c>
      <c r="Q1127" s="3">
        <v>0</v>
      </c>
      <c r="R1127" s="3">
        <v>0</v>
      </c>
      <c r="S1127" s="3"/>
      <c r="T1127" s="3" t="b">
        <v>0</v>
      </c>
      <c r="U1127" s="3">
        <v>2741</v>
      </c>
      <c r="V1127" s="3">
        <v>1</v>
      </c>
      <c r="W1127" s="3">
        <v>2723</v>
      </c>
      <c r="X1127" s="3">
        <v>19.260000000000002</v>
      </c>
    </row>
    <row r="1128" spans="1:24" hidden="1">
      <c r="A1128" s="1">
        <v>45536</v>
      </c>
      <c r="B1128" s="1" t="s">
        <v>1415</v>
      </c>
      <c r="C1128" s="2" t="s">
        <v>1394</v>
      </c>
      <c r="D1128" s="2" t="s">
        <v>279</v>
      </c>
      <c r="E1128" s="2" t="s">
        <v>1289</v>
      </c>
      <c r="F1128" s="2" t="s">
        <v>522</v>
      </c>
      <c r="G1128" s="2" t="s">
        <v>1290</v>
      </c>
      <c r="H1128" s="2" t="s">
        <v>1291</v>
      </c>
      <c r="I1128" t="s">
        <v>198</v>
      </c>
      <c r="J1128" s="18">
        <v>17972.259999999998</v>
      </c>
      <c r="K1128" s="18">
        <v>15852.99</v>
      </c>
      <c r="L1128" s="18">
        <v>22487.939963060198</v>
      </c>
      <c r="M1128" s="18">
        <v>-3194.9239821862102</v>
      </c>
      <c r="N1128" s="18">
        <v>16052.99</v>
      </c>
      <c r="O1128" s="18">
        <v>15652.99</v>
      </c>
      <c r="P1128" s="3">
        <v>1</v>
      </c>
      <c r="Q1128" s="3">
        <v>0</v>
      </c>
      <c r="R1128" s="3">
        <v>1</v>
      </c>
      <c r="S1128" s="3"/>
      <c r="T1128" s="3" t="b">
        <v>1</v>
      </c>
      <c r="U1128" s="3">
        <v>2389</v>
      </c>
      <c r="V1128" s="3">
        <v>1</v>
      </c>
      <c r="W1128" s="3">
        <v>2848</v>
      </c>
      <c r="X1128" s="3">
        <v>18.11</v>
      </c>
    </row>
    <row r="1129" spans="1:24" hidden="1">
      <c r="A1129" s="1">
        <v>45566</v>
      </c>
      <c r="B1129" s="1" t="s">
        <v>1416</v>
      </c>
      <c r="C1129" s="2" t="s">
        <v>1394</v>
      </c>
      <c r="D1129" s="2" t="s">
        <v>279</v>
      </c>
      <c r="E1129" s="2" t="s">
        <v>1289</v>
      </c>
      <c r="F1129" s="2" t="s">
        <v>522</v>
      </c>
      <c r="G1129" s="2" t="s">
        <v>1290</v>
      </c>
      <c r="H1129" s="2" t="s">
        <v>1291</v>
      </c>
      <c r="I1129" t="s">
        <v>224</v>
      </c>
      <c r="J1129" s="18"/>
      <c r="K1129" s="18">
        <v>15614.43</v>
      </c>
      <c r="L1129" s="18">
        <v>22902.191370546199</v>
      </c>
      <c r="M1129" s="18">
        <v>2070.3448071552598</v>
      </c>
      <c r="N1129" s="18">
        <v>15814.43</v>
      </c>
      <c r="O1129" s="18">
        <v>15414.43</v>
      </c>
      <c r="P1129" s="3"/>
      <c r="Q1129" s="3"/>
      <c r="R1129" s="3"/>
      <c r="S1129" s="3"/>
      <c r="T1129" s="3"/>
      <c r="U1129" s="3"/>
      <c r="V1129" s="3"/>
      <c r="W1129" s="3">
        <v>1482</v>
      </c>
      <c r="X1129" s="3">
        <v>20.37</v>
      </c>
    </row>
    <row r="1130" spans="1:24" hidden="1">
      <c r="A1130" s="1">
        <v>45597</v>
      </c>
      <c r="B1130" s="1" t="s">
        <v>1417</v>
      </c>
      <c r="C1130" s="2" t="s">
        <v>1394</v>
      </c>
      <c r="D1130" s="2" t="s">
        <v>279</v>
      </c>
      <c r="E1130" s="2" t="s">
        <v>1289</v>
      </c>
      <c r="F1130" s="2" t="s">
        <v>522</v>
      </c>
      <c r="G1130" s="2" t="s">
        <v>1290</v>
      </c>
      <c r="H1130" s="2" t="s">
        <v>1291</v>
      </c>
      <c r="I1130" t="s">
        <v>224</v>
      </c>
      <c r="J1130" s="18"/>
      <c r="K1130" s="18">
        <v>15945.09</v>
      </c>
      <c r="L1130" s="18">
        <v>23330.251158281699</v>
      </c>
      <c r="M1130" s="18">
        <v>2132.86300996518</v>
      </c>
      <c r="N1130" s="18">
        <v>16145.09</v>
      </c>
      <c r="O1130" s="18">
        <v>15745.09</v>
      </c>
      <c r="P1130" s="3"/>
      <c r="Q1130" s="3"/>
      <c r="R1130" s="3"/>
      <c r="S1130" s="3"/>
      <c r="T1130" s="3"/>
      <c r="U1130" s="3"/>
      <c r="V1130" s="3"/>
      <c r="W1130" s="3">
        <v>1429</v>
      </c>
      <c r="X1130" s="3">
        <v>18.36</v>
      </c>
    </row>
    <row r="1131" spans="1:24" hidden="1">
      <c r="A1131" s="1">
        <v>45627</v>
      </c>
      <c r="B1131" s="1" t="s">
        <v>1418</v>
      </c>
      <c r="C1131" s="2" t="s">
        <v>1394</v>
      </c>
      <c r="D1131" s="2" t="s">
        <v>279</v>
      </c>
      <c r="E1131" s="2" t="s">
        <v>1289</v>
      </c>
      <c r="F1131" s="2" t="s">
        <v>522</v>
      </c>
      <c r="G1131" s="2" t="s">
        <v>1290</v>
      </c>
      <c r="H1131" s="2" t="s">
        <v>1291</v>
      </c>
      <c r="I1131" t="s">
        <v>224</v>
      </c>
      <c r="J1131" s="18"/>
      <c r="K1131" s="18">
        <v>16159.75</v>
      </c>
      <c r="L1131" s="18">
        <v>23744.5025657677</v>
      </c>
      <c r="M1131" s="18">
        <v>1091.3803435811801</v>
      </c>
      <c r="N1131" s="18">
        <v>16359.75</v>
      </c>
      <c r="O1131" s="18">
        <v>15959.75</v>
      </c>
      <c r="P1131" s="3"/>
      <c r="Q1131" s="3"/>
      <c r="R1131" s="3"/>
      <c r="S1131" s="3"/>
      <c r="T1131" s="3"/>
      <c r="U1131" s="3"/>
      <c r="V1131" s="3"/>
      <c r="W1131" s="3">
        <v>2045</v>
      </c>
      <c r="X1131" s="3">
        <v>19.86</v>
      </c>
    </row>
    <row r="1134" spans="1:24">
      <c r="P1134" s="4"/>
      <c r="Q1134" s="4"/>
      <c r="R1134" s="4"/>
      <c r="S1134" s="4"/>
    </row>
    <row r="1136" spans="1:24">
      <c r="P1136" s="5"/>
      <c r="Q1136" s="5"/>
      <c r="R1136" s="5"/>
      <c r="S1136" s="5"/>
    </row>
  </sheetData>
  <autoFilter ref="A1:X1131" xr:uid="{B15E2694-559F-488B-8241-33B2AF1AF69C}">
    <filterColumn colId="2">
      <filters>
        <filter val="Chain 5_Depot 2_SKU 6"/>
      </filters>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0E97-0CD5-4D0A-9EF3-AF2A247248CF}">
  <dimension ref="A1:I51"/>
  <sheetViews>
    <sheetView workbookViewId="0"/>
  </sheetViews>
  <sheetFormatPr defaultRowHeight="14.45"/>
  <cols>
    <col min="2" max="2" width="36.5703125" bestFit="1" customWidth="1"/>
  </cols>
  <sheetData>
    <row r="1" spans="1:9" ht="15" thickBot="1">
      <c r="A1" t="s">
        <v>1419</v>
      </c>
      <c r="B1" s="6" t="s">
        <v>1420</v>
      </c>
      <c r="C1" s="6" t="s">
        <v>176</v>
      </c>
      <c r="D1" s="7" t="s">
        <v>177</v>
      </c>
      <c r="E1" s="7" t="s">
        <v>178</v>
      </c>
      <c r="F1" s="7" t="s">
        <v>2</v>
      </c>
      <c r="G1" s="7" t="s">
        <v>1421</v>
      </c>
      <c r="H1" s="7" t="s">
        <v>1422</v>
      </c>
      <c r="I1" s="7" t="s">
        <v>1423</v>
      </c>
    </row>
    <row r="2" spans="1:9" ht="15" thickBot="1">
      <c r="A2" t="s">
        <v>1340</v>
      </c>
      <c r="B2" s="8" t="s">
        <v>1424</v>
      </c>
      <c r="C2" s="9" t="s">
        <v>1425</v>
      </c>
      <c r="D2" s="10" t="s">
        <v>1426</v>
      </c>
      <c r="E2" s="10" t="s">
        <v>141</v>
      </c>
      <c r="F2" s="10" t="s">
        <v>1427</v>
      </c>
      <c r="G2" s="11" t="s">
        <v>1428</v>
      </c>
      <c r="H2" s="11" t="s">
        <v>71</v>
      </c>
      <c r="I2" s="11" t="s">
        <v>1429</v>
      </c>
    </row>
    <row r="3" spans="1:9" ht="15" thickBot="1">
      <c r="A3" t="s">
        <v>1288</v>
      </c>
      <c r="B3" s="8" t="s">
        <v>1430</v>
      </c>
      <c r="C3" s="9" t="s">
        <v>1425</v>
      </c>
      <c r="D3" s="10" t="s">
        <v>1431</v>
      </c>
      <c r="E3" s="10" t="s">
        <v>1290</v>
      </c>
      <c r="F3" s="10" t="s">
        <v>1432</v>
      </c>
      <c r="G3" s="12" t="s">
        <v>1428</v>
      </c>
      <c r="H3" s="12" t="s">
        <v>71</v>
      </c>
      <c r="I3" s="12" t="s">
        <v>1423</v>
      </c>
    </row>
    <row r="4" spans="1:9" ht="15" thickBot="1">
      <c r="A4" t="s">
        <v>1394</v>
      </c>
      <c r="B4" s="8" t="s">
        <v>1433</v>
      </c>
      <c r="C4" s="9" t="s">
        <v>1425</v>
      </c>
      <c r="D4" s="10" t="s">
        <v>1434</v>
      </c>
      <c r="E4" s="10" t="s">
        <v>1290</v>
      </c>
      <c r="F4" s="10" t="s">
        <v>1432</v>
      </c>
      <c r="G4" s="12" t="s">
        <v>1428</v>
      </c>
      <c r="H4" s="12" t="s">
        <v>71</v>
      </c>
      <c r="I4" s="12" t="s">
        <v>1423</v>
      </c>
    </row>
    <row r="5" spans="1:9" ht="15" thickBot="1">
      <c r="A5" t="s">
        <v>1370</v>
      </c>
      <c r="B5" s="8" t="s">
        <v>1435</v>
      </c>
      <c r="C5" s="9" t="s">
        <v>1425</v>
      </c>
      <c r="D5" s="10" t="s">
        <v>1436</v>
      </c>
      <c r="E5" s="10" t="s">
        <v>282</v>
      </c>
      <c r="F5" s="10" t="s">
        <v>1437</v>
      </c>
      <c r="G5" s="11" t="s">
        <v>1438</v>
      </c>
      <c r="H5" s="11" t="s">
        <v>71</v>
      </c>
      <c r="I5" s="11" t="s">
        <v>1429</v>
      </c>
    </row>
    <row r="6" spans="1:9" ht="15" thickBot="1">
      <c r="A6" t="s">
        <v>1329</v>
      </c>
      <c r="B6" s="8" t="s">
        <v>1439</v>
      </c>
      <c r="C6" s="9" t="s">
        <v>1425</v>
      </c>
      <c r="D6" s="10" t="s">
        <v>1426</v>
      </c>
      <c r="E6" s="10" t="s">
        <v>146</v>
      </c>
      <c r="F6" s="10" t="s">
        <v>1440</v>
      </c>
      <c r="G6" s="12" t="s">
        <v>1438</v>
      </c>
      <c r="H6" s="12" t="s">
        <v>71</v>
      </c>
      <c r="I6" s="12" t="s">
        <v>1423</v>
      </c>
    </row>
    <row r="7" spans="1:9" ht="15" thickBot="1">
      <c r="A7" t="s">
        <v>1317</v>
      </c>
      <c r="B7" s="8" t="s">
        <v>1441</v>
      </c>
      <c r="C7" s="9" t="s">
        <v>1425</v>
      </c>
      <c r="D7" s="10" t="s">
        <v>1426</v>
      </c>
      <c r="E7" s="10" t="s">
        <v>282</v>
      </c>
      <c r="F7" s="10" t="s">
        <v>1442</v>
      </c>
      <c r="G7" s="12" t="s">
        <v>1428</v>
      </c>
      <c r="H7" s="12" t="s">
        <v>71</v>
      </c>
      <c r="I7" s="12" t="s">
        <v>1423</v>
      </c>
    </row>
    <row r="8" spans="1:9" ht="15" thickBot="1">
      <c r="A8" t="s">
        <v>1360</v>
      </c>
      <c r="B8" s="8" t="s">
        <v>1443</v>
      </c>
      <c r="C8" s="9" t="s">
        <v>1425</v>
      </c>
      <c r="D8" s="10" t="s">
        <v>1436</v>
      </c>
      <c r="E8" s="10" t="s">
        <v>282</v>
      </c>
      <c r="F8" s="10" t="s">
        <v>1442</v>
      </c>
      <c r="G8" s="12" t="s">
        <v>1428</v>
      </c>
      <c r="H8" s="12" t="s">
        <v>71</v>
      </c>
      <c r="I8" s="12" t="s">
        <v>1423</v>
      </c>
    </row>
    <row r="9" spans="1:9" ht="15" thickBot="1">
      <c r="A9" t="s">
        <v>1392</v>
      </c>
      <c r="B9" s="8" t="s">
        <v>1444</v>
      </c>
      <c r="C9" s="9" t="s">
        <v>1425</v>
      </c>
      <c r="D9" s="10" t="s">
        <v>1436</v>
      </c>
      <c r="E9" s="10" t="s">
        <v>282</v>
      </c>
      <c r="F9" s="10" t="s">
        <v>1445</v>
      </c>
      <c r="G9" s="12" t="s">
        <v>71</v>
      </c>
      <c r="H9" s="12" t="s">
        <v>71</v>
      </c>
      <c r="I9" s="12" t="s">
        <v>1423</v>
      </c>
    </row>
    <row r="10" spans="1:9" ht="15" thickBot="1">
      <c r="A10" t="s">
        <v>1327</v>
      </c>
      <c r="B10" s="8" t="s">
        <v>1446</v>
      </c>
      <c r="C10" s="9" t="s">
        <v>1425</v>
      </c>
      <c r="D10" s="10" t="s">
        <v>1426</v>
      </c>
      <c r="E10" s="10" t="s">
        <v>282</v>
      </c>
      <c r="F10" s="10" t="s">
        <v>1447</v>
      </c>
      <c r="G10" s="12" t="s">
        <v>71</v>
      </c>
      <c r="H10" s="12" t="s">
        <v>71</v>
      </c>
      <c r="I10" s="12" t="s">
        <v>1423</v>
      </c>
    </row>
    <row r="11" spans="1:9" ht="15" thickBot="1">
      <c r="A11" t="s">
        <v>193</v>
      </c>
      <c r="B11" s="8" t="s">
        <v>1448</v>
      </c>
      <c r="C11" s="9" t="s">
        <v>1449</v>
      </c>
      <c r="D11" s="10" t="s">
        <v>1450</v>
      </c>
      <c r="E11" s="10" t="s">
        <v>133</v>
      </c>
      <c r="F11" s="10" t="s">
        <v>1451</v>
      </c>
      <c r="G11" s="11" t="s">
        <v>71</v>
      </c>
      <c r="H11" s="11" t="s">
        <v>1438</v>
      </c>
      <c r="I11" s="11" t="s">
        <v>1429</v>
      </c>
    </row>
    <row r="12" spans="1:9" ht="15" thickBot="1">
      <c r="A12" t="s">
        <v>226</v>
      </c>
      <c r="B12" s="8" t="s">
        <v>1452</v>
      </c>
      <c r="C12" s="9" t="s">
        <v>1449</v>
      </c>
      <c r="D12" s="10" t="s">
        <v>1450</v>
      </c>
      <c r="E12" s="10" t="s">
        <v>227</v>
      </c>
      <c r="F12" s="10" t="s">
        <v>1453</v>
      </c>
      <c r="G12" s="11" t="s">
        <v>1438</v>
      </c>
      <c r="H12" s="11" t="s">
        <v>1438</v>
      </c>
      <c r="I12" s="11" t="s">
        <v>1429</v>
      </c>
    </row>
    <row r="13" spans="1:9" ht="15" thickBot="1">
      <c r="A13" t="s">
        <v>251</v>
      </c>
      <c r="B13" s="8" t="s">
        <v>1454</v>
      </c>
      <c r="C13" s="9" t="s">
        <v>1449</v>
      </c>
      <c r="D13" s="10" t="s">
        <v>1450</v>
      </c>
      <c r="E13" s="10" t="s">
        <v>155</v>
      </c>
      <c r="F13" s="10" t="s">
        <v>1455</v>
      </c>
      <c r="G13" s="11" t="s">
        <v>1438</v>
      </c>
      <c r="H13" s="11" t="s">
        <v>71</v>
      </c>
      <c r="I13" s="11" t="s">
        <v>1429</v>
      </c>
    </row>
    <row r="14" spans="1:9" ht="15" thickBot="1">
      <c r="A14" t="s">
        <v>560</v>
      </c>
      <c r="B14" s="8" t="s">
        <v>1456</v>
      </c>
      <c r="C14" s="9" t="s">
        <v>1457</v>
      </c>
      <c r="D14" s="10" t="s">
        <v>1458</v>
      </c>
      <c r="E14" s="10" t="s">
        <v>141</v>
      </c>
      <c r="F14" s="10" t="s">
        <v>1459</v>
      </c>
      <c r="G14" s="11" t="s">
        <v>1438</v>
      </c>
      <c r="H14" s="11" t="s">
        <v>1438</v>
      </c>
      <c r="I14" s="11" t="s">
        <v>1429</v>
      </c>
    </row>
    <row r="15" spans="1:9" ht="15" thickBot="1">
      <c r="A15" t="s">
        <v>11</v>
      </c>
      <c r="B15" s="8" t="s">
        <v>1460</v>
      </c>
      <c r="C15" s="9" t="s">
        <v>1457</v>
      </c>
      <c r="D15" s="10" t="s">
        <v>1458</v>
      </c>
      <c r="E15" s="10" t="s">
        <v>141</v>
      </c>
      <c r="F15" s="10" t="s">
        <v>1427</v>
      </c>
      <c r="G15" s="11" t="s">
        <v>71</v>
      </c>
      <c r="H15" s="11" t="s">
        <v>1438</v>
      </c>
      <c r="I15" s="11" t="s">
        <v>1429</v>
      </c>
    </row>
    <row r="16" spans="1:9" ht="15" thickBot="1">
      <c r="A16" t="s">
        <v>527</v>
      </c>
      <c r="B16" s="8" t="s">
        <v>1461</v>
      </c>
      <c r="C16" s="9" t="s">
        <v>1457</v>
      </c>
      <c r="D16" s="10" t="s">
        <v>1458</v>
      </c>
      <c r="E16" s="10" t="s">
        <v>530</v>
      </c>
      <c r="F16" s="10" t="s">
        <v>1462</v>
      </c>
      <c r="G16" s="12" t="s">
        <v>1428</v>
      </c>
      <c r="H16" s="12" t="s">
        <v>71</v>
      </c>
      <c r="I16" s="12" t="s">
        <v>1423</v>
      </c>
    </row>
    <row r="17" spans="1:9" ht="15" thickBot="1">
      <c r="A17" t="s">
        <v>545</v>
      </c>
      <c r="B17" s="8" t="s">
        <v>1463</v>
      </c>
      <c r="C17" s="9" t="s">
        <v>1457</v>
      </c>
      <c r="D17" s="10" t="s">
        <v>1458</v>
      </c>
      <c r="E17" s="10" t="s">
        <v>530</v>
      </c>
      <c r="F17" s="10" t="s">
        <v>1464</v>
      </c>
      <c r="G17" s="12" t="s">
        <v>1428</v>
      </c>
      <c r="H17" s="12" t="s">
        <v>71</v>
      </c>
      <c r="I17" s="12" t="s">
        <v>1423</v>
      </c>
    </row>
    <row r="18" spans="1:9" ht="15" thickBot="1">
      <c r="A18" t="s">
        <v>867</v>
      </c>
      <c r="B18" s="8" t="s">
        <v>1465</v>
      </c>
      <c r="C18" s="9" t="s">
        <v>1466</v>
      </c>
      <c r="D18" s="10" t="s">
        <v>1426</v>
      </c>
      <c r="E18" s="10" t="s">
        <v>868</v>
      </c>
      <c r="F18" s="10" t="s">
        <v>1467</v>
      </c>
      <c r="G18" s="11" t="s">
        <v>1438</v>
      </c>
      <c r="H18" s="11" t="s">
        <v>1438</v>
      </c>
      <c r="I18" s="11" t="s">
        <v>1429</v>
      </c>
    </row>
    <row r="19" spans="1:9" ht="15" thickBot="1">
      <c r="A19" t="s">
        <v>17</v>
      </c>
      <c r="B19" s="8" t="s">
        <v>1468</v>
      </c>
      <c r="C19" s="9" t="s">
        <v>1466</v>
      </c>
      <c r="D19" s="10" t="s">
        <v>1431</v>
      </c>
      <c r="E19" s="10" t="s">
        <v>141</v>
      </c>
      <c r="F19" s="10" t="s">
        <v>1469</v>
      </c>
      <c r="G19" s="11" t="s">
        <v>1438</v>
      </c>
      <c r="H19" s="11" t="s">
        <v>1438</v>
      </c>
      <c r="I19" s="11" t="s">
        <v>1429</v>
      </c>
    </row>
    <row r="20" spans="1:9" ht="15" thickBot="1">
      <c r="A20" t="s">
        <v>775</v>
      </c>
      <c r="B20" s="8" t="s">
        <v>1470</v>
      </c>
      <c r="C20" s="9" t="s">
        <v>1466</v>
      </c>
      <c r="D20" s="10" t="s">
        <v>1431</v>
      </c>
      <c r="E20" s="10" t="s">
        <v>141</v>
      </c>
      <c r="F20" s="10" t="s">
        <v>1471</v>
      </c>
      <c r="G20" s="11" t="s">
        <v>1438</v>
      </c>
      <c r="H20" s="11" t="s">
        <v>1438</v>
      </c>
      <c r="I20" s="11" t="s">
        <v>1429</v>
      </c>
    </row>
    <row r="21" spans="1:9" ht="15" thickBot="1">
      <c r="A21" t="s">
        <v>1068</v>
      </c>
      <c r="B21" s="8" t="s">
        <v>1472</v>
      </c>
      <c r="C21" s="9" t="s">
        <v>1466</v>
      </c>
      <c r="D21" s="10" t="s">
        <v>1473</v>
      </c>
      <c r="E21" s="10" t="s">
        <v>146</v>
      </c>
      <c r="F21" s="10" t="s">
        <v>1440</v>
      </c>
      <c r="G21" s="12" t="s">
        <v>1438</v>
      </c>
      <c r="H21" s="12" t="s">
        <v>1428</v>
      </c>
      <c r="I21" s="12" t="s">
        <v>1423</v>
      </c>
    </row>
    <row r="22" spans="1:9" ht="15" thickBot="1">
      <c r="A22" t="s">
        <v>1191</v>
      </c>
      <c r="B22" s="8" t="s">
        <v>1474</v>
      </c>
      <c r="C22" s="9" t="s">
        <v>1466</v>
      </c>
      <c r="D22" s="10" t="s">
        <v>1475</v>
      </c>
      <c r="E22" s="10" t="s">
        <v>146</v>
      </c>
      <c r="F22" s="10" t="s">
        <v>1440</v>
      </c>
      <c r="G22" s="11" t="s">
        <v>1438</v>
      </c>
      <c r="H22" s="11" t="s">
        <v>1428</v>
      </c>
      <c r="I22" s="11" t="s">
        <v>1429</v>
      </c>
    </row>
    <row r="23" spans="1:9" ht="15" thickBot="1">
      <c r="A23" t="s">
        <v>1154</v>
      </c>
      <c r="B23" s="8" t="s">
        <v>1476</v>
      </c>
      <c r="C23" s="9" t="s">
        <v>1466</v>
      </c>
      <c r="D23" s="10" t="s">
        <v>1475</v>
      </c>
      <c r="E23" s="10" t="s">
        <v>141</v>
      </c>
      <c r="F23" s="10" t="s">
        <v>1459</v>
      </c>
      <c r="G23" s="11" t="s">
        <v>1438</v>
      </c>
      <c r="H23" s="11" t="s">
        <v>1438</v>
      </c>
      <c r="I23" s="11" t="s">
        <v>1429</v>
      </c>
    </row>
    <row r="24" spans="1:9" ht="15" thickBot="1">
      <c r="A24" t="s">
        <v>1000</v>
      </c>
      <c r="B24" s="8" t="s">
        <v>1477</v>
      </c>
      <c r="C24" s="9" t="s">
        <v>1466</v>
      </c>
      <c r="D24" s="10" t="s">
        <v>1473</v>
      </c>
      <c r="E24" s="10" t="s">
        <v>146</v>
      </c>
      <c r="F24" s="10" t="s">
        <v>1478</v>
      </c>
      <c r="G24" s="11" t="s">
        <v>1438</v>
      </c>
      <c r="H24" s="11" t="s">
        <v>1428</v>
      </c>
      <c r="I24" s="11" t="s">
        <v>1429</v>
      </c>
    </row>
    <row r="25" spans="1:9" ht="15" thickBot="1">
      <c r="A25" t="s">
        <v>1037</v>
      </c>
      <c r="B25" s="8" t="s">
        <v>1479</v>
      </c>
      <c r="C25" s="9" t="s">
        <v>1466</v>
      </c>
      <c r="D25" s="10" t="s">
        <v>1473</v>
      </c>
      <c r="E25" s="10" t="s">
        <v>146</v>
      </c>
      <c r="F25" s="10" t="s">
        <v>1480</v>
      </c>
      <c r="G25" s="11" t="s">
        <v>1428</v>
      </c>
      <c r="H25" s="11" t="s">
        <v>1438</v>
      </c>
      <c r="I25" s="11" t="s">
        <v>1429</v>
      </c>
    </row>
    <row r="26" spans="1:9" ht="15" thickBot="1">
      <c r="A26" t="s">
        <v>1104</v>
      </c>
      <c r="B26" s="8" t="s">
        <v>1481</v>
      </c>
      <c r="C26" s="9" t="s">
        <v>1466</v>
      </c>
      <c r="D26" s="10" t="s">
        <v>1475</v>
      </c>
      <c r="E26" s="10" t="s">
        <v>146</v>
      </c>
      <c r="F26" s="10" t="s">
        <v>1482</v>
      </c>
      <c r="G26" s="11" t="s">
        <v>1438</v>
      </c>
      <c r="H26" s="11" t="s">
        <v>1438</v>
      </c>
      <c r="I26" s="11" t="s">
        <v>1429</v>
      </c>
    </row>
    <row r="27" spans="1:9" ht="15" thickBot="1">
      <c r="A27" t="s">
        <v>906</v>
      </c>
      <c r="B27" s="8" t="s">
        <v>1483</v>
      </c>
      <c r="C27" s="9" t="s">
        <v>1466</v>
      </c>
      <c r="D27" s="10" t="s">
        <v>1426</v>
      </c>
      <c r="E27" s="10" t="s">
        <v>141</v>
      </c>
      <c r="F27" s="10" t="s">
        <v>1471</v>
      </c>
      <c r="G27" s="11" t="s">
        <v>1438</v>
      </c>
      <c r="H27" s="11" t="s">
        <v>1438</v>
      </c>
      <c r="I27" s="11" t="s">
        <v>1429</v>
      </c>
    </row>
    <row r="28" spans="1:9" ht="15" thickBot="1">
      <c r="A28" t="s">
        <v>964</v>
      </c>
      <c r="B28" s="8" t="s">
        <v>1484</v>
      </c>
      <c r="C28" s="9" t="s">
        <v>1466</v>
      </c>
      <c r="D28" s="10" t="s">
        <v>1436</v>
      </c>
      <c r="E28" s="10" t="s">
        <v>146</v>
      </c>
      <c r="F28" s="10" t="s">
        <v>1485</v>
      </c>
      <c r="G28" s="11" t="s">
        <v>1438</v>
      </c>
      <c r="H28" s="11" t="s">
        <v>1438</v>
      </c>
      <c r="I28" s="11" t="s">
        <v>1429</v>
      </c>
    </row>
    <row r="29" spans="1:9" ht="15" thickBot="1">
      <c r="A29" t="s">
        <v>1228</v>
      </c>
      <c r="B29" s="8" t="s">
        <v>1486</v>
      </c>
      <c r="C29" s="9" t="s">
        <v>1466</v>
      </c>
      <c r="D29" s="10" t="s">
        <v>1487</v>
      </c>
      <c r="E29" s="10" t="s">
        <v>146</v>
      </c>
      <c r="F29" s="10" t="s">
        <v>1480</v>
      </c>
      <c r="G29" s="11" t="s">
        <v>1438</v>
      </c>
      <c r="H29" s="11" t="s">
        <v>71</v>
      </c>
      <c r="I29" s="11" t="s">
        <v>1429</v>
      </c>
    </row>
    <row r="30" spans="1:9" ht="15" thickBot="1">
      <c r="A30" t="s">
        <v>836</v>
      </c>
      <c r="B30" s="8" t="s">
        <v>1488</v>
      </c>
      <c r="C30" s="9" t="s">
        <v>1466</v>
      </c>
      <c r="D30" s="10" t="s">
        <v>1426</v>
      </c>
      <c r="E30" s="10" t="s">
        <v>133</v>
      </c>
      <c r="F30" s="10" t="s">
        <v>1489</v>
      </c>
      <c r="G30" s="11" t="s">
        <v>1428</v>
      </c>
      <c r="H30" s="11" t="s">
        <v>71</v>
      </c>
      <c r="I30" s="11" t="s">
        <v>1429</v>
      </c>
    </row>
    <row r="31" spans="1:9" ht="15" thickBot="1">
      <c r="A31" t="s">
        <v>813</v>
      </c>
      <c r="B31" s="8" t="s">
        <v>1490</v>
      </c>
      <c r="C31" s="9" t="s">
        <v>1466</v>
      </c>
      <c r="D31" s="10" t="s">
        <v>1431</v>
      </c>
      <c r="E31" s="10" t="s">
        <v>141</v>
      </c>
      <c r="F31" s="10" t="s">
        <v>1427</v>
      </c>
      <c r="G31" s="11" t="s">
        <v>1438</v>
      </c>
      <c r="H31" s="11" t="s">
        <v>71</v>
      </c>
      <c r="I31" s="11" t="s">
        <v>1429</v>
      </c>
    </row>
    <row r="32" spans="1:9" ht="15" thickBot="1">
      <c r="A32" t="s">
        <v>1256</v>
      </c>
      <c r="B32" s="8" t="s">
        <v>1491</v>
      </c>
      <c r="C32" s="9" t="s">
        <v>1466</v>
      </c>
      <c r="D32" s="10" t="s">
        <v>1487</v>
      </c>
      <c r="E32" s="10" t="s">
        <v>141</v>
      </c>
      <c r="F32" s="10" t="s">
        <v>1427</v>
      </c>
      <c r="G32" s="11" t="s">
        <v>1438</v>
      </c>
      <c r="H32" s="11" t="s">
        <v>71</v>
      </c>
      <c r="I32" s="11" t="s">
        <v>1429</v>
      </c>
    </row>
    <row r="33" spans="1:9" ht="15" thickBot="1">
      <c r="A33" t="s">
        <v>1277</v>
      </c>
      <c r="B33" s="8" t="s">
        <v>1492</v>
      </c>
      <c r="C33" s="9" t="s">
        <v>1466</v>
      </c>
      <c r="D33" s="10" t="s">
        <v>1434</v>
      </c>
      <c r="E33" s="10" t="s">
        <v>141</v>
      </c>
      <c r="F33" s="10" t="s">
        <v>1493</v>
      </c>
      <c r="G33" s="11" t="s">
        <v>71</v>
      </c>
      <c r="H33" s="11" t="s">
        <v>71</v>
      </c>
      <c r="I33" s="11" t="s">
        <v>1429</v>
      </c>
    </row>
    <row r="34" spans="1:9" ht="15" thickBot="1">
      <c r="A34" t="s">
        <v>942</v>
      </c>
      <c r="B34" s="8" t="s">
        <v>1494</v>
      </c>
      <c r="C34" s="9" t="s">
        <v>1466</v>
      </c>
      <c r="D34" s="10" t="s">
        <v>1426</v>
      </c>
      <c r="E34" s="10" t="s">
        <v>141</v>
      </c>
      <c r="F34" s="10" t="s">
        <v>1427</v>
      </c>
      <c r="G34" s="11" t="s">
        <v>1438</v>
      </c>
      <c r="H34" s="11" t="s">
        <v>71</v>
      </c>
      <c r="I34" s="11" t="s">
        <v>1429</v>
      </c>
    </row>
    <row r="35" spans="1:9" ht="15" thickBot="1">
      <c r="A35" t="s">
        <v>1142</v>
      </c>
      <c r="B35" s="8" t="s">
        <v>1495</v>
      </c>
      <c r="C35" s="9" t="s">
        <v>1466</v>
      </c>
      <c r="D35" s="10" t="s">
        <v>1475</v>
      </c>
      <c r="E35" s="10" t="s">
        <v>282</v>
      </c>
      <c r="F35" s="10" t="s">
        <v>1442</v>
      </c>
      <c r="G35" s="12" t="s">
        <v>1438</v>
      </c>
      <c r="H35" s="12" t="s">
        <v>71</v>
      </c>
      <c r="I35" s="12" t="s">
        <v>1423</v>
      </c>
    </row>
    <row r="36" spans="1:9" ht="15" thickBot="1">
      <c r="A36" t="s">
        <v>6</v>
      </c>
      <c r="B36" s="8" t="s">
        <v>1496</v>
      </c>
      <c r="C36" s="9" t="s">
        <v>1497</v>
      </c>
      <c r="D36" s="10" t="s">
        <v>1431</v>
      </c>
      <c r="E36" s="10" t="s">
        <v>141</v>
      </c>
      <c r="F36" s="10" t="s">
        <v>1493</v>
      </c>
      <c r="G36" s="11" t="s">
        <v>1438</v>
      </c>
      <c r="H36" s="11" t="s">
        <v>1438</v>
      </c>
      <c r="I36" s="11" t="s">
        <v>1429</v>
      </c>
    </row>
    <row r="37" spans="1:9" ht="15" thickBot="1">
      <c r="A37" t="s">
        <v>414</v>
      </c>
      <c r="B37" s="8" t="s">
        <v>1498</v>
      </c>
      <c r="C37" s="9" t="s">
        <v>1497</v>
      </c>
      <c r="D37" s="10" t="s">
        <v>1436</v>
      </c>
      <c r="E37" s="10" t="s">
        <v>141</v>
      </c>
      <c r="F37" s="10" t="s">
        <v>1459</v>
      </c>
      <c r="G37" s="11" t="s">
        <v>71</v>
      </c>
      <c r="H37" s="11" t="s">
        <v>1438</v>
      </c>
      <c r="I37" s="11" t="s">
        <v>1429</v>
      </c>
    </row>
    <row r="38" spans="1:9" ht="15" thickBot="1">
      <c r="A38" t="s">
        <v>488</v>
      </c>
      <c r="B38" s="8" t="s">
        <v>1499</v>
      </c>
      <c r="C38" s="9" t="s">
        <v>1497</v>
      </c>
      <c r="D38" s="10" t="s">
        <v>1487</v>
      </c>
      <c r="E38" s="10" t="s">
        <v>141</v>
      </c>
      <c r="F38" s="10" t="s">
        <v>1459</v>
      </c>
      <c r="G38" s="11" t="s">
        <v>1438</v>
      </c>
      <c r="H38" s="11" t="s">
        <v>1438</v>
      </c>
      <c r="I38" s="11" t="s">
        <v>1429</v>
      </c>
    </row>
    <row r="39" spans="1:9" ht="15" thickBot="1">
      <c r="A39" t="s">
        <v>278</v>
      </c>
      <c r="B39" s="8" t="s">
        <v>1500</v>
      </c>
      <c r="C39" s="9" t="s">
        <v>1497</v>
      </c>
      <c r="D39" s="10" t="s">
        <v>1431</v>
      </c>
      <c r="E39" s="10" t="s">
        <v>282</v>
      </c>
      <c r="F39" s="10" t="s">
        <v>1442</v>
      </c>
      <c r="G39" s="11" t="s">
        <v>1428</v>
      </c>
      <c r="H39" s="11" t="s">
        <v>1438</v>
      </c>
      <c r="I39" s="11" t="s">
        <v>1429</v>
      </c>
    </row>
    <row r="40" spans="1:9" ht="15" thickBot="1">
      <c r="A40" t="s">
        <v>450</v>
      </c>
      <c r="B40" s="8" t="s">
        <v>1501</v>
      </c>
      <c r="C40" s="9" t="s">
        <v>1497</v>
      </c>
      <c r="D40" s="10" t="s">
        <v>1475</v>
      </c>
      <c r="E40" s="10" t="s">
        <v>282</v>
      </c>
      <c r="F40" s="10" t="s">
        <v>1502</v>
      </c>
      <c r="G40" s="11" t="s">
        <v>1428</v>
      </c>
      <c r="H40" s="11" t="s">
        <v>71</v>
      </c>
      <c r="I40" s="11" t="s">
        <v>1429</v>
      </c>
    </row>
    <row r="41" spans="1:9" ht="15" thickBot="1">
      <c r="A41" t="s">
        <v>309</v>
      </c>
      <c r="B41" s="8" t="s">
        <v>1503</v>
      </c>
      <c r="C41" s="9" t="s">
        <v>1497</v>
      </c>
      <c r="D41" s="10" t="s">
        <v>1431</v>
      </c>
      <c r="E41" s="10" t="s">
        <v>310</v>
      </c>
      <c r="F41" s="10" t="s">
        <v>1504</v>
      </c>
      <c r="G41" s="11" t="s">
        <v>71</v>
      </c>
      <c r="H41" s="11" t="s">
        <v>71</v>
      </c>
      <c r="I41" s="11" t="s">
        <v>1429</v>
      </c>
    </row>
    <row r="42" spans="1:9" ht="15" thickBot="1">
      <c r="A42" t="s">
        <v>357</v>
      </c>
      <c r="B42" s="8" t="s">
        <v>1505</v>
      </c>
      <c r="C42" s="9" t="s">
        <v>1497</v>
      </c>
      <c r="D42" s="10" t="s">
        <v>1436</v>
      </c>
      <c r="E42" s="10" t="s">
        <v>146</v>
      </c>
      <c r="F42" s="10" t="s">
        <v>1480</v>
      </c>
      <c r="G42" s="11" t="s">
        <v>1438</v>
      </c>
      <c r="H42" s="11" t="s">
        <v>71</v>
      </c>
      <c r="I42" s="11" t="s">
        <v>1429</v>
      </c>
    </row>
    <row r="43" spans="1:9" ht="15" thickBot="1">
      <c r="A43" t="s">
        <v>387</v>
      </c>
      <c r="B43" s="8" t="s">
        <v>1506</v>
      </c>
      <c r="C43" s="9" t="s">
        <v>1497</v>
      </c>
      <c r="D43" s="10" t="s">
        <v>1436</v>
      </c>
      <c r="E43" s="10" t="s">
        <v>282</v>
      </c>
      <c r="F43" s="10" t="s">
        <v>1437</v>
      </c>
      <c r="G43" s="12" t="s">
        <v>1428</v>
      </c>
      <c r="H43" s="12" t="s">
        <v>71</v>
      </c>
      <c r="I43" s="12" t="s">
        <v>1423</v>
      </c>
    </row>
    <row r="44" spans="1:9" ht="15" thickBot="1">
      <c r="A44" t="s">
        <v>352</v>
      </c>
      <c r="B44" s="8" t="s">
        <v>1507</v>
      </c>
      <c r="C44" s="9" t="s">
        <v>1497</v>
      </c>
      <c r="D44" s="10" t="s">
        <v>1431</v>
      </c>
      <c r="E44" s="10" t="s">
        <v>282</v>
      </c>
      <c r="F44" s="10" t="s">
        <v>1445</v>
      </c>
      <c r="G44" s="12" t="s">
        <v>71</v>
      </c>
      <c r="H44" s="12" t="s">
        <v>71</v>
      </c>
      <c r="I44" s="12" t="s">
        <v>1423</v>
      </c>
    </row>
    <row r="45" spans="1:9" ht="15" thickBot="1">
      <c r="A45" t="s">
        <v>521</v>
      </c>
      <c r="B45" s="8" t="s">
        <v>1508</v>
      </c>
      <c r="C45" s="9" t="s">
        <v>1497</v>
      </c>
      <c r="D45" s="10" t="s">
        <v>1434</v>
      </c>
      <c r="E45" s="10" t="s">
        <v>282</v>
      </c>
      <c r="F45" s="10" t="s">
        <v>1447</v>
      </c>
      <c r="G45" s="12" t="s">
        <v>71</v>
      </c>
      <c r="H45" s="12" t="s">
        <v>71</v>
      </c>
      <c r="I45" s="12" t="s">
        <v>1423</v>
      </c>
    </row>
    <row r="46" spans="1:9" ht="15" thickBot="1">
      <c r="A46" t="s">
        <v>654</v>
      </c>
      <c r="B46" s="8" t="s">
        <v>1509</v>
      </c>
      <c r="C46" s="9" t="s">
        <v>1510</v>
      </c>
      <c r="D46" s="10" t="s">
        <v>1431</v>
      </c>
      <c r="E46" s="10" t="s">
        <v>282</v>
      </c>
      <c r="F46" s="10" t="s">
        <v>1511</v>
      </c>
      <c r="G46" s="12" t="s">
        <v>1428</v>
      </c>
      <c r="H46" s="12" t="s">
        <v>1428</v>
      </c>
      <c r="I46" s="12" t="s">
        <v>1423</v>
      </c>
    </row>
    <row r="47" spans="1:9" ht="15" thickBot="1">
      <c r="A47" t="s">
        <v>634</v>
      </c>
      <c r="B47" s="8" t="s">
        <v>1512</v>
      </c>
      <c r="C47" s="9" t="s">
        <v>1510</v>
      </c>
      <c r="D47" s="10" t="s">
        <v>1431</v>
      </c>
      <c r="E47" s="10" t="s">
        <v>141</v>
      </c>
      <c r="F47" s="10" t="s">
        <v>1459</v>
      </c>
      <c r="G47" s="12" t="s">
        <v>1428</v>
      </c>
      <c r="H47" s="12" t="s">
        <v>1438</v>
      </c>
      <c r="I47" s="12" t="s">
        <v>1423</v>
      </c>
    </row>
    <row r="48" spans="1:9" ht="15" thickBot="1">
      <c r="A48" t="s">
        <v>666</v>
      </c>
      <c r="B48" s="8" t="s">
        <v>1513</v>
      </c>
      <c r="C48" s="9" t="s">
        <v>1510</v>
      </c>
      <c r="D48" s="10" t="s">
        <v>1473</v>
      </c>
      <c r="E48" s="10" t="s">
        <v>146</v>
      </c>
      <c r="F48" s="10" t="s">
        <v>1478</v>
      </c>
      <c r="G48" s="12" t="s">
        <v>1428</v>
      </c>
      <c r="H48" s="12" t="s">
        <v>1428</v>
      </c>
      <c r="I48" s="12" t="s">
        <v>1423</v>
      </c>
    </row>
    <row r="49" spans="1:9" ht="15" thickBot="1">
      <c r="A49" t="s">
        <v>14</v>
      </c>
      <c r="B49" s="8" t="s">
        <v>1514</v>
      </c>
      <c r="C49" s="9" t="s">
        <v>1510</v>
      </c>
      <c r="D49" s="10" t="s">
        <v>1475</v>
      </c>
      <c r="E49" s="10" t="s">
        <v>146</v>
      </c>
      <c r="F49" s="10" t="s">
        <v>1485</v>
      </c>
      <c r="G49" s="11" t="s">
        <v>1428</v>
      </c>
      <c r="H49" s="11" t="s">
        <v>1438</v>
      </c>
      <c r="I49" s="11" t="s">
        <v>1429</v>
      </c>
    </row>
    <row r="50" spans="1:9" ht="15" thickBot="1">
      <c r="A50" t="s">
        <v>687</v>
      </c>
      <c r="B50" s="8" t="s">
        <v>1515</v>
      </c>
      <c r="C50" s="9" t="s">
        <v>1510</v>
      </c>
      <c r="D50" s="10" t="s">
        <v>1473</v>
      </c>
      <c r="E50" s="10" t="s">
        <v>282</v>
      </c>
      <c r="F50" s="10" t="s">
        <v>1516</v>
      </c>
      <c r="G50" s="12" t="s">
        <v>1428</v>
      </c>
      <c r="H50" s="12" t="s">
        <v>71</v>
      </c>
      <c r="I50" s="12" t="s">
        <v>1423</v>
      </c>
    </row>
    <row r="51" spans="1:9" ht="15" thickBot="1">
      <c r="A51" t="s">
        <v>696</v>
      </c>
      <c r="B51" s="8" t="s">
        <v>1517</v>
      </c>
      <c r="C51" s="9" t="s">
        <v>1510</v>
      </c>
      <c r="D51" s="10" t="s">
        <v>1473</v>
      </c>
      <c r="E51" s="10" t="s">
        <v>282</v>
      </c>
      <c r="F51" s="10" t="s">
        <v>1447</v>
      </c>
      <c r="G51" s="12" t="s">
        <v>71</v>
      </c>
      <c r="H51" s="12" t="s">
        <v>71</v>
      </c>
      <c r="I51" s="12" t="s">
        <v>1423</v>
      </c>
    </row>
  </sheetData>
  <autoFilter ref="A1:I51" xr:uid="{31B516B9-7ADE-4A3A-8E17-F8A586BF58F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5594d2-f193-4718-a61c-12d2aae263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6114FD6198BE84B81A5E5F578E3D1AF" ma:contentTypeVersion="10" ma:contentTypeDescription="Create a new document." ma:contentTypeScope="" ma:versionID="ca0cd9589206b8371617be3ef374c7a2">
  <xsd:schema xmlns:xsd="http://www.w3.org/2001/XMLSchema" xmlns:xs="http://www.w3.org/2001/XMLSchema" xmlns:p="http://schemas.microsoft.com/office/2006/metadata/properties" xmlns:ns2="aa5594d2-f193-4718-a61c-12d2aae263cc" targetNamespace="http://schemas.microsoft.com/office/2006/metadata/properties" ma:root="true" ma:fieldsID="712ccd7666d14a8cca52a18a2f7cf633" ns2:_="">
    <xsd:import namespace="aa5594d2-f193-4718-a61c-12d2aae263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5594d2-f193-4718-a61c-12d2aae263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6d659e-13c9-48e3-9a29-e081cf94c5e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C409F7-154D-42A9-8B78-D1EA8A18BAAB}"/>
</file>

<file path=customXml/itemProps2.xml><?xml version="1.0" encoding="utf-8"?>
<ds:datastoreItem xmlns:ds="http://schemas.openxmlformats.org/officeDocument/2006/customXml" ds:itemID="{36F381F2-4329-4237-9392-3148A16E097E}"/>
</file>

<file path=customXml/itemProps3.xml><?xml version="1.0" encoding="utf-8"?>
<ds:datastoreItem xmlns:ds="http://schemas.openxmlformats.org/officeDocument/2006/customXml" ds:itemID="{019BEFE4-B298-43F4-AFFE-17EC7116F6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Kiran Kumar Reddy</cp:lastModifiedBy>
  <cp:revision/>
  <dcterms:created xsi:type="dcterms:W3CDTF">2015-06-05T18:17:20Z</dcterms:created>
  <dcterms:modified xsi:type="dcterms:W3CDTF">2025-12-07T05:57:56Z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0x010100B6114FD6198BE84B81A5E5F578E3D1AF</vt:lpwstr>
  </property>
  <property fmtid="{D5CDD505-2E9C-101B-9397-08002B2CF9AE}" pid="3" name="MediaServiceImageTags">
    <vt:lpwstr/>
  </property>
</Properties>
</file>